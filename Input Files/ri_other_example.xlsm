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defaultThemeVersion="166925"/>
  <mc:AlternateContent xmlns:mc="http://schemas.openxmlformats.org/markup-compatibility/2006">
    <mc:Choice Requires="x15">
      <x15ac:absPath xmlns:x15ac="http://schemas.microsoft.com/office/spreadsheetml/2010/11/ac" url="\\ad.trw.com\reynosa2\Departments\QM\Receiving Inspection\05_Receiving Inspection\18-Reportes de RI\Files-anteriores\Matriz Especiales 2023\Reportes Excel\"/>
    </mc:Choice>
  </mc:AlternateContent>
  <xr:revisionPtr revIDLastSave="0" documentId="14_{4FE2816B-667D-4537-89B3-D9F0CE59B9BE}" xr6:coauthVersionLast="47" xr6:coauthVersionMax="47" xr10:uidLastSave="{00000000-0000-0000-0000-000000000000}"/>
  <bookViews>
    <workbookView xWindow="-120" yWindow="-120" windowWidth="29040" windowHeight="15840" xr2:uid="{43BB6570-5D1F-4025-BC62-C621D2F9CACA}"/>
  </bookViews>
  <sheets>
    <sheet name="REPORTE" sheetId="1" r:id="rId1"/>
    <sheet name="SYMBOL" sheetId="2" state="hidden" r:id="rId2"/>
  </sheets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</externalReferences>
  <definedNames>
    <definedName name="_Order1" hidden="1">0</definedName>
    <definedName name="BUSQUEDA">#REF!</definedName>
    <definedName name="BUSQUEDA1">#REF!</definedName>
    <definedName name="CARACTERISTICAS">[1]ESPEC_INF!$K$5:$K$25</definedName>
    <definedName name="CARACTERISTICAS2">[2]ESPEC_INF!$K$5:$K$25</definedName>
    <definedName name="EQUIPO">[1]ESPEC_INF!$L$5:$L$25</definedName>
    <definedName name="EQUIPO1">[2]ESPEC_INF!$L$5:$L$25</definedName>
    <definedName name="EQUIPO2">[3]ESPEC_INF!$L$5:$L$25</definedName>
    <definedName name="N.PROGRAMAS">[4]REG_NEW_PROGRAMS!$A:$H,[4]REG_NEW_PROGRAMS!$N:$N,[4]REG_NEW_PROGRAMS!$O:$O,[4]REG_NEW_PROGRAMS!$P:$P,[4]REG_NEW_PROGRAMS!$Q:$Q,[4]REG_NEW_PROGRAMS!$R:$R,[4]REG_NEW_PROGRAMS!$S:$S</definedName>
    <definedName name="_xlnm.Print_Area" localSheetId="0">REPORTE!$A$1:$Z$49</definedName>
    <definedName name="RI_TECH">[1]ESPEC_INF!$H$5:$H$19</definedName>
    <definedName name="Usuarios">[5]Usuarios!$C$7:$C$12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8" i="1" l="1"/>
  <c r="L9" i="1"/>
  <c r="J9" i="1"/>
  <c r="J8" i="1"/>
  <c r="F9" i="1"/>
  <c r="F8" i="1"/>
  <c r="H8" i="1"/>
  <c r="H9" i="1"/>
  <c r="D9" i="1"/>
  <c r="D8" i="1"/>
  <c r="K3" i="1"/>
  <c r="R3" i="1"/>
  <c r="R2" i="1"/>
  <c r="N3" i="1"/>
  <c r="N2" i="1"/>
  <c r="G2" i="1"/>
  <c r="C3" i="1"/>
  <c r="C2" i="1"/>
</calcChain>
</file>

<file path=xl/sharedStrings.xml><?xml version="1.0" encoding="utf-8"?>
<sst xmlns="http://schemas.openxmlformats.org/spreadsheetml/2006/main" count="167" uniqueCount="89">
  <si>
    <t xml:space="preserve">                                            RECEIVING INSPECTION REPORT.</t>
  </si>
  <si>
    <t>Control Item.</t>
  </si>
  <si>
    <t>Num. de Parte:</t>
  </si>
  <si>
    <t>Lote #:</t>
  </si>
  <si>
    <t>Proveedor:</t>
  </si>
  <si>
    <t>Fecha:</t>
  </si>
  <si>
    <t>D</t>
  </si>
  <si>
    <t>Revision:</t>
  </si>
  <si>
    <t>Log #:</t>
  </si>
  <si>
    <t>Cantidad:</t>
  </si>
  <si>
    <t>Tecnico:</t>
  </si>
  <si>
    <t>Muestra.</t>
  </si>
  <si>
    <t xml:space="preserve">Cav # </t>
  </si>
  <si>
    <t>QA#</t>
  </si>
  <si>
    <t xml:space="preserve">Caract: </t>
  </si>
  <si>
    <t>Nom:</t>
  </si>
  <si>
    <t>L. Sup.:</t>
  </si>
  <si>
    <t xml:space="preserve">L. Inf.: </t>
  </si>
  <si>
    <t>Equipo:</t>
  </si>
  <si>
    <t>Equipo.</t>
  </si>
  <si>
    <t>Caracteristicas.</t>
  </si>
  <si>
    <t>MC = Micrometro.</t>
  </si>
  <si>
    <t>SG = Shadowgraph.</t>
  </si>
  <si>
    <t>ALT = Altimeter</t>
  </si>
  <si>
    <t>THK = Thickness</t>
  </si>
  <si>
    <t>B = Basica</t>
  </si>
  <si>
    <t>AL= Altura</t>
  </si>
  <si>
    <t>L = Longitud</t>
  </si>
  <si>
    <t>PAR = Paralelismo</t>
  </si>
  <si>
    <t>VR = Vernier.</t>
  </si>
  <si>
    <t>CMM</t>
  </si>
  <si>
    <t>T M= Cinta Metrica</t>
  </si>
  <si>
    <t>PAR = Paralelismo.</t>
  </si>
  <si>
    <t>A = Angulo</t>
  </si>
  <si>
    <t>PL = Planicidad</t>
  </si>
  <si>
    <t>CIL = Cilindro</t>
  </si>
  <si>
    <t>PG = Pin Gage.</t>
  </si>
  <si>
    <t>HT = Durometro</t>
  </si>
  <si>
    <t>ST= Spring Tester</t>
  </si>
  <si>
    <t>D = Diametro</t>
  </si>
  <si>
    <t>F = Fuerza</t>
  </si>
  <si>
    <t>PR = Perfil</t>
  </si>
  <si>
    <t>PERP = Perpendicularidad</t>
  </si>
  <si>
    <t>ROM = Rom Optical.</t>
  </si>
  <si>
    <t>BG = Block Gage</t>
  </si>
  <si>
    <t>MF= Microscopio</t>
  </si>
  <si>
    <t>T = True Position.</t>
  </si>
  <si>
    <t>R = Radio</t>
  </si>
  <si>
    <t>HT = Dureza</t>
  </si>
  <si>
    <t>DIS = Distancia</t>
  </si>
  <si>
    <t>Comentarios:</t>
  </si>
  <si>
    <t>Pasa:</t>
  </si>
  <si>
    <t>No Pasa:</t>
  </si>
  <si>
    <r>
      <rPr>
        <b/>
        <sz val="7"/>
        <color indexed="8"/>
        <rFont val="Century Gothic"/>
        <family val="2"/>
      </rPr>
      <t>Nota:</t>
    </r>
    <r>
      <rPr>
        <sz val="7"/>
        <color indexed="8"/>
        <rFont val="Century Gothic"/>
        <family val="2"/>
      </rPr>
      <t xml:space="preserve"> Circular en Rojo </t>
    </r>
  </si>
  <si>
    <t>QA's NTP.</t>
  </si>
  <si>
    <t>F-QUA-28-05   Agosto 10,2018</t>
  </si>
  <si>
    <t>Pag 1 of 1.</t>
  </si>
  <si>
    <t>√</t>
  </si>
  <si>
    <t>SIMBOLO</t>
  </si>
  <si>
    <t>CODIGO</t>
  </si>
  <si>
    <t>∡</t>
  </si>
  <si>
    <t>Ø</t>
  </si>
  <si>
    <t>0216</t>
  </si>
  <si>
    <t>Ⓜ</t>
  </si>
  <si>
    <t>+</t>
  </si>
  <si>
    <t>-</t>
  </si>
  <si>
    <t>±</t>
  </si>
  <si>
    <t>0177</t>
  </si>
  <si>
    <t>251</t>
  </si>
  <si>
    <t>ñ</t>
  </si>
  <si>
    <t>164</t>
  </si>
  <si>
    <t>Ñ</t>
  </si>
  <si>
    <t>165</t>
  </si>
  <si>
    <t>•</t>
  </si>
  <si>
    <t>0149</t>
  </si>
  <si>
    <t>Δ</t>
  </si>
  <si>
    <t>↻</t>
  </si>
  <si>
    <t>↺</t>
  </si>
  <si>
    <t>°</t>
  </si>
  <si>
    <t>Linea:</t>
  </si>
  <si>
    <t>Turno:</t>
  </si>
  <si>
    <t>N/A</t>
  </si>
  <si>
    <t>19x1</t>
  </si>
  <si>
    <t>19x2</t>
  </si>
  <si>
    <t>A</t>
  </si>
  <si>
    <t>DIS</t>
  </si>
  <si>
    <t>R</t>
  </si>
  <si>
    <t>ROM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</si>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</sst>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yy;@"/>
    <numFmt numFmtId="165" formatCode="General_)"/>
  </numFmts>
  <fonts count="24" x14ac:knownFonts="1">
    <font>
      <sz val="11"/>
      <color theme="1"/>
      <name val="Tahoma"/>
      <family val="2"/>
    </font>
    <font>
      <sz val="8"/>
      <color rgb="FFFF0000"/>
      <name val="Arial"/>
      <family val="2"/>
    </font>
    <font>
      <sz val="8"/>
      <color rgb="FF000000"/>
      <name val="Arial"/>
      <family val="2"/>
    </font>
    <font>
      <sz val="11"/>
      <color theme="1"/>
      <name val="Calibri"/>
      <family val="2"/>
      <scheme val="minor"/>
    </font>
    <font>
      <sz val="11"/>
      <color theme="3"/>
      <name val="Britannic Bold"/>
      <family val="2"/>
    </font>
    <font>
      <sz val="12"/>
      <color theme="3"/>
      <name val="Britannic Bold"/>
      <family val="2"/>
    </font>
    <font>
      <b/>
      <sz val="7"/>
      <color theme="1"/>
      <name val="Century Gothic"/>
      <family val="2"/>
    </font>
    <font>
      <sz val="7"/>
      <color theme="1"/>
      <name val="Century Gothic"/>
      <family val="2"/>
    </font>
    <font>
      <sz val="7"/>
      <color theme="1"/>
      <name val="Calibri"/>
      <family val="2"/>
      <scheme val="minor"/>
    </font>
    <font>
      <sz val="7"/>
      <name val="Century Gothic"/>
      <family val="2"/>
    </font>
    <font>
      <b/>
      <sz val="29"/>
      <color theme="3"/>
      <name val="Century Gothic"/>
      <family val="2"/>
    </font>
    <font>
      <sz val="6"/>
      <name val="Century Gothic"/>
      <family val="2"/>
    </font>
    <font>
      <sz val="10"/>
      <name val="Helv"/>
    </font>
    <font>
      <sz val="32"/>
      <color theme="3"/>
      <name val="Century Gothic"/>
      <family val="2"/>
    </font>
    <font>
      <sz val="7.5"/>
      <color theme="1"/>
      <name val="Century Gothic"/>
      <family val="2"/>
    </font>
    <font>
      <sz val="8"/>
      <color theme="1"/>
      <name val="Century Gothic"/>
      <family val="2"/>
    </font>
    <font>
      <b/>
      <sz val="11"/>
      <color theme="1"/>
      <name val="Calibri"/>
      <family val="2"/>
    </font>
    <font>
      <b/>
      <sz val="7"/>
      <color indexed="8"/>
      <name val="Century Gothic"/>
      <family val="2"/>
    </font>
    <font>
      <sz val="7"/>
      <color indexed="8"/>
      <name val="Century Gothic"/>
      <family val="2"/>
    </font>
    <font>
      <b/>
      <sz val="7"/>
      <name val="Century Gothic"/>
      <family val="2"/>
    </font>
    <font>
      <b/>
      <sz val="10"/>
      <color theme="1"/>
      <name val="Century Gothic"/>
      <family val="2"/>
    </font>
    <font>
      <sz val="22"/>
      <name val="Arial"/>
      <family val="2"/>
    </font>
    <font>
      <sz val="22"/>
      <name val="Tahoma"/>
      <family val="2"/>
    </font>
    <font>
      <sz val="8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165" fontId="12" fillId="0" borderId="0"/>
  </cellStyleXfs>
  <cellXfs count="94">
    <xf numFmtId="0" fontId="0" fillId="0" borderId="0" xfId="0"/>
    <xf numFmtId="0" fontId="5" fillId="0" borderId="2" xfId="1" applyFont="1" applyBorder="1"/>
    <xf numFmtId="0" fontId="6" fillId="0" borderId="2" xfId="1" applyFont="1" applyBorder="1" applyAlignment="1">
      <alignment horizontal="center"/>
    </xf>
    <xf numFmtId="0" fontId="7" fillId="0" borderId="2" xfId="1" applyFont="1" applyBorder="1" applyAlignment="1">
      <alignment horizontal="center"/>
    </xf>
    <xf numFmtId="0" fontId="3" fillId="0" borderId="2" xfId="1" applyBorder="1"/>
    <xf numFmtId="0" fontId="3" fillId="0" borderId="3" xfId="1" applyBorder="1"/>
    <xf numFmtId="0" fontId="3" fillId="0" borderId="0" xfId="1"/>
    <xf numFmtId="0" fontId="3" fillId="2" borderId="0" xfId="1" applyFill="1"/>
    <xf numFmtId="0" fontId="7" fillId="0" borderId="4" xfId="1" applyFont="1" applyBorder="1"/>
    <xf numFmtId="0" fontId="7" fillId="0" borderId="0" xfId="1" applyFont="1"/>
    <xf numFmtId="0" fontId="7" fillId="0" borderId="0" xfId="1" applyFont="1" applyProtection="1">
      <protection hidden="1"/>
    </xf>
    <xf numFmtId="0" fontId="8" fillId="0" borderId="0" xfId="1" applyFont="1" applyProtection="1">
      <protection hidden="1"/>
    </xf>
    <xf numFmtId="0" fontId="9" fillId="0" borderId="0" xfId="1" applyFont="1" applyProtection="1">
      <protection hidden="1"/>
    </xf>
    <xf numFmtId="0" fontId="3" fillId="0" borderId="6" xfId="1" applyBorder="1"/>
    <xf numFmtId="0" fontId="11" fillId="0" borderId="0" xfId="1" applyFont="1" applyAlignment="1" applyProtection="1">
      <alignment horizontal="left" vertical="center"/>
      <protection hidden="1"/>
    </xf>
    <xf numFmtId="0" fontId="7" fillId="0" borderId="2" xfId="1" applyFont="1" applyBorder="1"/>
    <xf numFmtId="0" fontId="7" fillId="0" borderId="7" xfId="1" applyFont="1" applyBorder="1"/>
    <xf numFmtId="0" fontId="13" fillId="0" borderId="0" xfId="1" applyFont="1" applyAlignment="1">
      <alignment vertical="center"/>
    </xf>
    <xf numFmtId="0" fontId="13" fillId="0" borderId="5" xfId="1" applyFont="1" applyBorder="1" applyAlignment="1">
      <alignment vertical="center"/>
    </xf>
    <xf numFmtId="0" fontId="7" fillId="0" borderId="11" xfId="1" applyFont="1" applyBorder="1"/>
    <xf numFmtId="0" fontId="14" fillId="0" borderId="12" xfId="1" applyFont="1" applyBorder="1" applyAlignment="1">
      <alignment horizontal="center" vertical="center"/>
    </xf>
    <xf numFmtId="0" fontId="7" fillId="3" borderId="11" xfId="1" applyFont="1" applyFill="1" applyBorder="1" applyAlignment="1">
      <alignment vertical="center" wrapText="1"/>
    </xf>
    <xf numFmtId="0" fontId="14" fillId="3" borderId="8" xfId="1" applyFont="1" applyFill="1" applyBorder="1" applyAlignment="1">
      <alignment horizontal="center" vertical="center" wrapText="1"/>
    </xf>
    <xf numFmtId="0" fontId="7" fillId="3" borderId="11" xfId="1" applyFont="1" applyFill="1" applyBorder="1"/>
    <xf numFmtId="2" fontId="14" fillId="3" borderId="12" xfId="1" applyNumberFormat="1" applyFont="1" applyFill="1" applyBorder="1" applyAlignment="1" applyProtection="1">
      <alignment horizontal="center"/>
      <protection hidden="1"/>
    </xf>
    <xf numFmtId="2" fontId="14" fillId="3" borderId="12" xfId="1" applyNumberFormat="1" applyFont="1" applyFill="1" applyBorder="1" applyAlignment="1">
      <alignment horizontal="center"/>
    </xf>
    <xf numFmtId="0" fontId="14" fillId="3" borderId="12" xfId="1" applyFont="1" applyFill="1" applyBorder="1" applyAlignment="1">
      <alignment horizontal="center" vertical="center"/>
    </xf>
    <xf numFmtId="0" fontId="7" fillId="0" borderId="9" xfId="1" applyFont="1" applyBorder="1" applyAlignment="1">
      <alignment horizontal="center" vertical="center" wrapText="1"/>
    </xf>
    <xf numFmtId="0" fontId="3" fillId="0" borderId="4" xfId="1" applyBorder="1"/>
    <xf numFmtId="0" fontId="3" fillId="2" borderId="4" xfId="1" applyFill="1" applyBorder="1"/>
    <xf numFmtId="0" fontId="6" fillId="0" borderId="3" xfId="1" applyFont="1" applyBorder="1" applyAlignment="1">
      <alignment vertical="center"/>
    </xf>
    <xf numFmtId="0" fontId="7" fillId="0" borderId="6" xfId="1" applyFont="1" applyBorder="1"/>
    <xf numFmtId="0" fontId="8" fillId="0" borderId="4" xfId="1" applyFont="1" applyBorder="1"/>
    <xf numFmtId="0" fontId="7" fillId="0" borderId="15" xfId="1" applyFont="1" applyBorder="1"/>
    <xf numFmtId="0" fontId="7" fillId="0" borderId="5" xfId="1" applyFont="1" applyBorder="1"/>
    <xf numFmtId="0" fontId="7" fillId="0" borderId="8" xfId="1" applyFont="1" applyBorder="1"/>
    <xf numFmtId="0" fontId="3" fillId="0" borderId="5" xfId="1" applyBorder="1"/>
    <xf numFmtId="0" fontId="3" fillId="0" borderId="8" xfId="1" applyBorder="1"/>
    <xf numFmtId="0" fontId="6" fillId="0" borderId="4" xfId="1" applyFont="1" applyBorder="1"/>
    <xf numFmtId="0" fontId="6" fillId="0" borderId="15" xfId="1" applyFont="1" applyBorder="1"/>
    <xf numFmtId="0" fontId="16" fillId="0" borderId="7" xfId="1" applyFont="1" applyBorder="1" applyAlignment="1">
      <alignment horizontal="center"/>
    </xf>
    <xf numFmtId="0" fontId="7" fillId="0" borderId="5" xfId="1" applyFont="1" applyBorder="1" applyAlignment="1">
      <alignment vertical="center"/>
    </xf>
    <xf numFmtId="0" fontId="19" fillId="5" borderId="7" xfId="1" applyFont="1" applyFill="1" applyBorder="1"/>
    <xf numFmtId="0" fontId="6" fillId="0" borderId="0" xfId="1" applyFont="1"/>
    <xf numFmtId="0" fontId="7" fillId="0" borderId="0" xfId="1" applyFont="1" applyAlignment="1">
      <alignment horizontal="center"/>
    </xf>
    <xf numFmtId="0" fontId="0" fillId="0" borderId="11" xfId="0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0" fontId="21" fillId="0" borderId="13" xfId="0" applyFon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49" fontId="0" fillId="0" borderId="13" xfId="0" applyNumberFormat="1" applyBorder="1"/>
    <xf numFmtId="0" fontId="22" fillId="0" borderId="13" xfId="0" applyFont="1" applyBorder="1" applyAlignment="1">
      <alignment horizontal="center" vertical="center"/>
    </xf>
    <xf numFmtId="0" fontId="21" fillId="0" borderId="13" xfId="0" applyFont="1" applyBorder="1" applyAlignment="1">
      <alignment horizontal="center" vertical="center" wrapText="1"/>
    </xf>
    <xf numFmtId="0" fontId="0" fillId="0" borderId="14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9" fillId="0" borderId="0" xfId="0" applyFont="1"/>
    <xf numFmtId="0" fontId="8" fillId="0" borderId="5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2" fontId="7" fillId="6" borderId="9" xfId="0" applyNumberFormat="1" applyFont="1" applyFill="1" applyBorder="1" applyAlignment="1">
      <alignment horizontal="center" vertical="center" wrapText="1"/>
    </xf>
    <xf numFmtId="0" fontId="7" fillId="4" borderId="9" xfId="1" applyFont="1" applyFill="1" applyBorder="1" applyAlignment="1">
      <alignment vertical="center"/>
    </xf>
    <xf numFmtId="0" fontId="6" fillId="0" borderId="1" xfId="1" applyFont="1" applyBorder="1" applyAlignment="1">
      <alignment horizontal="center"/>
    </xf>
    <xf numFmtId="0" fontId="6" fillId="0" borderId="2" xfId="1" applyFont="1" applyBorder="1" applyAlignment="1">
      <alignment horizontal="center"/>
    </xf>
    <xf numFmtId="0" fontId="6" fillId="0" borderId="1" xfId="1" applyFont="1" applyBorder="1" applyAlignment="1">
      <alignment horizontal="center" vertical="center"/>
    </xf>
    <xf numFmtId="0" fontId="6" fillId="0" borderId="2" xfId="1" applyFont="1" applyBorder="1" applyAlignment="1">
      <alignment horizontal="center" vertical="center"/>
    </xf>
    <xf numFmtId="0" fontId="6" fillId="0" borderId="3" xfId="1" applyFont="1" applyBorder="1" applyAlignment="1">
      <alignment horizontal="center" vertical="center"/>
    </xf>
    <xf numFmtId="0" fontId="15" fillId="0" borderId="7" xfId="1" applyFont="1" applyBorder="1" applyAlignment="1">
      <alignment horizontal="left"/>
    </xf>
    <xf numFmtId="0" fontId="15" fillId="0" borderId="12" xfId="1" applyFont="1" applyBorder="1" applyAlignment="1">
      <alignment horizontal="left"/>
    </xf>
    <xf numFmtId="0" fontId="7" fillId="0" borderId="15" xfId="1" applyFont="1" applyBorder="1" applyAlignment="1">
      <alignment horizontal="center"/>
    </xf>
    <xf numFmtId="0" fontId="7" fillId="0" borderId="5" xfId="1" applyFont="1" applyBorder="1" applyAlignment="1">
      <alignment horizontal="center"/>
    </xf>
    <xf numFmtId="0" fontId="7" fillId="0" borderId="8" xfId="1" applyFont="1" applyBorder="1" applyAlignment="1">
      <alignment horizontal="center"/>
    </xf>
    <xf numFmtId="0" fontId="6" fillId="0" borderId="5" xfId="1" applyFont="1" applyBorder="1" applyAlignment="1">
      <alignment horizontal="center"/>
    </xf>
    <xf numFmtId="0" fontId="20" fillId="0" borderId="7" xfId="1" applyFont="1" applyBorder="1" applyAlignment="1">
      <alignment horizontal="center"/>
    </xf>
    <xf numFmtId="0" fontId="7" fillId="0" borderId="7" xfId="1" applyFont="1" applyBorder="1" applyAlignment="1">
      <alignment horizontal="left"/>
    </xf>
    <xf numFmtId="0" fontId="6" fillId="0" borderId="7" xfId="1" applyFont="1" applyBorder="1" applyAlignment="1">
      <alignment horizontal="center"/>
    </xf>
    <xf numFmtId="0" fontId="7" fillId="4" borderId="11" xfId="1" applyFont="1" applyFill="1" applyBorder="1" applyAlignment="1">
      <alignment horizontal="center" vertical="center" wrapText="1"/>
    </xf>
    <xf numFmtId="0" fontId="7" fillId="4" borderId="12" xfId="1" applyFont="1" applyFill="1" applyBorder="1" applyAlignment="1">
      <alignment horizontal="center" vertical="center" wrapText="1"/>
    </xf>
    <xf numFmtId="2" fontId="7" fillId="6" borderId="11" xfId="0" applyNumberFormat="1" applyFont="1" applyFill="1" applyBorder="1" applyAlignment="1">
      <alignment horizontal="center" vertical="center" wrapText="1"/>
    </xf>
    <xf numFmtId="2" fontId="7" fillId="6" borderId="12" xfId="0" applyNumberFormat="1" applyFont="1" applyFill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textRotation="180" wrapText="1"/>
    </xf>
    <xf numFmtId="0" fontId="6" fillId="0" borderId="10" xfId="1" applyFont="1" applyBorder="1" applyAlignment="1">
      <alignment horizontal="center" vertical="center" textRotation="180" wrapText="1"/>
    </xf>
    <xf numFmtId="0" fontId="6" fillId="0" borderId="13" xfId="1" applyFont="1" applyBorder="1" applyAlignment="1">
      <alignment horizontal="center" vertical="center" textRotation="180" wrapText="1"/>
    </xf>
    <xf numFmtId="0" fontId="6" fillId="0" borderId="14" xfId="1" applyFont="1" applyBorder="1" applyAlignment="1">
      <alignment horizontal="center" vertical="center" textRotation="180" wrapText="1"/>
    </xf>
    <xf numFmtId="0" fontId="4" fillId="0" borderId="1" xfId="1" applyFont="1" applyBorder="1" applyAlignment="1">
      <alignment horizontal="center"/>
    </xf>
    <xf numFmtId="0" fontId="4" fillId="0" borderId="2" xfId="1" applyFont="1" applyBorder="1" applyAlignment="1">
      <alignment horizontal="center"/>
    </xf>
    <xf numFmtId="0" fontId="7" fillId="0" borderId="5" xfId="1" applyFont="1" applyBorder="1" applyAlignment="1" applyProtection="1">
      <alignment horizontal="center"/>
      <protection hidden="1"/>
    </xf>
    <xf numFmtId="0" fontId="7" fillId="0" borderId="5" xfId="1" quotePrefix="1" applyFont="1" applyBorder="1" applyAlignment="1" applyProtection="1">
      <alignment horizontal="center"/>
      <protection hidden="1"/>
    </xf>
    <xf numFmtId="164" fontId="9" fillId="0" borderId="5" xfId="1" applyNumberFormat="1" applyFont="1" applyBorder="1" applyAlignment="1" applyProtection="1">
      <alignment horizontal="center"/>
      <protection hidden="1"/>
    </xf>
    <xf numFmtId="0" fontId="10" fillId="0" borderId="0" xfId="1" applyFont="1" applyAlignment="1">
      <alignment horizontal="center" vertical="center"/>
    </xf>
    <xf numFmtId="0" fontId="7" fillId="0" borderId="7" xfId="1" applyFont="1" applyBorder="1" applyAlignment="1">
      <alignment horizontal="center"/>
    </xf>
    <xf numFmtId="0" fontId="7" fillId="0" borderId="5" xfId="1" applyFont="1" applyBorder="1" applyAlignment="1" applyProtection="1">
      <alignment horizontal="center"/>
      <protection locked="0"/>
    </xf>
    <xf numFmtId="0" fontId="7" fillId="0" borderId="7" xfId="1" applyFont="1" applyBorder="1" applyAlignment="1" applyProtection="1">
      <alignment horizontal="center"/>
      <protection hidden="1"/>
    </xf>
    <xf numFmtId="0" fontId="9" fillId="0" borderId="5" xfId="1" applyFont="1" applyBorder="1" applyAlignment="1">
      <alignment horizontal="center"/>
    </xf>
  </cellXfs>
  <cellStyles count="3">
    <cellStyle name="Normal" xfId="0" builtinId="0"/>
    <cellStyle name="Normal 3" xfId="2" xr:uid="{EEDB06F6-887B-4E54-A090-2D541FCE35B9}"/>
    <cellStyle name="Normal 9" xfId="1" xr:uid="{DF6C807E-0BA4-40D7-AB12-43B1F09671CF}"/>
  </cellStyles>
  <dxfs count="13">
    <dxf>
      <font>
        <color auto="1"/>
      </font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auto="1"/>
      </font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auto="1"/>
      </font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3.xml"/><Relationship Id="rId10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63360</xdr:colOff>
      <xdr:row>1</xdr:row>
      <xdr:rowOff>20290</xdr:rowOff>
    </xdr:from>
    <xdr:to>
      <xdr:col>20</xdr:col>
      <xdr:colOff>184698</xdr:colOff>
      <xdr:row>2</xdr:row>
      <xdr:rowOff>140803</xdr:rowOff>
    </xdr:to>
    <xdr:sp macro="" textlink="">
      <xdr:nvSpPr>
        <xdr:cNvPr id="2" name="Isosceles Tri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10800000">
          <a:off x="7658512" y="202507"/>
          <a:ext cx="518903" cy="269600"/>
        </a:xfrm>
        <a:prstGeom prst="triangl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10</xdr:col>
      <xdr:colOff>57150</xdr:colOff>
      <xdr:row>48</xdr:row>
      <xdr:rowOff>43295</xdr:rowOff>
    </xdr:from>
    <xdr:to>
      <xdr:col>10</xdr:col>
      <xdr:colOff>266700</xdr:colOff>
      <xdr:row>48</xdr:row>
      <xdr:rowOff>138545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905250" y="8568170"/>
          <a:ext cx="209550" cy="95250"/>
        </a:xfrm>
        <a:prstGeom prst="ellipse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40</xdr:row>
          <xdr:rowOff>38100</xdr:rowOff>
        </xdr:from>
        <xdr:to>
          <xdr:col>3</xdr:col>
          <xdr:colOff>276225</xdr:colOff>
          <xdr:row>40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SinPar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40</xdr:row>
          <xdr:rowOff>38100</xdr:rowOff>
        </xdr:from>
        <xdr:to>
          <xdr:col>5</xdr:col>
          <xdr:colOff>276225</xdr:colOff>
          <xdr:row>40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SinPar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40</xdr:row>
          <xdr:rowOff>38100</xdr:rowOff>
        </xdr:from>
        <xdr:to>
          <xdr:col>7</xdr:col>
          <xdr:colOff>276225</xdr:colOff>
          <xdr:row>40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SinPar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40</xdr:row>
          <xdr:rowOff>38100</xdr:rowOff>
        </xdr:from>
        <xdr:to>
          <xdr:col>9</xdr:col>
          <xdr:colOff>276225</xdr:colOff>
          <xdr:row>40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SinPar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40</xdr:row>
          <xdr:rowOff>38100</xdr:rowOff>
        </xdr:from>
        <xdr:to>
          <xdr:col>11</xdr:col>
          <xdr:colOff>276225</xdr:colOff>
          <xdr:row>40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SinPar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40</xdr:row>
          <xdr:rowOff>38100</xdr:rowOff>
        </xdr:from>
        <xdr:to>
          <xdr:col>13</xdr:col>
          <xdr:colOff>276225</xdr:colOff>
          <xdr:row>40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SinPar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40</xdr:row>
          <xdr:rowOff>38100</xdr:rowOff>
        </xdr:from>
        <xdr:to>
          <xdr:col>15</xdr:col>
          <xdr:colOff>276225</xdr:colOff>
          <xdr:row>40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SinPar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47625</xdr:colOff>
          <xdr:row>40</xdr:row>
          <xdr:rowOff>38100</xdr:rowOff>
        </xdr:from>
        <xdr:to>
          <xdr:col>17</xdr:col>
          <xdr:colOff>276225</xdr:colOff>
          <xdr:row>40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SinPar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40</xdr:row>
          <xdr:rowOff>38100</xdr:rowOff>
        </xdr:from>
        <xdr:to>
          <xdr:col>19</xdr:col>
          <xdr:colOff>276225</xdr:colOff>
          <xdr:row>40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SinPar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40</xdr:row>
          <xdr:rowOff>38100</xdr:rowOff>
        </xdr:from>
        <xdr:to>
          <xdr:col>21</xdr:col>
          <xdr:colOff>276225</xdr:colOff>
          <xdr:row>40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SinPar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47625</xdr:colOff>
          <xdr:row>40</xdr:row>
          <xdr:rowOff>38100</xdr:rowOff>
        </xdr:from>
        <xdr:to>
          <xdr:col>23</xdr:col>
          <xdr:colOff>276225</xdr:colOff>
          <xdr:row>40</xdr:row>
          <xdr:rowOff>180975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SinPar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47625</xdr:colOff>
          <xdr:row>40</xdr:row>
          <xdr:rowOff>38100</xdr:rowOff>
        </xdr:from>
        <xdr:to>
          <xdr:col>25</xdr:col>
          <xdr:colOff>276225</xdr:colOff>
          <xdr:row>40</xdr:row>
          <xdr:rowOff>180975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SinPar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40</xdr:row>
          <xdr:rowOff>19050</xdr:rowOff>
        </xdr:from>
        <xdr:to>
          <xdr:col>1</xdr:col>
          <xdr:colOff>323850</xdr:colOff>
          <xdr:row>40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Quitar Limites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62816</xdr:colOff>
      <xdr:row>0</xdr:row>
      <xdr:rowOff>69988</xdr:rowOff>
    </xdr:from>
    <xdr:to>
      <xdr:col>24</xdr:col>
      <xdr:colOff>282733</xdr:colOff>
      <xdr:row>3</xdr:row>
      <xdr:rowOff>91108</xdr:rowOff>
    </xdr:to>
    <xdr:pic>
      <xdr:nvPicPr>
        <xdr:cNvPr id="17" name="Picture 5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6816" y="69988"/>
          <a:ext cx="617482" cy="5015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397564</xdr:colOff>
      <xdr:row>9</xdr:row>
      <xdr:rowOff>190499</xdr:rowOff>
    </xdr:from>
    <xdr:to>
      <xdr:col>10</xdr:col>
      <xdr:colOff>8282</xdr:colOff>
      <xdr:row>11</xdr:row>
      <xdr:rowOff>8282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ABFA5EA0-5FE3-42FE-B625-9816089F87EA}"/>
            </a:ext>
          </a:extLst>
        </xdr:cNvPr>
        <xdr:cNvSpPr/>
      </xdr:nvSpPr>
      <xdr:spPr>
        <a:xfrm>
          <a:off x="3180521" y="1565412"/>
          <a:ext cx="803413" cy="198783"/>
        </a:xfrm>
        <a:prstGeom prst="ellipse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10</xdr:col>
      <xdr:colOff>8283</xdr:colOff>
      <xdr:row>12</xdr:row>
      <xdr:rowOff>8283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72604BD7-5513-4622-9AD4-7E8591CA77E8}"/>
            </a:ext>
          </a:extLst>
        </xdr:cNvPr>
        <xdr:cNvSpPr/>
      </xdr:nvSpPr>
      <xdr:spPr>
        <a:xfrm>
          <a:off x="3180522" y="1755913"/>
          <a:ext cx="803413" cy="198783"/>
        </a:xfrm>
        <a:prstGeom prst="ellipse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0</xdr:colOff>
      <xdr:row>12</xdr:row>
      <xdr:rowOff>0</xdr:rowOff>
    </xdr:from>
    <xdr:to>
      <xdr:col>10</xdr:col>
      <xdr:colOff>8283</xdr:colOff>
      <xdr:row>13</xdr:row>
      <xdr:rowOff>8283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8D004C6-39B1-46A3-ACA7-131E3CA1D5F0}"/>
            </a:ext>
          </a:extLst>
        </xdr:cNvPr>
        <xdr:cNvSpPr/>
      </xdr:nvSpPr>
      <xdr:spPr>
        <a:xfrm>
          <a:off x="3180522" y="1946413"/>
          <a:ext cx="803413" cy="198783"/>
        </a:xfrm>
        <a:prstGeom prst="ellipse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10</xdr:col>
      <xdr:colOff>8283</xdr:colOff>
      <xdr:row>14</xdr:row>
      <xdr:rowOff>8283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CF3012F8-8D7D-4176-8104-D7EDFEE8E6FC}"/>
            </a:ext>
          </a:extLst>
        </xdr:cNvPr>
        <xdr:cNvSpPr/>
      </xdr:nvSpPr>
      <xdr:spPr>
        <a:xfrm>
          <a:off x="3180522" y="2136913"/>
          <a:ext cx="803413" cy="198783"/>
        </a:xfrm>
        <a:prstGeom prst="ellipse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12</xdr:col>
      <xdr:colOff>8282</xdr:colOff>
      <xdr:row>11</xdr:row>
      <xdr:rowOff>8283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23988653-1E1E-45C4-A97F-BFD1641B6486}"/>
            </a:ext>
          </a:extLst>
        </xdr:cNvPr>
        <xdr:cNvSpPr/>
      </xdr:nvSpPr>
      <xdr:spPr>
        <a:xfrm>
          <a:off x="3975652" y="1565413"/>
          <a:ext cx="803413" cy="198783"/>
        </a:xfrm>
        <a:prstGeom prst="ellipse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12</xdr:col>
      <xdr:colOff>8282</xdr:colOff>
      <xdr:row>12</xdr:row>
      <xdr:rowOff>8283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D0DC595D-7326-4EE0-AEB3-C192B6A03B21}"/>
            </a:ext>
          </a:extLst>
        </xdr:cNvPr>
        <xdr:cNvSpPr/>
      </xdr:nvSpPr>
      <xdr:spPr>
        <a:xfrm>
          <a:off x="3975652" y="1755913"/>
          <a:ext cx="803413" cy="198783"/>
        </a:xfrm>
        <a:prstGeom prst="ellipse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12</xdr:col>
      <xdr:colOff>8282</xdr:colOff>
      <xdr:row>13</xdr:row>
      <xdr:rowOff>8283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BF45D084-9278-4542-8247-E20430479418}"/>
            </a:ext>
          </a:extLst>
        </xdr:cNvPr>
        <xdr:cNvSpPr/>
      </xdr:nvSpPr>
      <xdr:spPr>
        <a:xfrm>
          <a:off x="3975652" y="1946413"/>
          <a:ext cx="803413" cy="198783"/>
        </a:xfrm>
        <a:prstGeom prst="ellipse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10</xdr:col>
      <xdr:colOff>0</xdr:colOff>
      <xdr:row>13</xdr:row>
      <xdr:rowOff>0</xdr:rowOff>
    </xdr:from>
    <xdr:to>
      <xdr:col>12</xdr:col>
      <xdr:colOff>8282</xdr:colOff>
      <xdr:row>14</xdr:row>
      <xdr:rowOff>8283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5A1A886B-FA7A-4A63-8DA1-B2385CCCD944}"/>
            </a:ext>
          </a:extLst>
        </xdr:cNvPr>
        <xdr:cNvSpPr/>
      </xdr:nvSpPr>
      <xdr:spPr>
        <a:xfrm>
          <a:off x="3975652" y="2136913"/>
          <a:ext cx="803413" cy="198783"/>
        </a:xfrm>
        <a:prstGeom prst="ellipse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190500</xdr:colOff>
      <xdr:row>13</xdr:row>
      <xdr:rowOff>0</xdr:rowOff>
    </xdr:from>
    <xdr:to>
      <xdr:col>1</xdr:col>
      <xdr:colOff>485775</xdr:colOff>
      <xdr:row>13</xdr:row>
      <xdr:rowOff>300162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876300" y="3971925"/>
          <a:ext cx="295275" cy="30016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trw\Reynosa2\Departments\QM\Receiving%20Inspection\05_Receiving%20Inspection\18-Reportes%20de%20RI\Files-anteriores\Matriz%20Especiales\Registro%20Pruebas%20Metrologia%20-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trw\Reynosa2\Users\Mendozl2\Desktop\Matriz\copia_calixto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trw\Reynosa2\Departments\QM\Receiving%20Inspection\05_Receiving%20Inspection\18-Reportes%20de%20RI\Resultados%20de%20Pruebas%20de%20Proceo\Matriz%20Especiales\Matriz\copia_calixto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trw\Reynosa2\Departments\QM\MOTL\Pruebas%20de%20Proceso\MejorasQA_Lab%20Rev.2\REGISTRO%20&amp;%20STATUS%20BPW%20CYCLES%20REV.7.3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trw\Reynosa2\Users\Mendozl2\Desktop\Matriz\e76677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epartments/QM/Receiving%20Inspection/05_Receiving%20Inspection/18-Reportes%20de%20RI/Files-anteriores/Matriz%20Especiales%202023/Registro%20pruebas%20de%20metrologia%202023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trw\Reynosa2\Departments\QM\Process%20Quality%20Engineering\MOTL\TestRequest_R.I._InProcess\Registro%20Pruebas%20Metrologia%20Rev.1.38%20..Ene(202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REG_REQUEST"/>
      <sheetName val="REG_PROCESS"/>
      <sheetName val="REPORTE"/>
      <sheetName val="FORMATO"/>
      <sheetName val="REG_REQUEST_EDIT"/>
      <sheetName val="ESPEC_INF"/>
      <sheetName val="Datos"/>
      <sheetName val="Usuarios"/>
      <sheetName val="Registro Pruebas Metrologia - 2"/>
    </sheetNames>
    <sheetDataSet>
      <sheetData sheetId="0"/>
      <sheetData sheetId="1">
        <row r="8">
          <cell r="A8">
            <v>20220001</v>
          </cell>
        </row>
      </sheetData>
      <sheetData sheetId="2">
        <row r="8">
          <cell r="A8">
            <v>20220001</v>
          </cell>
        </row>
      </sheetData>
      <sheetData sheetId="3"/>
      <sheetData sheetId="4"/>
      <sheetData sheetId="5"/>
      <sheetData sheetId="6">
        <row r="5">
          <cell r="H5" t="str">
            <v>Abel Cerda</v>
          </cell>
          <cell r="K5" t="str">
            <v>THK</v>
          </cell>
          <cell r="L5" t="str">
            <v>MC</v>
          </cell>
        </row>
        <row r="6">
          <cell r="H6" t="str">
            <v>Adela Leandro</v>
          </cell>
          <cell r="K6" t="str">
            <v>PAR</v>
          </cell>
          <cell r="L6" t="str">
            <v>VR</v>
          </cell>
        </row>
        <row r="7">
          <cell r="H7" t="str">
            <v>Carlos Quintanilla</v>
          </cell>
          <cell r="K7" t="str">
            <v>D</v>
          </cell>
          <cell r="L7" t="str">
            <v>PG</v>
          </cell>
        </row>
        <row r="8">
          <cell r="H8" t="str">
            <v>Celestino Mendez</v>
          </cell>
          <cell r="K8" t="str">
            <v>B</v>
          </cell>
          <cell r="L8" t="str">
            <v>ROM</v>
          </cell>
        </row>
        <row r="9">
          <cell r="H9"/>
          <cell r="K9"/>
          <cell r="L9"/>
        </row>
        <row r="10">
          <cell r="H10" t="str">
            <v>Cristian Salazar</v>
          </cell>
          <cell r="K10" t="str">
            <v>A</v>
          </cell>
          <cell r="L10" t="str">
            <v>SG</v>
          </cell>
        </row>
        <row r="11">
          <cell r="H11" t="str">
            <v>Eric Mendez</v>
          </cell>
          <cell r="K11" t="str">
            <v>F</v>
          </cell>
          <cell r="L11" t="str">
            <v>TM</v>
          </cell>
        </row>
        <row r="12">
          <cell r="H12" t="str">
            <v>Ernesto Valencia</v>
          </cell>
          <cell r="K12" t="str">
            <v>R</v>
          </cell>
          <cell r="L12" t="str">
            <v>HT</v>
          </cell>
        </row>
        <row r="13">
          <cell r="H13" t="str">
            <v>Francisco Santillana</v>
          </cell>
          <cell r="K13" t="str">
            <v>AL</v>
          </cell>
          <cell r="L13" t="str">
            <v>BG</v>
          </cell>
        </row>
        <row r="14">
          <cell r="H14" t="str">
            <v>Gilberto Cruz</v>
          </cell>
          <cell r="K14" t="str">
            <v>PR</v>
          </cell>
          <cell r="L14" t="str">
            <v>ALT</v>
          </cell>
        </row>
        <row r="15">
          <cell r="H15"/>
          <cell r="K15"/>
          <cell r="L15"/>
        </row>
        <row r="16">
          <cell r="H16" t="str">
            <v>Haydee Guitierrez</v>
          </cell>
          <cell r="K16" t="str">
            <v>HT</v>
          </cell>
          <cell r="L16" t="str">
            <v xml:space="preserve">T </v>
          </cell>
        </row>
        <row r="17">
          <cell r="H17" t="str">
            <v>Ivan Martinez</v>
          </cell>
          <cell r="K17" t="str">
            <v>PERP</v>
          </cell>
          <cell r="L17" t="str">
            <v>ST</v>
          </cell>
        </row>
        <row r="18">
          <cell r="H18" t="str">
            <v>Jose Cayetano</v>
          </cell>
          <cell r="K18" t="str">
            <v>CIL</v>
          </cell>
          <cell r="L18" t="str">
            <v>MF</v>
          </cell>
        </row>
        <row r="19">
          <cell r="H19" t="str">
            <v>Luis Mendoza</v>
          </cell>
          <cell r="K19" t="str">
            <v>DIS</v>
          </cell>
          <cell r="L19" t="str">
            <v>RO</v>
          </cell>
        </row>
        <row r="20">
          <cell r="K20" t="str">
            <v>CONC</v>
          </cell>
          <cell r="L20" t="str">
            <v>CMM</v>
          </cell>
        </row>
        <row r="21">
          <cell r="K21" t="str">
            <v>L</v>
          </cell>
          <cell r="L21" t="str">
            <v>CALC</v>
          </cell>
        </row>
        <row r="22">
          <cell r="K22"/>
          <cell r="L22" t="str">
            <v>McBETH</v>
          </cell>
        </row>
        <row r="23">
          <cell r="K23"/>
          <cell r="L23" t="str">
            <v>COLOR</v>
          </cell>
        </row>
        <row r="24">
          <cell r="K24"/>
          <cell r="L24"/>
        </row>
        <row r="25">
          <cell r="K25"/>
          <cell r="L25"/>
        </row>
      </sheetData>
      <sheetData sheetId="7"/>
      <sheetData sheetId="8">
        <row r="7">
          <cell r="C7" t="str">
            <v>Administrador</v>
          </cell>
        </row>
      </sheetData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Usuarios"/>
      <sheetName val="ESPEC_INF"/>
      <sheetName val="REPORT"/>
      <sheetName val="FORMATO"/>
      <sheetName val="STATUS_SEND_EMAIL"/>
      <sheetName val="STATUS_REQUEST"/>
      <sheetName val="REG_PROCESS"/>
      <sheetName val="REG_REQUEST"/>
      <sheetName val="REG_REQUEST_EDIT"/>
      <sheetName val="copia_calixto"/>
    </sheetNames>
    <sheetDataSet>
      <sheetData sheetId="0" refreshError="1"/>
      <sheetData sheetId="1" refreshError="1"/>
      <sheetData sheetId="2">
        <row r="5">
          <cell r="K5" t="str">
            <v>THK</v>
          </cell>
          <cell r="L5" t="str">
            <v>MC</v>
          </cell>
        </row>
        <row r="6">
          <cell r="K6" t="str">
            <v>PAR</v>
          </cell>
          <cell r="L6" t="str">
            <v>VR</v>
          </cell>
        </row>
        <row r="7">
          <cell r="K7" t="str">
            <v>D</v>
          </cell>
          <cell r="L7" t="str">
            <v>PG</v>
          </cell>
        </row>
        <row r="8">
          <cell r="K8" t="str">
            <v>B</v>
          </cell>
          <cell r="L8" t="str">
            <v>ROM</v>
          </cell>
        </row>
        <row r="9">
          <cell r="K9" t="str">
            <v>A</v>
          </cell>
          <cell r="L9" t="str">
            <v>SG</v>
          </cell>
        </row>
        <row r="10">
          <cell r="K10" t="str">
            <v>F</v>
          </cell>
          <cell r="L10" t="str">
            <v>TM</v>
          </cell>
        </row>
        <row r="11">
          <cell r="K11" t="str">
            <v>R</v>
          </cell>
          <cell r="L11" t="str">
            <v>HT</v>
          </cell>
        </row>
        <row r="12">
          <cell r="K12" t="str">
            <v>AL</v>
          </cell>
          <cell r="L12" t="str">
            <v>BG</v>
          </cell>
        </row>
        <row r="13">
          <cell r="K13" t="str">
            <v>PR</v>
          </cell>
          <cell r="L13" t="str">
            <v>ALT</v>
          </cell>
        </row>
        <row r="14">
          <cell r="K14" t="str">
            <v>HT</v>
          </cell>
          <cell r="L14" t="str">
            <v xml:space="preserve">T </v>
          </cell>
        </row>
        <row r="15">
          <cell r="K15" t="str">
            <v>PERP</v>
          </cell>
          <cell r="L15" t="str">
            <v>ST</v>
          </cell>
        </row>
        <row r="16">
          <cell r="K16" t="str">
            <v>CIL</v>
          </cell>
          <cell r="L16" t="str">
            <v>MF</v>
          </cell>
        </row>
        <row r="17">
          <cell r="K17" t="str">
            <v>DIS</v>
          </cell>
          <cell r="L17" t="str">
            <v>RO</v>
          </cell>
        </row>
        <row r="18">
          <cell r="K18" t="str">
            <v>CONC</v>
          </cell>
          <cell r="L18" t="str">
            <v>CMM</v>
          </cell>
        </row>
        <row r="19">
          <cell r="K19" t="str">
            <v>L</v>
          </cell>
          <cell r="L19" t="str">
            <v>CALC</v>
          </cell>
        </row>
        <row r="20">
          <cell r="L20" t="str">
            <v>McBETH</v>
          </cell>
        </row>
        <row r="21">
          <cell r="L21" t="str">
            <v>COLOR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Usuarios"/>
      <sheetName val="ESPEC_INF"/>
      <sheetName val="FORMATO"/>
      <sheetName val="STATUS_SEND_EMAIL"/>
      <sheetName val="STATUS_REQUEST"/>
      <sheetName val="REG_PROCESS"/>
      <sheetName val="REG_REQUEST"/>
      <sheetName val="REG_REQUEST_EDIT"/>
    </sheetNames>
    <sheetDataSet>
      <sheetData sheetId="0"/>
      <sheetData sheetId="1"/>
      <sheetData sheetId="2">
        <row r="5">
          <cell r="L5" t="str">
            <v>MC</v>
          </cell>
        </row>
        <row r="6">
          <cell r="L6" t="str">
            <v>VR</v>
          </cell>
        </row>
        <row r="7">
          <cell r="L7" t="str">
            <v>PG</v>
          </cell>
        </row>
        <row r="8">
          <cell r="L8" t="str">
            <v>ROM</v>
          </cell>
        </row>
        <row r="9">
          <cell r="L9" t="str">
            <v>SG</v>
          </cell>
        </row>
        <row r="10">
          <cell r="L10" t="str">
            <v>TM</v>
          </cell>
        </row>
        <row r="11">
          <cell r="L11" t="str">
            <v>HT</v>
          </cell>
        </row>
        <row r="12">
          <cell r="L12" t="str">
            <v>BG</v>
          </cell>
        </row>
        <row r="13">
          <cell r="L13" t="str">
            <v>ALT</v>
          </cell>
        </row>
        <row r="14">
          <cell r="L14" t="str">
            <v xml:space="preserve">T </v>
          </cell>
        </row>
        <row r="15">
          <cell r="L15" t="str">
            <v>ST</v>
          </cell>
        </row>
        <row r="16">
          <cell r="L16" t="str">
            <v>MF</v>
          </cell>
        </row>
        <row r="17">
          <cell r="L17" t="str">
            <v>RO</v>
          </cell>
        </row>
        <row r="18">
          <cell r="L18" t="str">
            <v>CMM</v>
          </cell>
        </row>
        <row r="19">
          <cell r="L19" t="str">
            <v>CALC</v>
          </cell>
        </row>
        <row r="20">
          <cell r="L20" t="str">
            <v>McBETH</v>
          </cell>
        </row>
        <row r="21">
          <cell r="L21" t="str">
            <v>COLOR</v>
          </cell>
        </row>
        <row r="22">
          <cell r="L22"/>
        </row>
        <row r="23">
          <cell r="L23"/>
        </row>
        <row r="24">
          <cell r="L24"/>
        </row>
        <row r="25">
          <cell r="L25"/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Usuarios"/>
      <sheetName val="StatusEquipos"/>
      <sheetName val="NAC_STATUS"/>
      <sheetName val="STATUS"/>
      <sheetName val="REG_TEST(TECH_LAB)"/>
      <sheetName val="REG_NEW_PROGRAMS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PARTES DE NUEVOS PROGRAMAS PARA PRUEBAS DE LABORATORIO</v>
          </cell>
          <cell r="B1"/>
          <cell r="C1"/>
          <cell r="D1"/>
          <cell r="E1"/>
          <cell r="F1"/>
          <cell r="G1"/>
          <cell r="H1"/>
        </row>
        <row r="2">
          <cell r="A2"/>
          <cell r="B2"/>
          <cell r="C2"/>
          <cell r="D2"/>
          <cell r="E2"/>
          <cell r="F2"/>
          <cell r="G2"/>
          <cell r="H2"/>
        </row>
        <row r="3">
          <cell r="A3" t="str">
            <v>SEM.</v>
          </cell>
          <cell r="B3" t="str">
            <v>CANT.</v>
          </cell>
          <cell r="C3" t="str">
            <v>PROGRAMA</v>
          </cell>
          <cell r="D3" t="str">
            <v>BPW#</v>
          </cell>
          <cell r="E3" t="str">
            <v>No. PARTE (TRW)</v>
          </cell>
          <cell r="F3" t="str">
            <v>No. PARTE (E/I)</v>
          </cell>
          <cell r="G3" t="str">
            <v>FECHA (MES/DIA)</v>
          </cell>
          <cell r="H3" t="str">
            <v>ENTREGADO POR:</v>
          </cell>
          <cell r="N3" t="str">
            <v>COMENTARIOS (NEW PROGRAMS)</v>
          </cell>
          <cell r="O3"/>
          <cell r="P3"/>
          <cell r="Q3"/>
        </row>
        <row r="4">
          <cell r="A4" t="str">
            <v>04</v>
          </cell>
          <cell r="B4">
            <v>36</v>
          </cell>
          <cell r="C4" t="str">
            <v>B562</v>
          </cell>
          <cell r="D4" t="str">
            <v>15-290</v>
          </cell>
          <cell r="E4" t="str">
            <v>34162290BBL-TL</v>
          </cell>
          <cell r="F4">
            <v>34162290</v>
          </cell>
          <cell r="G4">
            <v>42394</v>
          </cell>
          <cell r="H4" t="str">
            <v>DANIEL. B.</v>
          </cell>
          <cell r="N4"/>
          <cell r="O4"/>
          <cell r="P4"/>
          <cell r="Q4"/>
          <cell r="R4"/>
          <cell r="S4"/>
        </row>
        <row r="5">
          <cell r="A5" t="str">
            <v>04</v>
          </cell>
          <cell r="B5">
            <v>40</v>
          </cell>
          <cell r="C5" t="str">
            <v>B562</v>
          </cell>
          <cell r="D5" t="str">
            <v>15-290</v>
          </cell>
          <cell r="E5" t="str">
            <v>34162290BBL-TL</v>
          </cell>
          <cell r="F5">
            <v>34162290</v>
          </cell>
          <cell r="G5">
            <v>42394</v>
          </cell>
          <cell r="H5" t="str">
            <v>VARGAS</v>
          </cell>
          <cell r="N5"/>
          <cell r="O5"/>
          <cell r="P5"/>
          <cell r="Q5"/>
          <cell r="R5"/>
          <cell r="S5"/>
        </row>
        <row r="6">
          <cell r="A6" t="str">
            <v>04</v>
          </cell>
          <cell r="B6">
            <v>64</v>
          </cell>
          <cell r="C6" t="str">
            <v>K2XX</v>
          </cell>
          <cell r="D6" t="str">
            <v>15-160</v>
          </cell>
          <cell r="E6" t="str">
            <v>AA34171706A</v>
          </cell>
          <cell r="F6" t="str">
            <v>AA34171706A</v>
          </cell>
          <cell r="G6">
            <v>42394</v>
          </cell>
          <cell r="H6" t="str">
            <v>GENARO</v>
          </cell>
          <cell r="N6"/>
          <cell r="O6"/>
          <cell r="P6"/>
          <cell r="Q6"/>
          <cell r="R6"/>
          <cell r="S6"/>
        </row>
        <row r="7">
          <cell r="A7" t="str">
            <v>04</v>
          </cell>
          <cell r="B7">
            <v>12</v>
          </cell>
          <cell r="C7" t="str">
            <v>GMX-352</v>
          </cell>
          <cell r="D7" t="str">
            <v>16-106</v>
          </cell>
          <cell r="E7" t="str">
            <v>34120835CCOC-LA</v>
          </cell>
          <cell r="F7">
            <v>23142988</v>
          </cell>
          <cell r="G7">
            <v>42394</v>
          </cell>
          <cell r="H7" t="str">
            <v>FAUSTINO</v>
          </cell>
          <cell r="N7"/>
          <cell r="O7"/>
          <cell r="P7"/>
          <cell r="Q7"/>
          <cell r="R7"/>
          <cell r="S7"/>
        </row>
        <row r="8">
          <cell r="A8" t="str">
            <v>04</v>
          </cell>
          <cell r="B8">
            <v>36</v>
          </cell>
          <cell r="C8" t="str">
            <v>CD4.1</v>
          </cell>
          <cell r="D8" t="str">
            <v>15-146 R6</v>
          </cell>
          <cell r="E8" t="str">
            <v>34200649DMLS-FH</v>
          </cell>
          <cell r="F8" t="str">
            <v>HG93 F602B82 AD3CN4</v>
          </cell>
          <cell r="G8">
            <v>42394</v>
          </cell>
          <cell r="H8" t="str">
            <v>FAUSTINO</v>
          </cell>
          <cell r="N8"/>
          <cell r="O8"/>
          <cell r="P8"/>
          <cell r="Q8"/>
          <cell r="R8"/>
          <cell r="S8"/>
        </row>
        <row r="9">
          <cell r="A9" t="str">
            <v>04</v>
          </cell>
          <cell r="B9">
            <v>30</v>
          </cell>
          <cell r="C9" t="str">
            <v>CD4.1</v>
          </cell>
          <cell r="D9" t="str">
            <v>15-146 R6</v>
          </cell>
          <cell r="E9" t="str">
            <v>34200650D-FH</v>
          </cell>
          <cell r="F9" t="str">
            <v>HP53 54602B82 AD</v>
          </cell>
          <cell r="G9">
            <v>42394</v>
          </cell>
          <cell r="H9" t="str">
            <v>FAUSTINO</v>
          </cell>
          <cell r="N9"/>
          <cell r="O9"/>
          <cell r="P9"/>
          <cell r="Q9"/>
          <cell r="R9"/>
          <cell r="S9"/>
        </row>
        <row r="10">
          <cell r="A10" t="str">
            <v>04</v>
          </cell>
          <cell r="B10">
            <v>18</v>
          </cell>
          <cell r="C10" t="str">
            <v>GM C140</v>
          </cell>
          <cell r="D10" t="str">
            <v>16-103</v>
          </cell>
          <cell r="E10" t="str">
            <v>34085490HEBY-GDW</v>
          </cell>
          <cell r="F10">
            <v>94537003</v>
          </cell>
          <cell r="G10">
            <v>42395</v>
          </cell>
          <cell r="H10" t="str">
            <v>VARGAS</v>
          </cell>
          <cell r="N10"/>
          <cell r="O10"/>
          <cell r="P10"/>
          <cell r="Q10"/>
          <cell r="R10"/>
          <cell r="S10"/>
        </row>
        <row r="11">
          <cell r="A11" t="str">
            <v>04</v>
          </cell>
          <cell r="B11">
            <v>3</v>
          </cell>
          <cell r="C11" t="str">
            <v>K2XX</v>
          </cell>
          <cell r="D11" t="str">
            <v>15-123</v>
          </cell>
          <cell r="E11" t="str">
            <v>34120811HEBY-GSI</v>
          </cell>
          <cell r="F11">
            <v>2336533</v>
          </cell>
          <cell r="G11">
            <v>42395</v>
          </cell>
          <cell r="H11" t="str">
            <v>JUAN</v>
          </cell>
          <cell r="N11"/>
          <cell r="O11"/>
          <cell r="P11"/>
          <cell r="Q11"/>
          <cell r="R11"/>
          <cell r="S11"/>
        </row>
        <row r="12">
          <cell r="A12" t="str">
            <v>04</v>
          </cell>
          <cell r="B12">
            <v>3</v>
          </cell>
          <cell r="C12" t="str">
            <v>K2XX</v>
          </cell>
          <cell r="D12" t="str">
            <v>15-123</v>
          </cell>
          <cell r="E12" t="str">
            <v>34120810GEBY- GFW</v>
          </cell>
          <cell r="F12">
            <v>23365347</v>
          </cell>
          <cell r="G12">
            <v>42395</v>
          </cell>
          <cell r="H12" t="str">
            <v>JUAN</v>
          </cell>
          <cell r="N12"/>
          <cell r="O12"/>
          <cell r="P12"/>
          <cell r="Q12"/>
          <cell r="R12"/>
          <cell r="S12"/>
        </row>
        <row r="13">
          <cell r="A13" t="str">
            <v>04</v>
          </cell>
          <cell r="B13">
            <v>17</v>
          </cell>
          <cell r="C13" t="str">
            <v>B562</v>
          </cell>
          <cell r="D13" t="str">
            <v>15-289 R1</v>
          </cell>
          <cell r="E13" t="str">
            <v>34162291BBL-TL</v>
          </cell>
          <cell r="F13">
            <v>34162291</v>
          </cell>
          <cell r="G13">
            <v>42397</v>
          </cell>
          <cell r="H13" t="str">
            <v>DANIEL. B.</v>
          </cell>
          <cell r="N13"/>
          <cell r="O13"/>
          <cell r="P13"/>
          <cell r="Q13"/>
          <cell r="R13"/>
          <cell r="S13"/>
        </row>
        <row r="14">
          <cell r="A14" t="str">
            <v>04</v>
          </cell>
          <cell r="B14">
            <v>36</v>
          </cell>
          <cell r="C14" t="str">
            <v>CHRYSLER</v>
          </cell>
          <cell r="D14" t="str">
            <v>16-203</v>
          </cell>
          <cell r="E14">
            <v>3513246</v>
          </cell>
          <cell r="F14" t="str">
            <v>1AF27DX9AC</v>
          </cell>
          <cell r="G14">
            <v>42398</v>
          </cell>
          <cell r="H14" t="str">
            <v>MARCIAL</v>
          </cell>
          <cell r="N14"/>
          <cell r="O14"/>
          <cell r="P14"/>
          <cell r="Q14"/>
          <cell r="R14"/>
          <cell r="S14"/>
        </row>
        <row r="15">
          <cell r="A15" t="str">
            <v>04</v>
          </cell>
          <cell r="B15">
            <v>36</v>
          </cell>
          <cell r="C15" t="str">
            <v>CHRYSLER</v>
          </cell>
          <cell r="D15" t="str">
            <v>16-203</v>
          </cell>
          <cell r="E15">
            <v>3512578</v>
          </cell>
          <cell r="F15" t="str">
            <v>0ZV84DX9AB</v>
          </cell>
          <cell r="G15">
            <v>42398</v>
          </cell>
          <cell r="H15" t="str">
            <v>MARCIAL</v>
          </cell>
          <cell r="N15"/>
          <cell r="O15"/>
          <cell r="P15"/>
          <cell r="Q15"/>
          <cell r="R15"/>
          <cell r="S15"/>
        </row>
        <row r="16">
          <cell r="A16" t="str">
            <v>04</v>
          </cell>
          <cell r="B16">
            <v>10</v>
          </cell>
          <cell r="C16" t="str">
            <v>BR2015</v>
          </cell>
          <cell r="D16" t="str">
            <v>16-202</v>
          </cell>
          <cell r="E16" t="str">
            <v>34177433AAN</v>
          </cell>
          <cell r="F16" t="str">
            <v>A2058600785 9C94</v>
          </cell>
          <cell r="G16">
            <v>42398</v>
          </cell>
          <cell r="H16" t="str">
            <v>DANIEL. B.</v>
          </cell>
          <cell r="N16"/>
          <cell r="O16"/>
          <cell r="P16"/>
          <cell r="Q16"/>
          <cell r="R16"/>
          <cell r="S16"/>
        </row>
        <row r="17">
          <cell r="A17" t="str">
            <v>04</v>
          </cell>
          <cell r="B17">
            <v>32</v>
          </cell>
          <cell r="C17" t="str">
            <v>DJ</v>
          </cell>
          <cell r="D17" t="str">
            <v>15-350 R-3</v>
          </cell>
          <cell r="E17" t="str">
            <v>34054312EBLC</v>
          </cell>
          <cell r="F17" t="str">
            <v>5KS941X9AD</v>
          </cell>
          <cell r="G17">
            <v>42398</v>
          </cell>
          <cell r="H17" t="str">
            <v>MARCIAL</v>
          </cell>
          <cell r="N17"/>
          <cell r="O17"/>
          <cell r="P17"/>
          <cell r="Q17"/>
          <cell r="R17"/>
          <cell r="S17"/>
        </row>
        <row r="18">
          <cell r="A18" t="str">
            <v>04</v>
          </cell>
          <cell r="B18">
            <v>32</v>
          </cell>
          <cell r="C18" t="str">
            <v>DJ</v>
          </cell>
          <cell r="D18" t="str">
            <v>15-350 R-3</v>
          </cell>
          <cell r="E18" t="str">
            <v>34054313EBLC</v>
          </cell>
          <cell r="F18" t="str">
            <v>5KS951X9AD</v>
          </cell>
          <cell r="G18">
            <v>42398</v>
          </cell>
          <cell r="H18" t="str">
            <v>MARCIAL</v>
          </cell>
          <cell r="N18"/>
          <cell r="O18"/>
          <cell r="P18"/>
          <cell r="Q18"/>
          <cell r="R18"/>
          <cell r="S18"/>
        </row>
        <row r="19">
          <cell r="A19" t="str">
            <v>04</v>
          </cell>
          <cell r="B19">
            <v>32</v>
          </cell>
          <cell r="C19" t="str">
            <v>DJ</v>
          </cell>
          <cell r="D19" t="str">
            <v>15-350 R-3</v>
          </cell>
          <cell r="E19" t="str">
            <v>34054314DBLC</v>
          </cell>
          <cell r="F19" t="str">
            <v>5KS861X9AD</v>
          </cell>
          <cell r="G19">
            <v>42398</v>
          </cell>
          <cell r="H19" t="str">
            <v>MARCIAL</v>
          </cell>
          <cell r="N19"/>
          <cell r="O19"/>
          <cell r="P19"/>
          <cell r="Q19"/>
          <cell r="R19"/>
          <cell r="S19"/>
        </row>
        <row r="20">
          <cell r="A20" t="str">
            <v>04</v>
          </cell>
          <cell r="B20">
            <v>6</v>
          </cell>
          <cell r="C20" t="str">
            <v>D2XX</v>
          </cell>
          <cell r="D20" t="str">
            <v>15-226</v>
          </cell>
          <cell r="E20" t="str">
            <v>34172670DEBY</v>
          </cell>
          <cell r="F20">
            <v>39051967</v>
          </cell>
          <cell r="G20">
            <v>42399</v>
          </cell>
          <cell r="H20" t="str">
            <v>MARTIN</v>
          </cell>
          <cell r="N20"/>
          <cell r="O20"/>
          <cell r="P20"/>
          <cell r="Q20"/>
          <cell r="R20"/>
          <cell r="S20"/>
        </row>
        <row r="21">
          <cell r="A21" t="str">
            <v>05</v>
          </cell>
          <cell r="B21">
            <v>19</v>
          </cell>
          <cell r="C21" t="str">
            <v>P473</v>
          </cell>
          <cell r="D21" t="str">
            <v>15-026</v>
          </cell>
          <cell r="E21" t="str">
            <v>34086794BBL</v>
          </cell>
          <cell r="F21" t="str">
            <v>BC342660044AB 3JA6</v>
          </cell>
          <cell r="G21">
            <v>42401</v>
          </cell>
          <cell r="H21" t="str">
            <v>NELSON</v>
          </cell>
          <cell r="N21"/>
          <cell r="O21"/>
          <cell r="P21"/>
          <cell r="Q21"/>
          <cell r="R21"/>
          <cell r="S21"/>
        </row>
        <row r="22">
          <cell r="A22" t="str">
            <v>05</v>
          </cell>
          <cell r="B22">
            <v>28</v>
          </cell>
          <cell r="C22" t="str">
            <v>K2XX</v>
          </cell>
          <cell r="D22" t="str">
            <v>15-026</v>
          </cell>
          <cell r="E22" t="str">
            <v>34132969BEBY</v>
          </cell>
          <cell r="F22">
            <v>23126357</v>
          </cell>
          <cell r="G22">
            <v>42401</v>
          </cell>
          <cell r="H22" t="str">
            <v>NELSON</v>
          </cell>
          <cell r="N22"/>
          <cell r="O22"/>
          <cell r="P22"/>
          <cell r="Q22"/>
          <cell r="R22"/>
          <cell r="S22"/>
        </row>
        <row r="23">
          <cell r="A23" t="str">
            <v>05</v>
          </cell>
          <cell r="B23">
            <v>48</v>
          </cell>
          <cell r="C23" t="str">
            <v>VW</v>
          </cell>
          <cell r="D23" t="str">
            <v>16-305</v>
          </cell>
          <cell r="E23" t="str">
            <v>34085471ASSW</v>
          </cell>
          <cell r="F23" t="str">
            <v>5C6 857 805A RAA</v>
          </cell>
          <cell r="G23">
            <v>42401</v>
          </cell>
          <cell r="H23" t="str">
            <v>FAUSTINO</v>
          </cell>
          <cell r="N23"/>
          <cell r="O23"/>
          <cell r="P23"/>
          <cell r="Q23"/>
          <cell r="R23"/>
          <cell r="S23"/>
        </row>
        <row r="24">
          <cell r="A24" t="str">
            <v>05</v>
          </cell>
          <cell r="B24">
            <v>144</v>
          </cell>
          <cell r="C24" t="str">
            <v>D2XX</v>
          </cell>
          <cell r="D24" t="str">
            <v>15-226</v>
          </cell>
          <cell r="E24" t="str">
            <v>34142829E</v>
          </cell>
          <cell r="F24" t="str">
            <v>CONTROL LEVER</v>
          </cell>
          <cell r="G24">
            <v>42401</v>
          </cell>
          <cell r="H24" t="str">
            <v>DANIEL. B.</v>
          </cell>
          <cell r="N24"/>
          <cell r="O24"/>
          <cell r="P24"/>
          <cell r="Q24"/>
          <cell r="R24"/>
          <cell r="S24"/>
        </row>
        <row r="25">
          <cell r="A25" t="str">
            <v>05</v>
          </cell>
          <cell r="B25">
            <v>40</v>
          </cell>
          <cell r="C25" t="str">
            <v>D2XX</v>
          </cell>
          <cell r="D25" t="str">
            <v>16-108</v>
          </cell>
          <cell r="E25" t="str">
            <v>34172665DEBY-GLT</v>
          </cell>
          <cell r="F25">
            <v>39043184</v>
          </cell>
          <cell r="G25">
            <v>42402</v>
          </cell>
          <cell r="H25" t="str">
            <v>DANIEL. B.</v>
          </cell>
          <cell r="N25"/>
          <cell r="O25"/>
          <cell r="P25"/>
          <cell r="Q25"/>
          <cell r="R25"/>
          <cell r="S25"/>
        </row>
        <row r="26">
          <cell r="A26" t="str">
            <v>05</v>
          </cell>
          <cell r="B26">
            <v>32</v>
          </cell>
          <cell r="C26" t="str">
            <v>DJ</v>
          </cell>
          <cell r="D26" t="str">
            <v>15-350 R-3</v>
          </cell>
          <cell r="E26" t="str">
            <v>34054315CBLC</v>
          </cell>
          <cell r="F26" t="str">
            <v>5KS791X9AC</v>
          </cell>
          <cell r="G26">
            <v>42402</v>
          </cell>
          <cell r="H26" t="str">
            <v>MARCIAL</v>
          </cell>
          <cell r="N26"/>
          <cell r="O26"/>
          <cell r="P26"/>
          <cell r="Q26"/>
          <cell r="R26"/>
          <cell r="S26"/>
        </row>
        <row r="27">
          <cell r="A27" t="str">
            <v>05</v>
          </cell>
          <cell r="B27">
            <v>30</v>
          </cell>
          <cell r="C27" t="str">
            <v>BR251</v>
          </cell>
          <cell r="D27" t="str">
            <v>15-359 R-1</v>
          </cell>
          <cell r="E27" t="str">
            <v>3512188 FA</v>
          </cell>
          <cell r="F27" t="str">
            <v>A251 860 7785</v>
          </cell>
          <cell r="G27">
            <v>42402</v>
          </cell>
          <cell r="H27" t="str">
            <v>MARCIAL</v>
          </cell>
          <cell r="N27"/>
          <cell r="O27"/>
          <cell r="P27"/>
          <cell r="Q27"/>
          <cell r="R27"/>
          <cell r="S27"/>
        </row>
        <row r="28">
          <cell r="A28" t="str">
            <v>05</v>
          </cell>
          <cell r="B28">
            <v>6</v>
          </cell>
          <cell r="C28" t="str">
            <v>CD4.1</v>
          </cell>
          <cell r="D28" t="str">
            <v>15-257 R-3</v>
          </cell>
          <cell r="E28" t="str">
            <v>34200644DBL-FH</v>
          </cell>
          <cell r="F28" t="str">
            <v>HG93 54612D64 AD3JA6</v>
          </cell>
          <cell r="G28">
            <v>42403</v>
          </cell>
          <cell r="H28" t="str">
            <v>FAUSTINO</v>
          </cell>
          <cell r="N28"/>
          <cell r="O28"/>
          <cell r="P28"/>
          <cell r="Q28"/>
          <cell r="R28"/>
          <cell r="S28"/>
        </row>
        <row r="29">
          <cell r="A29" t="str">
            <v>05</v>
          </cell>
          <cell r="B29">
            <v>40</v>
          </cell>
          <cell r="C29" t="str">
            <v>AUDI</v>
          </cell>
          <cell r="D29" t="str">
            <v>16-308</v>
          </cell>
          <cell r="E29" t="str">
            <v>34205337ASWZ</v>
          </cell>
          <cell r="F29" t="str">
            <v>80A 857 805 V04</v>
          </cell>
          <cell r="G29">
            <v>284</v>
          </cell>
          <cell r="H29" t="str">
            <v>FAUSTINO</v>
          </cell>
          <cell r="N29"/>
          <cell r="O29"/>
          <cell r="P29"/>
          <cell r="Q29"/>
          <cell r="R29"/>
          <cell r="S29"/>
        </row>
        <row r="30">
          <cell r="A30" t="str">
            <v>05</v>
          </cell>
          <cell r="B30">
            <v>10</v>
          </cell>
          <cell r="C30" t="str">
            <v>AUDI</v>
          </cell>
          <cell r="D30" t="str">
            <v>16-307</v>
          </cell>
          <cell r="E30" t="str">
            <v>34205343ASWZ</v>
          </cell>
          <cell r="F30" t="str">
            <v>80A 857 807 V04</v>
          </cell>
          <cell r="G30">
            <v>42404</v>
          </cell>
          <cell r="H30" t="str">
            <v>FAUSTINO</v>
          </cell>
          <cell r="N30"/>
          <cell r="O30"/>
          <cell r="P30"/>
          <cell r="Q30"/>
          <cell r="R30"/>
          <cell r="S30"/>
        </row>
        <row r="31">
          <cell r="A31" t="str">
            <v>05</v>
          </cell>
          <cell r="B31">
            <v>6</v>
          </cell>
          <cell r="C31" t="str">
            <v>CD4.1</v>
          </cell>
          <cell r="D31" t="str">
            <v>15-203 R4</v>
          </cell>
          <cell r="E31" t="str">
            <v>34202028DBL</v>
          </cell>
          <cell r="F31" t="str">
            <v>HG93-54612D64-ADW</v>
          </cell>
          <cell r="G31">
            <v>42404</v>
          </cell>
          <cell r="H31" t="str">
            <v>FAUSTINO</v>
          </cell>
          <cell r="N31"/>
          <cell r="O31"/>
          <cell r="P31"/>
          <cell r="Q31"/>
          <cell r="R31"/>
          <cell r="S31"/>
        </row>
        <row r="32">
          <cell r="A32" t="str">
            <v>05</v>
          </cell>
          <cell r="B32">
            <v>6</v>
          </cell>
          <cell r="C32" t="str">
            <v>CD4.1</v>
          </cell>
          <cell r="D32" t="str">
            <v>15-203 R-4</v>
          </cell>
          <cell r="E32" t="str">
            <v>34202027DBL</v>
          </cell>
          <cell r="F32" t="str">
            <v>HG93-54612D65-ADW</v>
          </cell>
          <cell r="G32">
            <v>42404</v>
          </cell>
          <cell r="H32" t="str">
            <v>FAUSTINO</v>
          </cell>
          <cell r="N32"/>
          <cell r="O32"/>
          <cell r="P32"/>
          <cell r="Q32"/>
          <cell r="R32"/>
          <cell r="S32"/>
        </row>
        <row r="33">
          <cell r="A33" t="str">
            <v>06</v>
          </cell>
          <cell r="B33">
            <v>82</v>
          </cell>
          <cell r="C33" t="str">
            <v>B562</v>
          </cell>
          <cell r="D33" t="str">
            <v>16-502</v>
          </cell>
          <cell r="E33" t="str">
            <v>34162290BBL-TL</v>
          </cell>
          <cell r="F33">
            <v>34162290</v>
          </cell>
          <cell r="G33">
            <v>42408</v>
          </cell>
          <cell r="H33" t="str">
            <v>DANIEL. B.</v>
          </cell>
          <cell r="N33"/>
          <cell r="O33"/>
          <cell r="P33"/>
          <cell r="Q33"/>
          <cell r="R33"/>
          <cell r="S33"/>
        </row>
        <row r="34">
          <cell r="A34" t="str">
            <v>06</v>
          </cell>
          <cell r="B34">
            <v>20</v>
          </cell>
          <cell r="C34" t="str">
            <v>RT</v>
          </cell>
          <cell r="D34" t="str">
            <v>15-026</v>
          </cell>
          <cell r="E34" t="str">
            <v>34009496JBLC</v>
          </cell>
          <cell r="F34" t="str">
            <v>0ZV861X9AH</v>
          </cell>
          <cell r="G34">
            <v>42409</v>
          </cell>
          <cell r="H34" t="str">
            <v>NELSON</v>
          </cell>
          <cell r="N34"/>
          <cell r="O34"/>
          <cell r="P34"/>
          <cell r="Q34"/>
          <cell r="R34"/>
          <cell r="S34"/>
        </row>
        <row r="35">
          <cell r="A35" t="str">
            <v>06</v>
          </cell>
          <cell r="B35">
            <v>30</v>
          </cell>
          <cell r="C35" t="str">
            <v>OMEGA</v>
          </cell>
          <cell r="D35" t="str">
            <v>DEV 401439</v>
          </cell>
          <cell r="E35" t="str">
            <v>34166658BEBY-FSH</v>
          </cell>
          <cell r="F35">
            <v>23298434</v>
          </cell>
          <cell r="G35">
            <v>42409</v>
          </cell>
          <cell r="H35" t="str">
            <v>A. PEREZ</v>
          </cell>
          <cell r="N35"/>
          <cell r="O35"/>
          <cell r="P35"/>
          <cell r="Q35"/>
          <cell r="R35"/>
          <cell r="S35"/>
        </row>
        <row r="36">
          <cell r="A36" t="str">
            <v>06</v>
          </cell>
          <cell r="B36">
            <v>3</v>
          </cell>
          <cell r="C36" t="str">
            <v>OMEGA</v>
          </cell>
          <cell r="D36" t="str">
            <v>DEV 401439</v>
          </cell>
          <cell r="E36" t="str">
            <v>3416630EEBY</v>
          </cell>
          <cell r="F36">
            <v>23505294</v>
          </cell>
          <cell r="G36">
            <v>42409</v>
          </cell>
          <cell r="H36" t="str">
            <v>O. RDZ</v>
          </cell>
          <cell r="N36"/>
          <cell r="O36"/>
          <cell r="P36"/>
          <cell r="Q36"/>
          <cell r="R36"/>
          <cell r="S36"/>
        </row>
        <row r="37">
          <cell r="A37" t="str">
            <v>06</v>
          </cell>
          <cell r="B37">
            <v>12</v>
          </cell>
          <cell r="C37" t="str">
            <v>HYUNDAI</v>
          </cell>
          <cell r="D37" t="str">
            <v>15-312 R-3</v>
          </cell>
          <cell r="E37" t="str">
            <v>34118419AOB</v>
          </cell>
          <cell r="F37" t="str">
            <v>88830 AZ500</v>
          </cell>
          <cell r="G37">
            <v>42410</v>
          </cell>
          <cell r="H37" t="str">
            <v>VARGAS</v>
          </cell>
          <cell r="N37"/>
          <cell r="O37"/>
          <cell r="P37"/>
          <cell r="Q37"/>
          <cell r="R37"/>
          <cell r="S37"/>
        </row>
        <row r="38">
          <cell r="A38" t="str">
            <v>06</v>
          </cell>
          <cell r="B38">
            <v>6</v>
          </cell>
          <cell r="C38" t="str">
            <v>B562 INDIA</v>
          </cell>
          <cell r="D38" t="str">
            <v>15-248 R2</v>
          </cell>
          <cell r="E38" t="str">
            <v>34237795ABL</v>
          </cell>
          <cell r="F38">
            <v>34237795</v>
          </cell>
          <cell r="G38">
            <v>42410</v>
          </cell>
          <cell r="H38" t="str">
            <v>DANIEL. B.</v>
          </cell>
          <cell r="N38"/>
          <cell r="O38"/>
          <cell r="P38"/>
          <cell r="Q38"/>
          <cell r="R38"/>
          <cell r="S38"/>
        </row>
        <row r="39">
          <cell r="A39" t="str">
            <v>06</v>
          </cell>
          <cell r="B39">
            <v>64</v>
          </cell>
          <cell r="C39" t="str">
            <v>GM</v>
          </cell>
          <cell r="D39" t="str">
            <v>15-271 R1</v>
          </cell>
          <cell r="E39" t="str">
            <v>34120812EDAG</v>
          </cell>
          <cell r="F39">
            <v>23256505</v>
          </cell>
          <cell r="G39">
            <v>42411</v>
          </cell>
          <cell r="H39" t="str">
            <v>NELSON</v>
          </cell>
          <cell r="N39"/>
          <cell r="O39"/>
          <cell r="P39"/>
          <cell r="Q39"/>
          <cell r="R39"/>
          <cell r="S39"/>
        </row>
        <row r="40">
          <cell r="A40" t="str">
            <v>06</v>
          </cell>
          <cell r="B40">
            <v>6</v>
          </cell>
          <cell r="C40" t="str">
            <v>C520</v>
          </cell>
          <cell r="D40" t="str">
            <v>15-243</v>
          </cell>
          <cell r="E40" t="str">
            <v>34097514NBLC</v>
          </cell>
          <cell r="F40" t="str">
            <v>CJ5478611B68AKJA6</v>
          </cell>
          <cell r="G40">
            <v>42411</v>
          </cell>
          <cell r="H40" t="str">
            <v>VARGAS</v>
          </cell>
          <cell r="N40"/>
          <cell r="O40"/>
          <cell r="P40"/>
          <cell r="Q40"/>
          <cell r="R40"/>
          <cell r="S40"/>
        </row>
        <row r="41">
          <cell r="A41" t="str">
            <v>06</v>
          </cell>
          <cell r="B41">
            <v>6</v>
          </cell>
          <cell r="C41" t="str">
            <v>C520</v>
          </cell>
          <cell r="D41" t="str">
            <v>15-243</v>
          </cell>
          <cell r="E41" t="str">
            <v>34097277NBLC</v>
          </cell>
          <cell r="F41" t="str">
            <v>CJ5478611B69AK3JA6</v>
          </cell>
          <cell r="G41">
            <v>42411</v>
          </cell>
          <cell r="H41" t="str">
            <v>VARGAS</v>
          </cell>
          <cell r="N41"/>
          <cell r="O41"/>
          <cell r="P41"/>
          <cell r="Q41"/>
          <cell r="R41"/>
          <cell r="S41"/>
        </row>
        <row r="42">
          <cell r="A42" t="str">
            <v>06</v>
          </cell>
          <cell r="B42">
            <v>6</v>
          </cell>
          <cell r="C42" t="str">
            <v>H567</v>
          </cell>
          <cell r="D42" t="str">
            <v>15-287 R1</v>
          </cell>
          <cell r="E42" t="str">
            <v>34187648CBL</v>
          </cell>
          <cell r="F42" t="str">
            <v>FC4B72611B09AC3EAX</v>
          </cell>
          <cell r="G42">
            <v>42412</v>
          </cell>
          <cell r="H42" t="str">
            <v>MARCIAL</v>
          </cell>
          <cell r="N42"/>
          <cell r="O42"/>
          <cell r="P42"/>
          <cell r="Q42"/>
          <cell r="R42"/>
          <cell r="S42"/>
        </row>
        <row r="43">
          <cell r="A43" t="str">
            <v>06</v>
          </cell>
          <cell r="B43">
            <v>6</v>
          </cell>
          <cell r="C43" t="str">
            <v>H567</v>
          </cell>
          <cell r="D43" t="str">
            <v>15-287 R1</v>
          </cell>
          <cell r="E43" t="str">
            <v>34187643BBL</v>
          </cell>
          <cell r="F43" t="str">
            <v>FC4B71611B08AB3EAX</v>
          </cell>
          <cell r="G43">
            <v>42412</v>
          </cell>
          <cell r="H43" t="str">
            <v>MARCIAL</v>
          </cell>
          <cell r="N43"/>
          <cell r="O43"/>
          <cell r="P43"/>
          <cell r="Q43"/>
          <cell r="R43"/>
          <cell r="S43"/>
        </row>
        <row r="44">
          <cell r="A44" t="str">
            <v>06</v>
          </cell>
          <cell r="B44">
            <v>6</v>
          </cell>
          <cell r="C44" t="str">
            <v>H567</v>
          </cell>
          <cell r="D44" t="str">
            <v>15-287 R1</v>
          </cell>
          <cell r="E44" t="str">
            <v>34187642CBL</v>
          </cell>
          <cell r="F44" t="str">
            <v>FC4B71666B09AC3EAX</v>
          </cell>
          <cell r="G44">
            <v>42412</v>
          </cell>
          <cell r="H44" t="str">
            <v>MARCIAL</v>
          </cell>
          <cell r="N44"/>
          <cell r="O44"/>
          <cell r="P44"/>
          <cell r="Q44"/>
          <cell r="R44"/>
          <cell r="S44"/>
        </row>
        <row r="45">
          <cell r="A45" t="str">
            <v>06</v>
          </cell>
          <cell r="B45">
            <v>7</v>
          </cell>
          <cell r="C45" t="str">
            <v>H567</v>
          </cell>
          <cell r="D45" t="str">
            <v>15-287 R1</v>
          </cell>
          <cell r="E45" t="str">
            <v>34187650CBL</v>
          </cell>
          <cell r="F45" t="str">
            <v>FC4B72611B09BC3EAX</v>
          </cell>
          <cell r="G45">
            <v>42412</v>
          </cell>
          <cell r="H45" t="str">
            <v>MARCIAL</v>
          </cell>
          <cell r="N45"/>
          <cell r="O45"/>
          <cell r="P45"/>
          <cell r="Q45"/>
          <cell r="R45"/>
          <cell r="S45"/>
        </row>
        <row r="46">
          <cell r="A46" t="str">
            <v>06</v>
          </cell>
          <cell r="B46">
            <v>6</v>
          </cell>
          <cell r="C46" t="str">
            <v>H567</v>
          </cell>
          <cell r="D46" t="str">
            <v>15-287 R1</v>
          </cell>
          <cell r="E46" t="str">
            <v>34187651BBL</v>
          </cell>
          <cell r="F46" t="str">
            <v>FC4B72611B08BB3EAX</v>
          </cell>
          <cell r="G46">
            <v>42412</v>
          </cell>
          <cell r="H46" t="str">
            <v>MARCIAL</v>
          </cell>
          <cell r="N46"/>
          <cell r="O46"/>
          <cell r="P46"/>
          <cell r="Q46"/>
          <cell r="R46"/>
          <cell r="S46"/>
        </row>
        <row r="47">
          <cell r="A47" t="str">
            <v>06</v>
          </cell>
          <cell r="B47">
            <v>7</v>
          </cell>
          <cell r="C47" t="str">
            <v>H567</v>
          </cell>
          <cell r="D47" t="str">
            <v>15-287 R1</v>
          </cell>
          <cell r="E47" t="str">
            <v>34187649BBL</v>
          </cell>
          <cell r="F47" t="str">
            <v>FC4B72611B08AB3EAX</v>
          </cell>
          <cell r="G47">
            <v>42412</v>
          </cell>
          <cell r="H47" t="str">
            <v>MARCIAL</v>
          </cell>
          <cell r="N47"/>
          <cell r="O47"/>
          <cell r="P47"/>
          <cell r="Q47"/>
          <cell r="R47"/>
          <cell r="S47"/>
        </row>
        <row r="48">
          <cell r="A48" t="str">
            <v>06</v>
          </cell>
          <cell r="B48">
            <v>6</v>
          </cell>
          <cell r="C48" t="str">
            <v>B562 INDIA</v>
          </cell>
          <cell r="D48" t="str">
            <v>15-248</v>
          </cell>
          <cell r="E48" t="str">
            <v>34237797ABL</v>
          </cell>
          <cell r="F48">
            <v>34237797</v>
          </cell>
          <cell r="G48">
            <v>42412</v>
          </cell>
          <cell r="H48" t="str">
            <v>DANIEL. B.</v>
          </cell>
          <cell r="N48"/>
          <cell r="O48"/>
          <cell r="P48"/>
          <cell r="Q48"/>
          <cell r="R48"/>
          <cell r="S48"/>
        </row>
        <row r="49">
          <cell r="A49" t="str">
            <v>06</v>
          </cell>
          <cell r="B49">
            <v>6</v>
          </cell>
          <cell r="C49" t="str">
            <v>H567</v>
          </cell>
          <cell r="D49" t="str">
            <v>15-287 R1</v>
          </cell>
          <cell r="E49" t="str">
            <v>34187640CBL</v>
          </cell>
          <cell r="F49" t="str">
            <v>FC4B70611B09</v>
          </cell>
          <cell r="G49">
            <v>42413</v>
          </cell>
          <cell r="H49" t="str">
            <v>JUAN</v>
          </cell>
          <cell r="N49"/>
          <cell r="O49"/>
          <cell r="P49"/>
          <cell r="Q49"/>
          <cell r="R49"/>
          <cell r="S49"/>
        </row>
        <row r="50">
          <cell r="A50" t="str">
            <v>06</v>
          </cell>
          <cell r="B50">
            <v>6</v>
          </cell>
          <cell r="C50" t="str">
            <v>H567</v>
          </cell>
          <cell r="D50" t="str">
            <v>15-287 R1</v>
          </cell>
          <cell r="E50" t="str">
            <v>34187653BBL</v>
          </cell>
          <cell r="F50" t="str">
            <v>FC4B70611B08</v>
          </cell>
          <cell r="G50">
            <v>42413</v>
          </cell>
          <cell r="H50" t="str">
            <v>JUAN</v>
          </cell>
          <cell r="N50"/>
          <cell r="O50"/>
          <cell r="P50"/>
          <cell r="Q50"/>
          <cell r="R50"/>
          <cell r="S50"/>
        </row>
        <row r="51">
          <cell r="A51" t="str">
            <v>06</v>
          </cell>
          <cell r="B51">
            <v>6</v>
          </cell>
          <cell r="C51" t="str">
            <v>H567</v>
          </cell>
          <cell r="D51" t="str">
            <v>15-287 R1</v>
          </cell>
          <cell r="E51" t="str">
            <v>34187652CBL</v>
          </cell>
          <cell r="F51" t="str">
            <v>FC4B70611B09</v>
          </cell>
          <cell r="G51">
            <v>42413</v>
          </cell>
          <cell r="H51" t="str">
            <v>JUAN</v>
          </cell>
          <cell r="N51"/>
          <cell r="O51"/>
          <cell r="P51"/>
          <cell r="Q51"/>
          <cell r="R51"/>
          <cell r="S51"/>
        </row>
        <row r="52">
          <cell r="A52" t="str">
            <v>06</v>
          </cell>
          <cell r="B52">
            <v>6</v>
          </cell>
          <cell r="C52" t="str">
            <v>H567</v>
          </cell>
          <cell r="D52" t="str">
            <v>15-287 R1</v>
          </cell>
          <cell r="E52" t="str">
            <v>34187641BBL</v>
          </cell>
          <cell r="F52" t="str">
            <v>FC4B70611B08</v>
          </cell>
          <cell r="G52">
            <v>42413</v>
          </cell>
          <cell r="H52" t="str">
            <v>JUAN</v>
          </cell>
          <cell r="N52"/>
          <cell r="O52"/>
          <cell r="P52"/>
          <cell r="Q52"/>
          <cell r="R52"/>
          <cell r="S52"/>
        </row>
        <row r="53">
          <cell r="A53" t="str">
            <v>07</v>
          </cell>
          <cell r="B53">
            <v>2</v>
          </cell>
          <cell r="C53" t="str">
            <v>OMEGA</v>
          </cell>
          <cell r="D53" t="str">
            <v>16-109</v>
          </cell>
          <cell r="E53" t="str">
            <v>34206569EEBY</v>
          </cell>
          <cell r="F53">
            <v>84049171</v>
          </cell>
          <cell r="G53">
            <v>42416</v>
          </cell>
          <cell r="H53" t="str">
            <v>ADRIEL</v>
          </cell>
          <cell r="N53"/>
          <cell r="O53"/>
          <cell r="P53"/>
          <cell r="Q53"/>
          <cell r="R53"/>
          <cell r="S53"/>
        </row>
        <row r="54">
          <cell r="A54" t="str">
            <v>07</v>
          </cell>
          <cell r="B54">
            <v>2</v>
          </cell>
          <cell r="C54" t="str">
            <v>OMEGA</v>
          </cell>
          <cell r="D54" t="str">
            <v>16-109</v>
          </cell>
          <cell r="E54" t="str">
            <v>34166646EEBY</v>
          </cell>
          <cell r="F54">
            <v>84035844</v>
          </cell>
          <cell r="G54">
            <v>42416</v>
          </cell>
          <cell r="H54" t="str">
            <v>ADRIEL</v>
          </cell>
          <cell r="N54"/>
          <cell r="O54"/>
          <cell r="P54"/>
          <cell r="Q54"/>
          <cell r="R54"/>
          <cell r="S54"/>
        </row>
        <row r="55">
          <cell r="A55" t="str">
            <v>07</v>
          </cell>
          <cell r="B55">
            <v>6</v>
          </cell>
          <cell r="C55" t="str">
            <v>RU</v>
          </cell>
          <cell r="D55" t="str">
            <v>15-413</v>
          </cell>
          <cell r="E55">
            <v>3512689</v>
          </cell>
          <cell r="F55" t="str">
            <v>0ZV72DX9AC</v>
          </cell>
          <cell r="G55">
            <v>42419</v>
          </cell>
          <cell r="H55" t="str">
            <v>FRANCISCO</v>
          </cell>
          <cell r="N55"/>
          <cell r="O55"/>
          <cell r="P55"/>
          <cell r="Q55"/>
          <cell r="R55"/>
          <cell r="S55"/>
        </row>
        <row r="56">
          <cell r="A56" t="str">
            <v>07</v>
          </cell>
          <cell r="B56">
            <v>52</v>
          </cell>
          <cell r="C56" t="str">
            <v>AUDI</v>
          </cell>
          <cell r="D56" t="str">
            <v>16-311</v>
          </cell>
          <cell r="E56" t="str">
            <v>34205337ASWZ</v>
          </cell>
          <cell r="F56" t="str">
            <v>80A857805V04</v>
          </cell>
          <cell r="G56">
            <v>42419</v>
          </cell>
          <cell r="H56" t="str">
            <v>FAUSTINO</v>
          </cell>
          <cell r="N56"/>
          <cell r="O56"/>
          <cell r="P56"/>
          <cell r="Q56"/>
          <cell r="R56"/>
          <cell r="S56"/>
        </row>
        <row r="57">
          <cell r="A57" t="str">
            <v>07</v>
          </cell>
          <cell r="B57">
            <v>12</v>
          </cell>
          <cell r="C57" t="str">
            <v>AUDI</v>
          </cell>
          <cell r="D57" t="str">
            <v>16-312</v>
          </cell>
          <cell r="E57" t="str">
            <v>34205341ASWZ</v>
          </cell>
          <cell r="F57" t="str">
            <v>80A857806AV</v>
          </cell>
          <cell r="G57">
            <v>42419</v>
          </cell>
          <cell r="H57" t="str">
            <v>LEIJA</v>
          </cell>
          <cell r="N57"/>
          <cell r="O57"/>
          <cell r="P57"/>
          <cell r="Q57"/>
          <cell r="R57"/>
          <cell r="S57"/>
        </row>
        <row r="58">
          <cell r="A58" t="str">
            <v>07</v>
          </cell>
          <cell r="B58">
            <v>60</v>
          </cell>
          <cell r="C58" t="str">
            <v>B562</v>
          </cell>
          <cell r="D58" t="str">
            <v>15-248 R3</v>
          </cell>
          <cell r="E58" t="str">
            <v>34237795BBL</v>
          </cell>
          <cell r="F58">
            <v>34237795</v>
          </cell>
          <cell r="G58">
            <v>42419</v>
          </cell>
          <cell r="H58" t="str">
            <v>JESUS D.</v>
          </cell>
          <cell r="N58"/>
          <cell r="O58"/>
          <cell r="P58"/>
          <cell r="Q58"/>
          <cell r="R58"/>
          <cell r="S58"/>
        </row>
        <row r="59">
          <cell r="A59" t="str">
            <v>07</v>
          </cell>
          <cell r="B59">
            <v>12</v>
          </cell>
          <cell r="C59" t="str">
            <v>AUDI</v>
          </cell>
          <cell r="D59" t="str">
            <v>16-312</v>
          </cell>
          <cell r="E59" t="str">
            <v>34205340ASWZ</v>
          </cell>
          <cell r="F59" t="str">
            <v>80A857805A</v>
          </cell>
          <cell r="G59">
            <v>42419</v>
          </cell>
          <cell r="H59" t="str">
            <v>LEIJA</v>
          </cell>
          <cell r="N59"/>
          <cell r="O59"/>
          <cell r="P59"/>
          <cell r="Q59"/>
          <cell r="R59"/>
          <cell r="S59"/>
        </row>
        <row r="60">
          <cell r="A60" t="str">
            <v>07</v>
          </cell>
          <cell r="B60">
            <v>12</v>
          </cell>
          <cell r="C60" t="str">
            <v>BEV2</v>
          </cell>
          <cell r="D60" t="str">
            <v>15-252 R1</v>
          </cell>
          <cell r="E60" t="str">
            <v>34212920BEBY</v>
          </cell>
          <cell r="F60">
            <v>42491873</v>
          </cell>
          <cell r="G60">
            <v>42420</v>
          </cell>
          <cell r="H60" t="str">
            <v>FAUSTINO</v>
          </cell>
          <cell r="N60"/>
          <cell r="O60"/>
          <cell r="P60"/>
          <cell r="Q60"/>
          <cell r="R60"/>
          <cell r="S60"/>
        </row>
        <row r="61">
          <cell r="A61" t="str">
            <v>07</v>
          </cell>
          <cell r="B61">
            <v>12</v>
          </cell>
          <cell r="C61" t="str">
            <v>BEV2</v>
          </cell>
          <cell r="D61" t="str">
            <v>15-252 R1</v>
          </cell>
          <cell r="E61" t="str">
            <v>34212919BEBY</v>
          </cell>
          <cell r="F61">
            <v>42491876</v>
          </cell>
          <cell r="G61">
            <v>42420</v>
          </cell>
          <cell r="H61" t="str">
            <v>FAUSTINO</v>
          </cell>
          <cell r="N61"/>
          <cell r="O61"/>
          <cell r="P61"/>
          <cell r="Q61"/>
          <cell r="R61"/>
          <cell r="S61"/>
        </row>
        <row r="62">
          <cell r="A62" t="str">
            <v>08</v>
          </cell>
          <cell r="B62">
            <v>60</v>
          </cell>
          <cell r="C62" t="str">
            <v>B562</v>
          </cell>
          <cell r="D62" t="str">
            <v>15-248 R3</v>
          </cell>
          <cell r="E62" t="str">
            <v>34237797BBL</v>
          </cell>
          <cell r="F62">
            <v>34237797</v>
          </cell>
          <cell r="G62">
            <v>42422</v>
          </cell>
          <cell r="H62" t="str">
            <v>JESUS D.</v>
          </cell>
          <cell r="N62"/>
          <cell r="O62"/>
          <cell r="P62"/>
          <cell r="Q62"/>
          <cell r="R62"/>
          <cell r="S62"/>
        </row>
        <row r="63">
          <cell r="A63" t="str">
            <v>08</v>
          </cell>
          <cell r="B63">
            <v>5</v>
          </cell>
          <cell r="C63" t="str">
            <v>OMEGA O1SL</v>
          </cell>
          <cell r="D63" t="str">
            <v>15-298 R2</v>
          </cell>
          <cell r="E63" t="str">
            <v>34166630FEBY</v>
          </cell>
          <cell r="F63">
            <v>84003973</v>
          </cell>
          <cell r="G63">
            <v>42424</v>
          </cell>
          <cell r="H63" t="str">
            <v>O. RDZ</v>
          </cell>
          <cell r="N63"/>
          <cell r="O63"/>
          <cell r="P63"/>
          <cell r="Q63"/>
          <cell r="R63"/>
          <cell r="S63"/>
        </row>
        <row r="64">
          <cell r="A64" t="str">
            <v>08</v>
          </cell>
          <cell r="B64">
            <v>5</v>
          </cell>
          <cell r="C64" t="str">
            <v>OMEGA O1SL</v>
          </cell>
          <cell r="D64" t="str">
            <v>15-298 R2</v>
          </cell>
          <cell r="E64" t="str">
            <v>34166629DEBY</v>
          </cell>
          <cell r="F64">
            <v>84003951</v>
          </cell>
          <cell r="G64">
            <v>42424</v>
          </cell>
          <cell r="H64" t="str">
            <v>O. RDZ</v>
          </cell>
          <cell r="N64"/>
          <cell r="O64"/>
          <cell r="P64"/>
          <cell r="Q64"/>
          <cell r="R64"/>
          <cell r="S64"/>
        </row>
        <row r="65">
          <cell r="A65" t="str">
            <v>08</v>
          </cell>
          <cell r="B65">
            <v>12</v>
          </cell>
          <cell r="C65" t="str">
            <v>K2XX</v>
          </cell>
          <cell r="D65" t="str">
            <v>15-210</v>
          </cell>
          <cell r="E65" t="str">
            <v>34120810FEBY</v>
          </cell>
          <cell r="F65">
            <v>23256546</v>
          </cell>
          <cell r="G65">
            <v>42425</v>
          </cell>
          <cell r="H65" t="str">
            <v>VARGAS</v>
          </cell>
          <cell r="N65"/>
          <cell r="O65"/>
          <cell r="P65"/>
          <cell r="Q65"/>
          <cell r="R65"/>
          <cell r="S65"/>
        </row>
        <row r="66">
          <cell r="A66" t="str">
            <v>08</v>
          </cell>
          <cell r="B66">
            <v>12</v>
          </cell>
          <cell r="C66" t="str">
            <v>K2XX</v>
          </cell>
          <cell r="D66" t="str">
            <v>15-210</v>
          </cell>
          <cell r="E66" t="str">
            <v>34120811GEBY</v>
          </cell>
          <cell r="F66">
            <v>23256532</v>
          </cell>
          <cell r="G66">
            <v>42425</v>
          </cell>
          <cell r="H66" t="str">
            <v>VARGAS</v>
          </cell>
          <cell r="N66"/>
          <cell r="O66"/>
          <cell r="P66"/>
          <cell r="Q66"/>
          <cell r="R66"/>
          <cell r="S66"/>
        </row>
        <row r="67">
          <cell r="A67" t="str">
            <v>08</v>
          </cell>
          <cell r="B67">
            <v>12</v>
          </cell>
          <cell r="C67" t="str">
            <v>BEV2</v>
          </cell>
          <cell r="D67" t="str">
            <v>15-255</v>
          </cell>
          <cell r="E67" t="str">
            <v>34212929 AEBY</v>
          </cell>
          <cell r="F67">
            <v>94515607</v>
          </cell>
          <cell r="G67">
            <v>42427</v>
          </cell>
          <cell r="H67" t="str">
            <v>DANIEL HDZ.</v>
          </cell>
          <cell r="N67"/>
          <cell r="O67"/>
          <cell r="P67"/>
          <cell r="Q67"/>
          <cell r="R67"/>
          <cell r="S67"/>
        </row>
        <row r="68">
          <cell r="A68" t="str">
            <v>08</v>
          </cell>
          <cell r="B68">
            <v>12</v>
          </cell>
          <cell r="C68" t="str">
            <v>BEV2</v>
          </cell>
          <cell r="D68" t="str">
            <v>15-255</v>
          </cell>
          <cell r="E68" t="str">
            <v>34212931AEBY</v>
          </cell>
          <cell r="F68">
            <v>94515620</v>
          </cell>
          <cell r="G68">
            <v>42427</v>
          </cell>
          <cell r="H68" t="str">
            <v>DANIEL HDZ.</v>
          </cell>
          <cell r="N68"/>
          <cell r="O68"/>
          <cell r="P68"/>
          <cell r="Q68"/>
          <cell r="R68"/>
          <cell r="S68"/>
        </row>
        <row r="69">
          <cell r="A69" t="str">
            <v>09</v>
          </cell>
          <cell r="B69">
            <v>12</v>
          </cell>
          <cell r="C69" t="str">
            <v>VW Cav. 175</v>
          </cell>
          <cell r="D69" t="str">
            <v>15-403</v>
          </cell>
          <cell r="E69" t="str">
            <v>34084307 assw</v>
          </cell>
          <cell r="F69" t="str">
            <v xml:space="preserve">5c6 857 805  </v>
          </cell>
          <cell r="G69">
            <v>42429</v>
          </cell>
          <cell r="H69" t="str">
            <v>VARGAS</v>
          </cell>
          <cell r="N69"/>
          <cell r="O69"/>
          <cell r="P69"/>
          <cell r="Q69"/>
          <cell r="R69"/>
          <cell r="S69"/>
        </row>
        <row r="70">
          <cell r="A70" t="str">
            <v>09</v>
          </cell>
          <cell r="B70">
            <v>12</v>
          </cell>
          <cell r="C70" t="str">
            <v>VW Cav. 176</v>
          </cell>
          <cell r="D70" t="str">
            <v>15-403</v>
          </cell>
          <cell r="E70" t="str">
            <v>34084307 assw</v>
          </cell>
          <cell r="F70" t="str">
            <v xml:space="preserve">5c6 857 805  </v>
          </cell>
          <cell r="G70">
            <v>42429</v>
          </cell>
          <cell r="H70" t="str">
            <v>VARGAS</v>
          </cell>
          <cell r="N70"/>
          <cell r="O70"/>
          <cell r="P70"/>
          <cell r="Q70"/>
          <cell r="R70"/>
          <cell r="S70"/>
        </row>
        <row r="71">
          <cell r="A71" t="str">
            <v>09</v>
          </cell>
          <cell r="B71">
            <v>12</v>
          </cell>
          <cell r="C71" t="str">
            <v>GMX-352</v>
          </cell>
          <cell r="D71" t="str">
            <v>16-309 R-2</v>
          </cell>
          <cell r="E71" t="str">
            <v>34122229 FEBY</v>
          </cell>
          <cell r="F71">
            <v>23262217</v>
          </cell>
          <cell r="G71">
            <v>42430</v>
          </cell>
          <cell r="H71" t="str">
            <v>MARCIAL</v>
          </cell>
          <cell r="N71"/>
          <cell r="O71"/>
          <cell r="P71"/>
          <cell r="Q71"/>
          <cell r="R71"/>
          <cell r="S71"/>
        </row>
        <row r="72">
          <cell r="A72" t="str">
            <v>09</v>
          </cell>
          <cell r="B72">
            <v>12</v>
          </cell>
          <cell r="C72" t="str">
            <v>GMX-352</v>
          </cell>
          <cell r="D72" t="str">
            <v>16-309 R-2</v>
          </cell>
          <cell r="E72" t="str">
            <v>34122228 FEBY</v>
          </cell>
          <cell r="F72">
            <v>23262222</v>
          </cell>
          <cell r="G72">
            <v>42430</v>
          </cell>
          <cell r="H72" t="str">
            <v>MARCIAL</v>
          </cell>
          <cell r="N72"/>
          <cell r="O72"/>
          <cell r="P72"/>
          <cell r="Q72"/>
          <cell r="R72"/>
          <cell r="S72"/>
        </row>
        <row r="73">
          <cell r="A73" t="str">
            <v>09</v>
          </cell>
          <cell r="B73">
            <v>12</v>
          </cell>
          <cell r="C73" t="str">
            <v>D2XX</v>
          </cell>
          <cell r="D73" t="str">
            <v>16-114</v>
          </cell>
          <cell r="E73" t="str">
            <v>34222294 CEBY-JRB</v>
          </cell>
          <cell r="F73">
            <v>3480456</v>
          </cell>
          <cell r="G73">
            <v>42430</v>
          </cell>
          <cell r="H73" t="str">
            <v>MARCIAL</v>
          </cell>
          <cell r="N73"/>
          <cell r="O73"/>
          <cell r="P73"/>
          <cell r="Q73"/>
          <cell r="R73"/>
          <cell r="S73"/>
        </row>
        <row r="74">
          <cell r="A74" t="str">
            <v>09</v>
          </cell>
          <cell r="B74">
            <v>30</v>
          </cell>
          <cell r="C74" t="str">
            <v>RT</v>
          </cell>
          <cell r="D74" t="str">
            <v>16-205</v>
          </cell>
          <cell r="E74" t="str">
            <v>5KQ12 DX9AD</v>
          </cell>
          <cell r="F74" t="str">
            <v>3513202 CWR</v>
          </cell>
          <cell r="G74">
            <v>42430</v>
          </cell>
          <cell r="H74" t="str">
            <v>MARCIAL</v>
          </cell>
          <cell r="N74"/>
          <cell r="O74"/>
          <cell r="P74"/>
          <cell r="Q74"/>
          <cell r="R74"/>
          <cell r="S74"/>
        </row>
        <row r="75">
          <cell r="A75" t="str">
            <v>09</v>
          </cell>
          <cell r="B75">
            <v>30</v>
          </cell>
          <cell r="C75" t="str">
            <v>RT</v>
          </cell>
          <cell r="D75" t="str">
            <v>16-205</v>
          </cell>
          <cell r="E75" t="str">
            <v>5KP94 DX9AD</v>
          </cell>
          <cell r="F75" t="str">
            <v>3513192 CSM</v>
          </cell>
          <cell r="G75">
            <v>42430</v>
          </cell>
          <cell r="H75" t="str">
            <v>MARCIAL</v>
          </cell>
          <cell r="N75"/>
          <cell r="O75"/>
          <cell r="P75"/>
          <cell r="Q75"/>
          <cell r="R75"/>
          <cell r="S75"/>
        </row>
        <row r="76">
          <cell r="A76" t="str">
            <v>09</v>
          </cell>
          <cell r="B76">
            <v>12</v>
          </cell>
          <cell r="C76" t="str">
            <v>K2XX</v>
          </cell>
          <cell r="D76" t="str">
            <v>16-315</v>
          </cell>
          <cell r="E76">
            <v>23256479</v>
          </cell>
          <cell r="F76" t="str">
            <v>34194289 DDA9</v>
          </cell>
          <cell r="G76">
            <v>42430</v>
          </cell>
          <cell r="H76" t="str">
            <v>BLANCA C</v>
          </cell>
          <cell r="N76"/>
          <cell r="O76"/>
          <cell r="P76"/>
          <cell r="Q76"/>
          <cell r="R76"/>
          <cell r="S76"/>
        </row>
        <row r="77">
          <cell r="A77" t="str">
            <v>09</v>
          </cell>
          <cell r="B77">
            <v>12</v>
          </cell>
          <cell r="C77" t="str">
            <v>BEV2</v>
          </cell>
          <cell r="D77" t="str">
            <v>15-252R1</v>
          </cell>
          <cell r="E77" t="str">
            <v>34212879 BEBY</v>
          </cell>
          <cell r="F77">
            <v>42494672</v>
          </cell>
          <cell r="G77">
            <v>42431</v>
          </cell>
          <cell r="H77" t="str">
            <v>JESUS R</v>
          </cell>
          <cell r="N77"/>
          <cell r="O77"/>
          <cell r="P77"/>
          <cell r="Q77"/>
          <cell r="R77"/>
          <cell r="S77"/>
        </row>
        <row r="78">
          <cell r="A78" t="str">
            <v>09</v>
          </cell>
          <cell r="B78">
            <v>12</v>
          </cell>
          <cell r="C78" t="str">
            <v>BEV2</v>
          </cell>
          <cell r="D78" t="str">
            <v>15-252R1</v>
          </cell>
          <cell r="E78" t="str">
            <v>34212880 BEBY</v>
          </cell>
          <cell r="F78">
            <v>42494668</v>
          </cell>
          <cell r="G78">
            <v>42431</v>
          </cell>
          <cell r="H78" t="str">
            <v>JESUS R</v>
          </cell>
          <cell r="N78"/>
          <cell r="O78"/>
          <cell r="P78"/>
          <cell r="Q78"/>
          <cell r="R78"/>
          <cell r="S78"/>
        </row>
        <row r="79">
          <cell r="A79" t="str">
            <v>09</v>
          </cell>
          <cell r="B79">
            <v>6</v>
          </cell>
          <cell r="C79" t="str">
            <v>BEV2</v>
          </cell>
          <cell r="D79" t="str">
            <v>15-253R1</v>
          </cell>
          <cell r="E79" t="str">
            <v>34212857 BEBY</v>
          </cell>
          <cell r="F79">
            <v>42491847</v>
          </cell>
          <cell r="G79">
            <v>42431</v>
          </cell>
          <cell r="H79" t="str">
            <v>JESUS R</v>
          </cell>
          <cell r="N79"/>
          <cell r="O79"/>
          <cell r="P79"/>
          <cell r="Q79"/>
          <cell r="R79"/>
          <cell r="S79"/>
        </row>
        <row r="80">
          <cell r="A80" t="str">
            <v>09</v>
          </cell>
          <cell r="B80">
            <v>6</v>
          </cell>
          <cell r="C80" t="str">
            <v>BEV2</v>
          </cell>
          <cell r="D80" t="str">
            <v>15-253R1</v>
          </cell>
          <cell r="E80" t="str">
            <v>34212858 BEBY</v>
          </cell>
          <cell r="F80">
            <v>42491844</v>
          </cell>
          <cell r="G80">
            <v>42431</v>
          </cell>
          <cell r="H80" t="str">
            <v>JESUS R</v>
          </cell>
          <cell r="N80"/>
          <cell r="O80"/>
          <cell r="P80"/>
          <cell r="Q80"/>
          <cell r="R80"/>
          <cell r="S80"/>
        </row>
        <row r="81">
          <cell r="A81" t="str">
            <v>09</v>
          </cell>
          <cell r="B81">
            <v>12</v>
          </cell>
          <cell r="C81" t="str">
            <v>BEV2</v>
          </cell>
          <cell r="D81" t="str">
            <v>15-255R1</v>
          </cell>
          <cell r="E81" t="str">
            <v>34212927 BEBY</v>
          </cell>
          <cell r="F81">
            <v>42492092</v>
          </cell>
          <cell r="G81">
            <v>42431</v>
          </cell>
          <cell r="H81" t="str">
            <v>JESUS R</v>
          </cell>
          <cell r="N81"/>
          <cell r="O81"/>
          <cell r="P81"/>
          <cell r="Q81"/>
          <cell r="R81"/>
          <cell r="S81"/>
        </row>
        <row r="82">
          <cell r="A82" t="str">
            <v>09</v>
          </cell>
          <cell r="B82">
            <v>12</v>
          </cell>
          <cell r="C82" t="str">
            <v>BEV2</v>
          </cell>
          <cell r="D82" t="str">
            <v>15-252R1</v>
          </cell>
          <cell r="E82" t="str">
            <v>34212881 BEBY</v>
          </cell>
          <cell r="F82">
            <v>42494662</v>
          </cell>
          <cell r="G82">
            <v>42431</v>
          </cell>
          <cell r="H82" t="str">
            <v>JESUS R</v>
          </cell>
          <cell r="N82"/>
          <cell r="O82"/>
          <cell r="P82"/>
          <cell r="Q82"/>
          <cell r="R82"/>
          <cell r="S82"/>
        </row>
        <row r="83">
          <cell r="A83" t="str">
            <v>09</v>
          </cell>
          <cell r="B83">
            <v>12</v>
          </cell>
          <cell r="C83" t="str">
            <v>BEV2</v>
          </cell>
          <cell r="D83" t="str">
            <v>15-251R1</v>
          </cell>
          <cell r="E83" t="str">
            <v>34212845 BEBY</v>
          </cell>
          <cell r="F83">
            <v>42494685</v>
          </cell>
          <cell r="G83">
            <v>42431</v>
          </cell>
          <cell r="H83" t="str">
            <v>JESUS R</v>
          </cell>
          <cell r="N83"/>
          <cell r="O83"/>
          <cell r="P83"/>
          <cell r="Q83"/>
          <cell r="R83"/>
          <cell r="S83"/>
        </row>
        <row r="84">
          <cell r="A84" t="str">
            <v>09</v>
          </cell>
          <cell r="B84">
            <v>12</v>
          </cell>
          <cell r="C84" t="str">
            <v>BEV2</v>
          </cell>
          <cell r="D84" t="str">
            <v>15-251R1</v>
          </cell>
          <cell r="E84" t="str">
            <v>34212847BEBY</v>
          </cell>
          <cell r="F84">
            <v>42494681</v>
          </cell>
          <cell r="G84">
            <v>42431</v>
          </cell>
          <cell r="H84" t="str">
            <v>Faustino Hdz</v>
          </cell>
          <cell r="N84"/>
          <cell r="O84"/>
          <cell r="P84"/>
          <cell r="Q84"/>
          <cell r="R84"/>
          <cell r="S84"/>
        </row>
        <row r="85">
          <cell r="A85" t="str">
            <v>09</v>
          </cell>
          <cell r="B85">
            <v>12</v>
          </cell>
          <cell r="C85" t="str">
            <v>BEV2</v>
          </cell>
          <cell r="D85" t="str">
            <v>15-251R1</v>
          </cell>
          <cell r="E85" t="str">
            <v>34212844BEBY</v>
          </cell>
          <cell r="F85">
            <v>42494682</v>
          </cell>
          <cell r="G85">
            <v>42431</v>
          </cell>
          <cell r="H85" t="str">
            <v>Faustino Hdz</v>
          </cell>
          <cell r="N85"/>
          <cell r="O85"/>
          <cell r="P85"/>
          <cell r="Q85"/>
          <cell r="R85"/>
          <cell r="S85"/>
        </row>
        <row r="86">
          <cell r="A86" t="str">
            <v>09</v>
          </cell>
          <cell r="B86">
            <v>12</v>
          </cell>
          <cell r="C86" t="str">
            <v>BEV2</v>
          </cell>
          <cell r="D86" t="str">
            <v>15-254R1</v>
          </cell>
          <cell r="E86" t="str">
            <v>34212866AEBY</v>
          </cell>
          <cell r="F86">
            <v>94515605</v>
          </cell>
          <cell r="G86">
            <v>42431</v>
          </cell>
          <cell r="H86" t="str">
            <v>Faustino Hdz</v>
          </cell>
          <cell r="N86"/>
          <cell r="O86"/>
          <cell r="P86"/>
          <cell r="Q86"/>
          <cell r="R86"/>
          <cell r="S86"/>
        </row>
        <row r="87">
          <cell r="A87" t="str">
            <v>09</v>
          </cell>
          <cell r="B87">
            <v>12</v>
          </cell>
          <cell r="C87" t="str">
            <v>BEV2</v>
          </cell>
          <cell r="D87" t="str">
            <v>15-254R1</v>
          </cell>
          <cell r="E87" t="str">
            <v>34212867AEBY</v>
          </cell>
          <cell r="F87">
            <v>94515603</v>
          </cell>
          <cell r="G87">
            <v>42431</v>
          </cell>
          <cell r="H87" t="str">
            <v>Faustino Hdz</v>
          </cell>
          <cell r="N87"/>
          <cell r="O87"/>
          <cell r="P87"/>
          <cell r="Q87"/>
          <cell r="R87"/>
          <cell r="S87"/>
        </row>
        <row r="88">
          <cell r="A88" t="str">
            <v>09</v>
          </cell>
          <cell r="B88">
            <v>27</v>
          </cell>
          <cell r="C88" t="str">
            <v>K2XX</v>
          </cell>
          <cell r="D88" t="str">
            <v>16-315</v>
          </cell>
          <cell r="E88" t="str">
            <v>34120812EDAG-GFW</v>
          </cell>
          <cell r="F88">
            <v>23256505</v>
          </cell>
          <cell r="G88">
            <v>42432</v>
          </cell>
          <cell r="H88" t="str">
            <v>BLANCA C</v>
          </cell>
          <cell r="N88"/>
          <cell r="O88"/>
          <cell r="P88"/>
          <cell r="Q88"/>
          <cell r="R88"/>
          <cell r="S88"/>
        </row>
        <row r="89">
          <cell r="A89" t="str">
            <v>09</v>
          </cell>
          <cell r="B89">
            <v>20</v>
          </cell>
          <cell r="C89" t="str">
            <v>K2XX</v>
          </cell>
          <cell r="D89" t="str">
            <v>16-315</v>
          </cell>
          <cell r="E89" t="str">
            <v>34147033G</v>
          </cell>
          <cell r="F89" t="str">
            <v>34147033G</v>
          </cell>
          <cell r="G89">
            <v>42432</v>
          </cell>
          <cell r="H89" t="str">
            <v>BLANCA C</v>
          </cell>
          <cell r="N89"/>
          <cell r="O89"/>
          <cell r="P89"/>
          <cell r="Q89"/>
          <cell r="R89"/>
          <cell r="S89"/>
        </row>
        <row r="90">
          <cell r="A90" t="str">
            <v>09</v>
          </cell>
          <cell r="B90">
            <v>20</v>
          </cell>
          <cell r="C90" t="str">
            <v>K2XX</v>
          </cell>
          <cell r="D90" t="str">
            <v>16-315</v>
          </cell>
          <cell r="E90" t="str">
            <v>33057253D</v>
          </cell>
          <cell r="F90" t="str">
            <v>33057253D</v>
          </cell>
          <cell r="G90">
            <v>42432</v>
          </cell>
          <cell r="H90" t="str">
            <v>BLANCA C</v>
          </cell>
          <cell r="N90"/>
          <cell r="O90"/>
          <cell r="P90"/>
          <cell r="Q90"/>
          <cell r="R90"/>
          <cell r="S90"/>
        </row>
        <row r="91">
          <cell r="A91" t="str">
            <v>09</v>
          </cell>
          <cell r="B91">
            <v>3</v>
          </cell>
          <cell r="C91" t="str">
            <v>BEV2</v>
          </cell>
          <cell r="D91" t="str">
            <v>15-253 r2</v>
          </cell>
          <cell r="E91">
            <v>42491847</v>
          </cell>
          <cell r="F91" t="str">
            <v>34212857beby</v>
          </cell>
          <cell r="G91">
            <v>42433</v>
          </cell>
          <cell r="H91" t="str">
            <v>Faustino Hdz</v>
          </cell>
          <cell r="N91"/>
          <cell r="O91"/>
          <cell r="P91"/>
          <cell r="Q91"/>
          <cell r="R91"/>
          <cell r="S91"/>
        </row>
        <row r="92">
          <cell r="A92" t="str">
            <v>09</v>
          </cell>
          <cell r="B92">
            <v>3</v>
          </cell>
          <cell r="C92" t="str">
            <v>BEV2</v>
          </cell>
          <cell r="D92" t="str">
            <v>15-253 r2</v>
          </cell>
          <cell r="E92">
            <v>42491844</v>
          </cell>
          <cell r="F92" t="str">
            <v>34212858beby</v>
          </cell>
          <cell r="G92">
            <v>42433</v>
          </cell>
          <cell r="H92" t="str">
            <v>Faustino Hdz</v>
          </cell>
          <cell r="N92"/>
          <cell r="O92"/>
          <cell r="P92"/>
          <cell r="Q92"/>
          <cell r="R92"/>
          <cell r="S92"/>
        </row>
        <row r="93">
          <cell r="A93" t="str">
            <v>09</v>
          </cell>
          <cell r="B93">
            <v>3</v>
          </cell>
          <cell r="C93" t="str">
            <v>BEV2</v>
          </cell>
          <cell r="D93" t="str">
            <v>15-255 r2</v>
          </cell>
          <cell r="E93">
            <v>94515620</v>
          </cell>
          <cell r="F93" t="str">
            <v>34212931aeby</v>
          </cell>
          <cell r="G93">
            <v>42433</v>
          </cell>
          <cell r="H93" t="str">
            <v>Faustino Hdz</v>
          </cell>
          <cell r="N93"/>
          <cell r="O93"/>
          <cell r="P93"/>
          <cell r="Q93"/>
          <cell r="R93"/>
          <cell r="S93"/>
        </row>
        <row r="94">
          <cell r="A94" t="str">
            <v>09</v>
          </cell>
          <cell r="B94">
            <v>3</v>
          </cell>
          <cell r="C94" t="str">
            <v>BEV2</v>
          </cell>
          <cell r="D94" t="str">
            <v>15-254 r2</v>
          </cell>
          <cell r="E94">
            <v>94515605</v>
          </cell>
          <cell r="F94" t="str">
            <v>34212866aeby</v>
          </cell>
          <cell r="G94">
            <v>42433</v>
          </cell>
          <cell r="H94" t="str">
            <v>Faustino Hdz</v>
          </cell>
          <cell r="N94"/>
          <cell r="O94"/>
          <cell r="P94"/>
          <cell r="Q94"/>
          <cell r="R94"/>
          <cell r="S94"/>
        </row>
        <row r="95">
          <cell r="A95" t="str">
            <v>09</v>
          </cell>
          <cell r="B95">
            <v>3</v>
          </cell>
          <cell r="C95" t="str">
            <v>BEV2</v>
          </cell>
          <cell r="D95" t="str">
            <v>15-254 r2</v>
          </cell>
          <cell r="E95">
            <v>94515603</v>
          </cell>
          <cell r="F95" t="str">
            <v>34212867aeby</v>
          </cell>
          <cell r="G95">
            <v>42433</v>
          </cell>
          <cell r="H95" t="str">
            <v>Faustino Hdz</v>
          </cell>
          <cell r="N95"/>
          <cell r="O95"/>
          <cell r="P95"/>
          <cell r="Q95"/>
          <cell r="R95"/>
          <cell r="S95"/>
        </row>
        <row r="96">
          <cell r="A96" t="str">
            <v>09</v>
          </cell>
          <cell r="B96">
            <v>30</v>
          </cell>
          <cell r="C96" t="str">
            <v>G8 APT</v>
          </cell>
          <cell r="D96" t="str">
            <v>15-292 R-1</v>
          </cell>
          <cell r="E96" t="str">
            <v>34234880AEBY</v>
          </cell>
          <cell r="F96">
            <v>92287169</v>
          </cell>
          <cell r="G96">
            <v>42434</v>
          </cell>
          <cell r="H96" t="str">
            <v>MARTIN</v>
          </cell>
          <cell r="N96"/>
          <cell r="O96"/>
          <cell r="P96"/>
          <cell r="Q96"/>
          <cell r="R96"/>
          <cell r="S96"/>
        </row>
        <row r="97">
          <cell r="A97" t="str">
            <v>09</v>
          </cell>
          <cell r="B97">
            <v>30</v>
          </cell>
          <cell r="C97" t="str">
            <v>G8 APT</v>
          </cell>
          <cell r="D97" t="str">
            <v>15-292 R-1</v>
          </cell>
          <cell r="E97" t="str">
            <v>34234876AEBY</v>
          </cell>
          <cell r="F97">
            <v>92287168</v>
          </cell>
          <cell r="G97">
            <v>42434</v>
          </cell>
          <cell r="H97" t="str">
            <v>MARTIN</v>
          </cell>
          <cell r="N97"/>
          <cell r="O97"/>
          <cell r="P97"/>
          <cell r="Q97"/>
          <cell r="R97"/>
          <cell r="S97"/>
        </row>
        <row r="98">
          <cell r="A98" t="str">
            <v>10</v>
          </cell>
          <cell r="B98">
            <v>6</v>
          </cell>
          <cell r="C98" t="str">
            <v>K2XX</v>
          </cell>
          <cell r="D98" t="str">
            <v>15-210</v>
          </cell>
          <cell r="E98" t="str">
            <v>34122229FEBY</v>
          </cell>
          <cell r="F98">
            <v>23262217</v>
          </cell>
          <cell r="G98">
            <v>42436</v>
          </cell>
          <cell r="H98" t="str">
            <v>VARGAS</v>
          </cell>
          <cell r="N98"/>
          <cell r="O98"/>
          <cell r="P98"/>
          <cell r="Q98"/>
          <cell r="R98"/>
          <cell r="S98"/>
        </row>
        <row r="99">
          <cell r="A99" t="str">
            <v>10</v>
          </cell>
          <cell r="B99">
            <v>3</v>
          </cell>
          <cell r="C99" t="str">
            <v>K2XX</v>
          </cell>
          <cell r="D99" t="str">
            <v>15-210</v>
          </cell>
          <cell r="E99" t="str">
            <v>34120864FEBY</v>
          </cell>
          <cell r="F99">
            <v>23228930</v>
          </cell>
          <cell r="G99">
            <v>42438</v>
          </cell>
          <cell r="H99" t="str">
            <v>VARGAS</v>
          </cell>
          <cell r="N99"/>
          <cell r="O99"/>
          <cell r="P99"/>
          <cell r="Q99"/>
          <cell r="R99"/>
          <cell r="S99"/>
        </row>
        <row r="100">
          <cell r="A100" t="str">
            <v>10</v>
          </cell>
          <cell r="B100">
            <v>35</v>
          </cell>
          <cell r="C100" t="str">
            <v>MP</v>
          </cell>
          <cell r="D100" t="str">
            <v>ESPECIAL</v>
          </cell>
          <cell r="E100" t="str">
            <v>34208588ABLC</v>
          </cell>
          <cell r="F100" t="str">
            <v>5SV12DX9AA</v>
          </cell>
          <cell r="G100">
            <v>42439</v>
          </cell>
          <cell r="H100" t="str">
            <v>FCO. MARCIAL</v>
          </cell>
          <cell r="N100"/>
          <cell r="O100"/>
          <cell r="P100"/>
          <cell r="Q100"/>
          <cell r="R100"/>
          <cell r="S100"/>
        </row>
        <row r="101">
          <cell r="A101" t="str">
            <v>10</v>
          </cell>
          <cell r="B101">
            <v>15</v>
          </cell>
          <cell r="C101" t="str">
            <v>D2XX</v>
          </cell>
          <cell r="D101" t="str">
            <v>15-226</v>
          </cell>
          <cell r="E101" t="str">
            <v>34172670DEBY</v>
          </cell>
          <cell r="F101">
            <v>39051967</v>
          </cell>
          <cell r="G101">
            <v>42439</v>
          </cell>
          <cell r="H101" t="str">
            <v>DANIEL BALLESTEROS</v>
          </cell>
          <cell r="N101"/>
          <cell r="O101"/>
          <cell r="P101"/>
          <cell r="Q101"/>
          <cell r="R101"/>
          <cell r="S101"/>
        </row>
        <row r="102">
          <cell r="A102" t="str">
            <v>10</v>
          </cell>
          <cell r="B102">
            <v>13</v>
          </cell>
          <cell r="C102" t="str">
            <v>Y1XC</v>
          </cell>
          <cell r="D102" t="str">
            <v>16-315</v>
          </cell>
          <cell r="E102" t="str">
            <v>34120863FEBY</v>
          </cell>
          <cell r="F102">
            <v>23228935</v>
          </cell>
          <cell r="G102">
            <v>42440</v>
          </cell>
          <cell r="H102" t="str">
            <v>BLANCA C</v>
          </cell>
          <cell r="N102"/>
          <cell r="O102"/>
          <cell r="P102"/>
          <cell r="Q102"/>
          <cell r="R102"/>
          <cell r="S102"/>
        </row>
        <row r="103">
          <cell r="A103" t="str">
            <v>11</v>
          </cell>
          <cell r="B103">
            <v>64</v>
          </cell>
          <cell r="C103" t="str">
            <v>CD4.1</v>
          </cell>
          <cell r="D103" t="str">
            <v>16-403</v>
          </cell>
          <cell r="E103" t="str">
            <v>34200644DBL2-FH</v>
          </cell>
          <cell r="F103" t="str">
            <v>HG9354612D64AD1GJ</v>
          </cell>
          <cell r="G103">
            <v>42445</v>
          </cell>
          <cell r="H103" t="str">
            <v>SAUL CAMPOS</v>
          </cell>
          <cell r="N103"/>
          <cell r="O103"/>
          <cell r="P103"/>
          <cell r="Q103"/>
          <cell r="R103"/>
          <cell r="S103"/>
        </row>
        <row r="104">
          <cell r="A104" t="str">
            <v>11</v>
          </cell>
          <cell r="B104">
            <v>50</v>
          </cell>
          <cell r="C104" t="str">
            <v>CD4.1</v>
          </cell>
          <cell r="D104" t="str">
            <v>16-402</v>
          </cell>
          <cell r="E104" t="str">
            <v>34200644DBL2-FH</v>
          </cell>
          <cell r="F104" t="str">
            <v>HG9354612D64AD1GJ</v>
          </cell>
          <cell r="G104">
            <v>42445</v>
          </cell>
          <cell r="H104" t="str">
            <v>SAUL CAMPOS</v>
          </cell>
          <cell r="N104"/>
          <cell r="O104"/>
          <cell r="P104"/>
          <cell r="Q104"/>
          <cell r="R104"/>
          <cell r="S104"/>
        </row>
        <row r="105">
          <cell r="A105" t="str">
            <v>11</v>
          </cell>
          <cell r="B105">
            <v>15</v>
          </cell>
          <cell r="C105" t="str">
            <v>BEV2</v>
          </cell>
          <cell r="D105" t="str">
            <v>15-254 R-2</v>
          </cell>
          <cell r="E105" t="str">
            <v>34212867 AEBY</v>
          </cell>
          <cell r="F105">
            <v>94515603</v>
          </cell>
          <cell r="G105">
            <v>42447</v>
          </cell>
          <cell r="H105" t="str">
            <v>SAUL CAMPOS</v>
          </cell>
          <cell r="N105"/>
          <cell r="O105"/>
          <cell r="P105"/>
          <cell r="Q105"/>
          <cell r="R105"/>
          <cell r="S105"/>
        </row>
        <row r="106">
          <cell r="A106" t="str">
            <v>11</v>
          </cell>
          <cell r="B106">
            <v>15</v>
          </cell>
          <cell r="C106" t="str">
            <v>BEV2</v>
          </cell>
          <cell r="D106" t="str">
            <v>15-254 R-2</v>
          </cell>
          <cell r="E106" t="str">
            <v>34212866 AEBY</v>
          </cell>
          <cell r="F106">
            <v>94515605</v>
          </cell>
          <cell r="G106">
            <v>42447</v>
          </cell>
          <cell r="H106" t="str">
            <v>SAUL CAMPOS</v>
          </cell>
          <cell r="N106"/>
          <cell r="O106"/>
          <cell r="P106"/>
          <cell r="Q106"/>
          <cell r="R106"/>
          <cell r="S106"/>
        </row>
        <row r="107">
          <cell r="A107" t="str">
            <v>11</v>
          </cell>
          <cell r="B107">
            <v>12</v>
          </cell>
          <cell r="C107" t="str">
            <v>BEV2</v>
          </cell>
          <cell r="D107" t="str">
            <v>15-255 R-2</v>
          </cell>
          <cell r="E107" t="str">
            <v>34212931 AEBY</v>
          </cell>
          <cell r="F107">
            <v>94515620</v>
          </cell>
          <cell r="G107">
            <v>42447</v>
          </cell>
          <cell r="H107" t="str">
            <v>SAUL CAMPOS</v>
          </cell>
          <cell r="N107"/>
          <cell r="O107"/>
          <cell r="P107"/>
          <cell r="Q107"/>
          <cell r="R107"/>
          <cell r="S107"/>
        </row>
        <row r="108">
          <cell r="A108" t="str">
            <v>11</v>
          </cell>
          <cell r="B108">
            <v>3</v>
          </cell>
          <cell r="C108" t="str">
            <v>OMEGA</v>
          </cell>
          <cell r="D108" t="str">
            <v>15-265 R-1</v>
          </cell>
          <cell r="E108" t="str">
            <v>34166651 DEBY</v>
          </cell>
          <cell r="F108">
            <v>84043103</v>
          </cell>
          <cell r="G108">
            <v>42448</v>
          </cell>
          <cell r="H108" t="str">
            <v>SAUL CAMPOS</v>
          </cell>
          <cell r="N108"/>
          <cell r="O108"/>
          <cell r="P108"/>
          <cell r="Q108"/>
          <cell r="R108"/>
          <cell r="S108"/>
        </row>
        <row r="109">
          <cell r="A109" t="str">
            <v>12</v>
          </cell>
          <cell r="B109">
            <v>10</v>
          </cell>
          <cell r="C109" t="str">
            <v>AUDI</v>
          </cell>
          <cell r="D109" t="str">
            <v>16-324</v>
          </cell>
          <cell r="E109" t="str">
            <v>34205343 ASWZ</v>
          </cell>
          <cell r="F109" t="str">
            <v>80A 857 807 V04</v>
          </cell>
          <cell r="G109">
            <v>42450</v>
          </cell>
          <cell r="H109" t="str">
            <v>FAUSTINO CRUZ</v>
          </cell>
          <cell r="N109" t="str">
            <v>SHORTENED OAL</v>
          </cell>
          <cell r="O109"/>
          <cell r="P109"/>
          <cell r="Q109"/>
          <cell r="R109"/>
          <cell r="S109"/>
        </row>
        <row r="110">
          <cell r="A110" t="str">
            <v>12</v>
          </cell>
          <cell r="B110">
            <v>30</v>
          </cell>
          <cell r="C110" t="str">
            <v>B-299 SPOOL CLIP L-567</v>
          </cell>
          <cell r="D110" t="str">
            <v>15-081 R-1</v>
          </cell>
          <cell r="E110" t="str">
            <v>34181604 ABL-FC</v>
          </cell>
          <cell r="F110" t="str">
            <v>CE83-54611B72-AA</v>
          </cell>
          <cell r="G110">
            <v>42451</v>
          </cell>
          <cell r="H110" t="str">
            <v>MARCIAL</v>
          </cell>
          <cell r="N110" t="str">
            <v>RE-127 4-95</v>
          </cell>
          <cell r="O110"/>
          <cell r="P110"/>
          <cell r="Q110"/>
          <cell r="R110"/>
          <cell r="S110"/>
        </row>
        <row r="111">
          <cell r="A111" t="str">
            <v>12</v>
          </cell>
          <cell r="B111">
            <v>30</v>
          </cell>
          <cell r="C111" t="str">
            <v>B-299 SPOOL CLIP L-567</v>
          </cell>
          <cell r="D111" t="str">
            <v>15-081 R-1</v>
          </cell>
          <cell r="E111" t="str">
            <v>34181608-ABL-FC</v>
          </cell>
          <cell r="F111" t="str">
            <v>CE83-54611B72-AA</v>
          </cell>
          <cell r="G111">
            <v>42451</v>
          </cell>
          <cell r="H111" t="str">
            <v>MARCIAL</v>
          </cell>
          <cell r="N111" t="str">
            <v>RE-127 4-110</v>
          </cell>
          <cell r="O111"/>
          <cell r="P111"/>
          <cell r="Q111"/>
          <cell r="R111"/>
          <cell r="S111"/>
        </row>
        <row r="112">
          <cell r="A112" t="str">
            <v>12</v>
          </cell>
          <cell r="B112">
            <v>24</v>
          </cell>
          <cell r="C112" t="str">
            <v>VW</v>
          </cell>
          <cell r="D112" t="str">
            <v>16-317</v>
          </cell>
          <cell r="E112" t="str">
            <v>34084308 ASSW</v>
          </cell>
          <cell r="F112" t="str">
            <v>5C6 857 806 A RAA</v>
          </cell>
          <cell r="G112">
            <v>42452</v>
          </cell>
          <cell r="H112" t="str">
            <v>FAUSTINO CRUZ</v>
          </cell>
          <cell r="N112"/>
          <cell r="O112"/>
          <cell r="P112"/>
          <cell r="Q112"/>
          <cell r="R112"/>
          <cell r="S112"/>
        </row>
        <row r="113">
          <cell r="A113" t="str">
            <v>12</v>
          </cell>
          <cell r="B113">
            <v>6</v>
          </cell>
          <cell r="C113" t="str">
            <v>BEV2</v>
          </cell>
          <cell r="D113" t="str">
            <v>RE-128</v>
          </cell>
          <cell r="E113" t="str">
            <v>34212920BEBY</v>
          </cell>
          <cell r="F113">
            <v>42491873</v>
          </cell>
          <cell r="G113">
            <v>42453</v>
          </cell>
          <cell r="H113" t="str">
            <v>SAUL CAMPOS</v>
          </cell>
          <cell r="N113"/>
          <cell r="O113"/>
          <cell r="P113"/>
          <cell r="Q113"/>
          <cell r="R113"/>
          <cell r="S113"/>
        </row>
        <row r="114">
          <cell r="A114" t="str">
            <v>12</v>
          </cell>
          <cell r="B114">
            <v>6</v>
          </cell>
          <cell r="C114" t="str">
            <v>BEV2</v>
          </cell>
          <cell r="D114" t="str">
            <v>RE-127</v>
          </cell>
          <cell r="E114" t="str">
            <v>34212920BEBY</v>
          </cell>
          <cell r="F114">
            <v>42491873</v>
          </cell>
          <cell r="G114">
            <v>42453</v>
          </cell>
          <cell r="H114" t="str">
            <v>SAUL CAMPOS</v>
          </cell>
          <cell r="N114"/>
          <cell r="O114"/>
          <cell r="P114"/>
          <cell r="Q114"/>
          <cell r="R114"/>
          <cell r="S114"/>
        </row>
        <row r="115">
          <cell r="A115" t="str">
            <v>12</v>
          </cell>
          <cell r="B115">
            <v>6</v>
          </cell>
          <cell r="C115" t="str">
            <v>BEV2</v>
          </cell>
          <cell r="D115" t="str">
            <v>RE-127</v>
          </cell>
          <cell r="E115" t="str">
            <v>34212920BEBY</v>
          </cell>
          <cell r="F115">
            <v>42491873</v>
          </cell>
          <cell r="G115">
            <v>42453</v>
          </cell>
          <cell r="H115" t="str">
            <v>SAUL CAMPOS</v>
          </cell>
          <cell r="N115"/>
          <cell r="O115"/>
          <cell r="P115"/>
          <cell r="Q115"/>
          <cell r="R115"/>
          <cell r="S115"/>
        </row>
        <row r="116">
          <cell r="A116" t="str">
            <v>13</v>
          </cell>
          <cell r="B116">
            <v>50</v>
          </cell>
          <cell r="C116" t="str">
            <v>AUDI</v>
          </cell>
          <cell r="D116" t="str">
            <v>16-326</v>
          </cell>
          <cell r="E116" t="str">
            <v>34205337 ASWZ</v>
          </cell>
          <cell r="F116" t="str">
            <v>80A 857 805 V04</v>
          </cell>
          <cell r="G116">
            <v>42457</v>
          </cell>
          <cell r="H116" t="str">
            <v xml:space="preserve">FAUSTINO </v>
          </cell>
          <cell r="N116"/>
          <cell r="O116"/>
          <cell r="P116"/>
          <cell r="Q116"/>
          <cell r="R116"/>
          <cell r="S116"/>
        </row>
        <row r="117">
          <cell r="A117" t="str">
            <v>13</v>
          </cell>
          <cell r="B117">
            <v>3</v>
          </cell>
          <cell r="C117" t="str">
            <v>BEV2</v>
          </cell>
          <cell r="D117" t="str">
            <v>15-252 R-2</v>
          </cell>
          <cell r="E117" t="str">
            <v>34212881 BEBY</v>
          </cell>
          <cell r="F117">
            <v>42494662</v>
          </cell>
          <cell r="G117">
            <v>42457</v>
          </cell>
          <cell r="H117" t="str">
            <v xml:space="preserve">FAUSTINO </v>
          </cell>
          <cell r="N117"/>
          <cell r="O117"/>
          <cell r="P117"/>
          <cell r="Q117"/>
          <cell r="R117"/>
          <cell r="S117"/>
        </row>
        <row r="118">
          <cell r="A118" t="str">
            <v>13</v>
          </cell>
          <cell r="B118">
            <v>15</v>
          </cell>
          <cell r="C118" t="str">
            <v>BEV2</v>
          </cell>
          <cell r="D118" t="str">
            <v>15-254 R-2</v>
          </cell>
          <cell r="E118" t="str">
            <v>34212866 AEBY</v>
          </cell>
          <cell r="F118">
            <v>94515605</v>
          </cell>
          <cell r="G118">
            <v>42457</v>
          </cell>
          <cell r="H118" t="str">
            <v xml:space="preserve">FAUSTINO </v>
          </cell>
          <cell r="N118"/>
          <cell r="O118"/>
          <cell r="P118"/>
          <cell r="Q118"/>
          <cell r="R118"/>
          <cell r="S118"/>
        </row>
        <row r="119">
          <cell r="A119" t="str">
            <v>13</v>
          </cell>
          <cell r="B119">
            <v>15</v>
          </cell>
          <cell r="C119" t="str">
            <v>BEV2</v>
          </cell>
          <cell r="D119" t="str">
            <v>15-252 R-2</v>
          </cell>
          <cell r="E119" t="str">
            <v>34212919 BEBY</v>
          </cell>
          <cell r="F119">
            <v>42491876</v>
          </cell>
          <cell r="G119">
            <v>42457</v>
          </cell>
          <cell r="H119" t="str">
            <v xml:space="preserve">FAUSTINO </v>
          </cell>
          <cell r="N119"/>
          <cell r="O119"/>
          <cell r="P119"/>
          <cell r="Q119"/>
          <cell r="R119"/>
          <cell r="S119"/>
        </row>
        <row r="120">
          <cell r="A120" t="str">
            <v>13</v>
          </cell>
          <cell r="B120">
            <v>5</v>
          </cell>
          <cell r="C120" t="str">
            <v>BEV2</v>
          </cell>
          <cell r="D120" t="str">
            <v>15-252R2</v>
          </cell>
          <cell r="E120" t="str">
            <v>34212880BEBY</v>
          </cell>
          <cell r="F120">
            <v>42494668</v>
          </cell>
          <cell r="G120">
            <v>42458</v>
          </cell>
          <cell r="H120" t="str">
            <v xml:space="preserve">Jesus Rivera </v>
          </cell>
          <cell r="N120"/>
          <cell r="O120"/>
          <cell r="P120"/>
          <cell r="Q120"/>
          <cell r="R120"/>
          <cell r="S120"/>
        </row>
        <row r="121">
          <cell r="A121" t="str">
            <v>13</v>
          </cell>
          <cell r="B121">
            <v>12</v>
          </cell>
          <cell r="C121" t="str">
            <v>BEV2</v>
          </cell>
          <cell r="D121" t="str">
            <v>15-252R2</v>
          </cell>
          <cell r="E121" t="str">
            <v>34212881B</v>
          </cell>
          <cell r="F121" t="str">
            <v>ANCLA CON CINTO</v>
          </cell>
          <cell r="G121">
            <v>42458</v>
          </cell>
          <cell r="H121" t="str">
            <v xml:space="preserve">Jesus Rivera </v>
          </cell>
          <cell r="N121"/>
          <cell r="O121"/>
          <cell r="P121"/>
          <cell r="Q121"/>
          <cell r="R121"/>
          <cell r="S121"/>
        </row>
        <row r="122">
          <cell r="A122" t="str">
            <v>13</v>
          </cell>
          <cell r="B122">
            <v>12</v>
          </cell>
          <cell r="C122" t="str">
            <v>BEV2</v>
          </cell>
          <cell r="D122" t="str">
            <v>15-252R2</v>
          </cell>
          <cell r="E122" t="str">
            <v>34212920B</v>
          </cell>
          <cell r="F122" t="str">
            <v>ANCLA CON CINTO</v>
          </cell>
          <cell r="G122">
            <v>42458</v>
          </cell>
          <cell r="H122" t="str">
            <v xml:space="preserve">Jesus Rivera </v>
          </cell>
          <cell r="N122"/>
          <cell r="O122"/>
          <cell r="P122"/>
          <cell r="Q122"/>
          <cell r="R122"/>
          <cell r="S122"/>
        </row>
        <row r="123">
          <cell r="A123" t="str">
            <v>13</v>
          </cell>
          <cell r="B123">
            <v>12</v>
          </cell>
          <cell r="C123" t="str">
            <v>BEV2</v>
          </cell>
          <cell r="D123" t="str">
            <v>15-251R2</v>
          </cell>
          <cell r="E123" t="str">
            <v>34212844B</v>
          </cell>
          <cell r="F123" t="str">
            <v>ANCLA CON CINTO</v>
          </cell>
          <cell r="G123">
            <v>42458</v>
          </cell>
          <cell r="H123" t="str">
            <v xml:space="preserve">Jesus Rivera </v>
          </cell>
          <cell r="N123"/>
          <cell r="O123"/>
          <cell r="P123"/>
          <cell r="Q123"/>
          <cell r="R123"/>
          <cell r="S123"/>
        </row>
        <row r="124">
          <cell r="A124" t="str">
            <v>13</v>
          </cell>
          <cell r="B124">
            <v>27</v>
          </cell>
          <cell r="C124" t="str">
            <v>BEV2</v>
          </cell>
          <cell r="D124" t="str">
            <v>15-253R2</v>
          </cell>
          <cell r="E124" t="str">
            <v>34212858BEBY</v>
          </cell>
          <cell r="F124">
            <v>42491844</v>
          </cell>
          <cell r="G124">
            <v>42458</v>
          </cell>
          <cell r="H124" t="str">
            <v xml:space="preserve">Jesus Rivera </v>
          </cell>
          <cell r="N124"/>
          <cell r="O124"/>
          <cell r="P124"/>
          <cell r="Q124"/>
          <cell r="R124"/>
          <cell r="S124"/>
        </row>
        <row r="125">
          <cell r="A125" t="str">
            <v>13</v>
          </cell>
          <cell r="B125">
            <v>24</v>
          </cell>
          <cell r="C125" t="str">
            <v>BEV2</v>
          </cell>
          <cell r="D125" t="str">
            <v>15-253R2</v>
          </cell>
          <cell r="E125" t="str">
            <v>34212857BEBY</v>
          </cell>
          <cell r="F125">
            <v>42491847</v>
          </cell>
          <cell r="G125">
            <v>42458</v>
          </cell>
          <cell r="H125" t="str">
            <v xml:space="preserve">Jesus Rivera </v>
          </cell>
          <cell r="N125"/>
          <cell r="O125"/>
          <cell r="P125"/>
          <cell r="Q125"/>
          <cell r="R125"/>
          <cell r="S125"/>
        </row>
        <row r="126">
          <cell r="A126" t="str">
            <v>13</v>
          </cell>
          <cell r="B126">
            <v>6</v>
          </cell>
          <cell r="C126" t="str">
            <v>BEV2</v>
          </cell>
          <cell r="D126" t="str">
            <v>15-252R2</v>
          </cell>
          <cell r="E126" t="str">
            <v>34212881B</v>
          </cell>
          <cell r="F126" t="str">
            <v>SENSOR COVER</v>
          </cell>
          <cell r="G126">
            <v>42459</v>
          </cell>
          <cell r="H126" t="str">
            <v xml:space="preserve">Jesus Rivera </v>
          </cell>
          <cell r="N126"/>
          <cell r="O126"/>
          <cell r="P126"/>
          <cell r="Q126"/>
          <cell r="R126"/>
          <cell r="S126"/>
        </row>
        <row r="127">
          <cell r="A127" t="str">
            <v>13</v>
          </cell>
          <cell r="B127">
            <v>3</v>
          </cell>
          <cell r="C127" t="str">
            <v>BEV2</v>
          </cell>
          <cell r="D127" t="str">
            <v>15-252R2</v>
          </cell>
          <cell r="E127" t="str">
            <v>34212881B</v>
          </cell>
          <cell r="F127" t="str">
            <v>COVER SPRING</v>
          </cell>
          <cell r="G127">
            <v>42459</v>
          </cell>
          <cell r="H127" t="str">
            <v xml:space="preserve">Jesus Rivera </v>
          </cell>
          <cell r="N127"/>
          <cell r="O127"/>
          <cell r="P127"/>
          <cell r="Q127"/>
          <cell r="R127"/>
          <cell r="S127"/>
        </row>
        <row r="128">
          <cell r="A128" t="str">
            <v>13</v>
          </cell>
          <cell r="B128">
            <v>6</v>
          </cell>
          <cell r="C128" t="str">
            <v>BEV2</v>
          </cell>
          <cell r="D128" t="str">
            <v>15-251R2</v>
          </cell>
          <cell r="E128" t="str">
            <v>34212847B</v>
          </cell>
          <cell r="F128" t="str">
            <v>SENSOR COVER</v>
          </cell>
          <cell r="G128">
            <v>42459</v>
          </cell>
          <cell r="H128" t="str">
            <v xml:space="preserve">Jesus Rivera </v>
          </cell>
          <cell r="N128"/>
          <cell r="O128"/>
          <cell r="P128"/>
          <cell r="Q128"/>
          <cell r="R128"/>
          <cell r="S128"/>
        </row>
        <row r="129">
          <cell r="A129" t="str">
            <v>13</v>
          </cell>
          <cell r="B129">
            <v>6</v>
          </cell>
          <cell r="C129" t="str">
            <v>BEV2</v>
          </cell>
          <cell r="D129" t="str">
            <v>15-251R2</v>
          </cell>
          <cell r="E129" t="str">
            <v>34212844B</v>
          </cell>
          <cell r="F129" t="str">
            <v>SENSOR COVER</v>
          </cell>
          <cell r="G129">
            <v>42459</v>
          </cell>
          <cell r="H129" t="str">
            <v xml:space="preserve">Jesus Rivera </v>
          </cell>
          <cell r="N129"/>
          <cell r="O129"/>
          <cell r="P129"/>
          <cell r="Q129"/>
          <cell r="R129"/>
          <cell r="S129"/>
        </row>
        <row r="130">
          <cell r="A130" t="str">
            <v>13</v>
          </cell>
          <cell r="B130">
            <v>64</v>
          </cell>
          <cell r="C130" t="str">
            <v>GMX-352 DLT</v>
          </cell>
          <cell r="D130" t="str">
            <v>16-314</v>
          </cell>
          <cell r="E130" t="str">
            <v>34122236 ABL</v>
          </cell>
          <cell r="F130" t="str">
            <v>34122236 ABL</v>
          </cell>
          <cell r="G130">
            <v>42460</v>
          </cell>
          <cell r="H130" t="str">
            <v>FAUSTINO CRUZ</v>
          </cell>
          <cell r="N130"/>
          <cell r="O130"/>
          <cell r="P130"/>
          <cell r="Q130"/>
          <cell r="R130"/>
          <cell r="S130"/>
        </row>
        <row r="131">
          <cell r="A131" t="str">
            <v>14</v>
          </cell>
          <cell r="B131">
            <v>18</v>
          </cell>
          <cell r="C131" t="str">
            <v>BEV 2</v>
          </cell>
          <cell r="D131" t="str">
            <v>15-251 R2</v>
          </cell>
          <cell r="E131" t="str">
            <v>34212844BEBY</v>
          </cell>
          <cell r="F131">
            <v>42494682</v>
          </cell>
          <cell r="G131">
            <v>42464</v>
          </cell>
          <cell r="H131" t="str">
            <v>FAUSTINO HDZ</v>
          </cell>
          <cell r="N131"/>
          <cell r="O131"/>
          <cell r="P131"/>
          <cell r="Q131"/>
          <cell r="R131"/>
          <cell r="S131"/>
        </row>
        <row r="132">
          <cell r="A132" t="str">
            <v>14</v>
          </cell>
          <cell r="B132">
            <v>6</v>
          </cell>
          <cell r="C132" t="str">
            <v>BEV 2</v>
          </cell>
          <cell r="D132" t="str">
            <v>15-251 R2</v>
          </cell>
          <cell r="E132" t="str">
            <v>34212847BEBY</v>
          </cell>
          <cell r="F132">
            <v>42494681</v>
          </cell>
          <cell r="G132">
            <v>42464</v>
          </cell>
          <cell r="H132" t="str">
            <v>FAUSTINO HDZ</v>
          </cell>
          <cell r="N132"/>
          <cell r="O132"/>
          <cell r="P132"/>
          <cell r="Q132"/>
          <cell r="R132"/>
          <cell r="S132"/>
        </row>
        <row r="133">
          <cell r="A133" t="str">
            <v>14</v>
          </cell>
          <cell r="B133">
            <v>7</v>
          </cell>
          <cell r="C133" t="str">
            <v>BEV 2</v>
          </cell>
          <cell r="D133" t="str">
            <v>15-251 R2</v>
          </cell>
          <cell r="E133" t="str">
            <v>34212844BEBY</v>
          </cell>
          <cell r="F133">
            <v>42494682</v>
          </cell>
          <cell r="G133">
            <v>42466</v>
          </cell>
          <cell r="H133" t="str">
            <v>FAUSTINO HDZ</v>
          </cell>
          <cell r="N133"/>
          <cell r="O133"/>
          <cell r="P133"/>
          <cell r="Q133"/>
          <cell r="R133"/>
          <cell r="S133"/>
        </row>
        <row r="134">
          <cell r="A134" t="str">
            <v>14</v>
          </cell>
          <cell r="B134">
            <v>2</v>
          </cell>
          <cell r="C134" t="str">
            <v>BEV 2</v>
          </cell>
          <cell r="D134" t="str">
            <v>15-251 R2</v>
          </cell>
          <cell r="E134" t="str">
            <v>34212844BEBY</v>
          </cell>
          <cell r="F134">
            <v>42494682</v>
          </cell>
          <cell r="G134">
            <v>42469</v>
          </cell>
          <cell r="H134" t="str">
            <v>Faustino Hdz</v>
          </cell>
          <cell r="N134"/>
          <cell r="O134"/>
          <cell r="P134"/>
          <cell r="Q134"/>
          <cell r="R134"/>
          <cell r="S134"/>
        </row>
        <row r="135">
          <cell r="A135" t="str">
            <v>14</v>
          </cell>
          <cell r="B135">
            <v>4</v>
          </cell>
          <cell r="C135" t="str">
            <v>BEV 2</v>
          </cell>
          <cell r="D135" t="str">
            <v>15-251 R2</v>
          </cell>
          <cell r="E135" t="str">
            <v>34212845BEBY</v>
          </cell>
          <cell r="F135">
            <v>42494685</v>
          </cell>
          <cell r="G135">
            <v>42469</v>
          </cell>
          <cell r="H135" t="str">
            <v>Faustino Hdz</v>
          </cell>
          <cell r="N135"/>
          <cell r="O135"/>
          <cell r="P135"/>
          <cell r="Q135"/>
          <cell r="R135"/>
          <cell r="S135"/>
        </row>
        <row r="136">
          <cell r="A136" t="str">
            <v>15</v>
          </cell>
          <cell r="B136">
            <v>12</v>
          </cell>
          <cell r="C136" t="str">
            <v>BEV2</v>
          </cell>
          <cell r="D136" t="str">
            <v>15-254 R1</v>
          </cell>
          <cell r="E136" t="str">
            <v>34212867AEBY</v>
          </cell>
          <cell r="F136">
            <v>94515603</v>
          </cell>
          <cell r="G136">
            <v>42471</v>
          </cell>
          <cell r="H136" t="str">
            <v>SAUL CAMPOS</v>
          </cell>
          <cell r="N136"/>
          <cell r="O136"/>
          <cell r="P136"/>
          <cell r="Q136"/>
          <cell r="R136"/>
          <cell r="S136"/>
        </row>
        <row r="137">
          <cell r="A137" t="str">
            <v>15</v>
          </cell>
          <cell r="B137">
            <v>48</v>
          </cell>
          <cell r="C137" t="str">
            <v>BEV2</v>
          </cell>
          <cell r="D137" t="str">
            <v xml:space="preserve">15-255 R2 </v>
          </cell>
          <cell r="E137" t="str">
            <v>34212931AEBY</v>
          </cell>
          <cell r="F137">
            <v>94515620</v>
          </cell>
          <cell r="G137">
            <v>42471</v>
          </cell>
          <cell r="H137" t="str">
            <v>Faustino Hdz</v>
          </cell>
          <cell r="N137"/>
          <cell r="O137"/>
          <cell r="P137"/>
          <cell r="Q137"/>
          <cell r="R137"/>
          <cell r="S137"/>
        </row>
        <row r="138">
          <cell r="A138" t="str">
            <v>15</v>
          </cell>
          <cell r="B138">
            <v>3</v>
          </cell>
          <cell r="C138" t="str">
            <v>BEV2</v>
          </cell>
          <cell r="D138" t="str">
            <v>15-252 R2</v>
          </cell>
          <cell r="E138" t="str">
            <v>34212879BEBY</v>
          </cell>
          <cell r="F138">
            <v>42494672</v>
          </cell>
          <cell r="G138">
            <v>42473</v>
          </cell>
          <cell r="H138" t="str">
            <v>Faustino Hdz</v>
          </cell>
          <cell r="N138"/>
          <cell r="O138"/>
          <cell r="P138"/>
          <cell r="Q138"/>
          <cell r="R138"/>
          <cell r="S138"/>
        </row>
        <row r="139">
          <cell r="A139" t="str">
            <v>15</v>
          </cell>
          <cell r="B139">
            <v>4</v>
          </cell>
          <cell r="C139" t="str">
            <v>BEV2</v>
          </cell>
          <cell r="D139" t="str">
            <v>15-252 R2</v>
          </cell>
          <cell r="E139" t="str">
            <v>34212880BEBY</v>
          </cell>
          <cell r="F139">
            <v>42494668</v>
          </cell>
          <cell r="G139">
            <v>42473</v>
          </cell>
          <cell r="H139" t="str">
            <v>Faustino Hdz</v>
          </cell>
          <cell r="N139"/>
          <cell r="O139"/>
          <cell r="P139"/>
          <cell r="Q139"/>
          <cell r="R139"/>
          <cell r="S139"/>
        </row>
        <row r="140">
          <cell r="A140" t="str">
            <v>15</v>
          </cell>
          <cell r="B140">
            <v>6</v>
          </cell>
          <cell r="C140" t="str">
            <v>VW326</v>
          </cell>
          <cell r="D140" t="str">
            <v>16-323 R2</v>
          </cell>
          <cell r="E140" t="str">
            <v>34240173ASSW</v>
          </cell>
          <cell r="F140" t="str">
            <v>5NL858491MNB</v>
          </cell>
          <cell r="G140">
            <v>42473</v>
          </cell>
          <cell r="H140" t="str">
            <v>NELSON GARCIA</v>
          </cell>
          <cell r="N140"/>
          <cell r="O140"/>
          <cell r="P140"/>
          <cell r="Q140"/>
          <cell r="R140"/>
          <cell r="S140"/>
        </row>
        <row r="141">
          <cell r="A141" t="str">
            <v>15</v>
          </cell>
          <cell r="B141">
            <v>12</v>
          </cell>
          <cell r="C141" t="str">
            <v>BEV2</v>
          </cell>
          <cell r="D141" t="str">
            <v>15-256R3</v>
          </cell>
          <cell r="E141" t="str">
            <v>34212874BEBY</v>
          </cell>
          <cell r="F141">
            <v>42494664</v>
          </cell>
          <cell r="G141">
            <v>42475</v>
          </cell>
          <cell r="H141" t="str">
            <v xml:space="preserve">Jesus Rivera </v>
          </cell>
          <cell r="N141"/>
          <cell r="O141"/>
          <cell r="P141"/>
          <cell r="Q141"/>
          <cell r="R141"/>
          <cell r="S141"/>
        </row>
        <row r="142">
          <cell r="A142" t="str">
            <v>15</v>
          </cell>
          <cell r="B142">
            <v>12</v>
          </cell>
          <cell r="C142" t="str">
            <v>BEV2</v>
          </cell>
          <cell r="D142" t="str">
            <v>15-256R3</v>
          </cell>
          <cell r="E142" t="str">
            <v>34212873BEBY</v>
          </cell>
          <cell r="F142">
            <v>42494666</v>
          </cell>
          <cell r="G142">
            <v>42475</v>
          </cell>
          <cell r="H142" t="str">
            <v xml:space="preserve">JESUS RIVERA </v>
          </cell>
          <cell r="N142"/>
          <cell r="O142"/>
          <cell r="P142"/>
          <cell r="Q142"/>
          <cell r="R142"/>
          <cell r="S142"/>
        </row>
        <row r="143">
          <cell r="A143" t="str">
            <v>16</v>
          </cell>
          <cell r="B143">
            <v>96</v>
          </cell>
          <cell r="C143" t="str">
            <v>K2XX</v>
          </cell>
          <cell r="D143" t="str">
            <v>15-160R3</v>
          </cell>
          <cell r="E143" t="str">
            <v>34120835CDAG</v>
          </cell>
          <cell r="F143">
            <v>23142990</v>
          </cell>
          <cell r="G143">
            <v>42480</v>
          </cell>
          <cell r="H143" t="str">
            <v>MANUEL VARGAS</v>
          </cell>
          <cell r="N143"/>
          <cell r="O143"/>
          <cell r="P143"/>
          <cell r="Q143"/>
          <cell r="R143"/>
          <cell r="S143"/>
        </row>
        <row r="144">
          <cell r="A144" t="str">
            <v>17</v>
          </cell>
          <cell r="B144">
            <v>15</v>
          </cell>
          <cell r="C144" t="str">
            <v>BEV2</v>
          </cell>
          <cell r="D144" t="str">
            <v>16-137 r1</v>
          </cell>
          <cell r="E144" t="str">
            <v>334212867aeby</v>
          </cell>
          <cell r="F144">
            <v>94515603</v>
          </cell>
          <cell r="G144">
            <v>42489</v>
          </cell>
          <cell r="H144" t="str">
            <v>faustino hdz</v>
          </cell>
          <cell r="N144"/>
          <cell r="O144"/>
          <cell r="P144"/>
          <cell r="Q144"/>
          <cell r="R144"/>
          <cell r="S144"/>
        </row>
        <row r="145">
          <cell r="A145" t="str">
            <v>17</v>
          </cell>
          <cell r="B145">
            <v>15</v>
          </cell>
          <cell r="C145" t="str">
            <v>BEV2</v>
          </cell>
          <cell r="D145" t="str">
            <v>16-137 r1</v>
          </cell>
          <cell r="E145" t="str">
            <v>34212866aeby</v>
          </cell>
          <cell r="F145">
            <v>94515605</v>
          </cell>
          <cell r="G145">
            <v>42489</v>
          </cell>
          <cell r="H145" t="str">
            <v>faustino hdz</v>
          </cell>
          <cell r="N145"/>
          <cell r="O145"/>
          <cell r="P145"/>
          <cell r="Q145"/>
          <cell r="R145"/>
          <cell r="S145"/>
        </row>
        <row r="146">
          <cell r="A146" t="str">
            <v>17</v>
          </cell>
          <cell r="B146">
            <v>72</v>
          </cell>
          <cell r="C146" t="str">
            <v>CD4.1</v>
          </cell>
          <cell r="D146" t="str">
            <v>16-414</v>
          </cell>
          <cell r="E146" t="str">
            <v>34200644DBL2-FH</v>
          </cell>
          <cell r="F146" t="str">
            <v>HG9354612D64AD</v>
          </cell>
          <cell r="G146">
            <v>42489</v>
          </cell>
          <cell r="H146" t="str">
            <v xml:space="preserve">Jesus Rivera </v>
          </cell>
          <cell r="N146"/>
          <cell r="O146"/>
          <cell r="P146"/>
          <cell r="Q146"/>
          <cell r="R146"/>
          <cell r="S146"/>
        </row>
        <row r="147">
          <cell r="A147" t="str">
            <v>17</v>
          </cell>
          <cell r="B147">
            <v>12</v>
          </cell>
          <cell r="C147" t="str">
            <v>d2xx</v>
          </cell>
          <cell r="D147" t="str">
            <v>16-138</v>
          </cell>
          <cell r="E147" t="str">
            <v>34222294beby</v>
          </cell>
          <cell r="F147">
            <v>39041623</v>
          </cell>
          <cell r="G147" t="str">
            <v>3 mayo 16</v>
          </cell>
          <cell r="H147" t="str">
            <v>chicharo</v>
          </cell>
          <cell r="N147"/>
          <cell r="O147"/>
          <cell r="P147"/>
          <cell r="Q147"/>
          <cell r="R147"/>
          <cell r="S147"/>
        </row>
        <row r="148">
          <cell r="A148" t="str">
            <v>17</v>
          </cell>
          <cell r="B148">
            <v>12</v>
          </cell>
          <cell r="C148" t="str">
            <v>d2xx</v>
          </cell>
          <cell r="D148" t="str">
            <v>16-138</v>
          </cell>
          <cell r="E148" t="str">
            <v>34172672ceby</v>
          </cell>
          <cell r="F148">
            <v>39046523</v>
          </cell>
          <cell r="G148" t="str">
            <v>3 mayo 16</v>
          </cell>
          <cell r="H148" t="str">
            <v>chicharo</v>
          </cell>
          <cell r="N148"/>
          <cell r="O148"/>
          <cell r="P148"/>
          <cell r="Q148"/>
          <cell r="R148"/>
          <cell r="S148"/>
        </row>
        <row r="149">
          <cell r="A149" t="str">
            <v>18</v>
          </cell>
          <cell r="B149">
            <v>8</v>
          </cell>
          <cell r="C149" t="str">
            <v>BEV2</v>
          </cell>
          <cell r="D149" t="str">
            <v>15-251</v>
          </cell>
          <cell r="E149" t="str">
            <v>34212844CEBY(TUBO)</v>
          </cell>
          <cell r="F149">
            <v>42506853</v>
          </cell>
          <cell r="G149">
            <v>42405</v>
          </cell>
          <cell r="H149" t="str">
            <v xml:space="preserve">Jesus Rivera </v>
          </cell>
          <cell r="N149"/>
          <cell r="O149"/>
          <cell r="P149"/>
          <cell r="Q149"/>
          <cell r="R149"/>
          <cell r="S149"/>
        </row>
        <row r="150">
          <cell r="A150" t="str">
            <v>19</v>
          </cell>
          <cell r="B150">
            <v>18</v>
          </cell>
          <cell r="C150" t="str">
            <v>D2jbi</v>
          </cell>
          <cell r="D150" t="str">
            <v>16-128R4</v>
          </cell>
          <cell r="E150" t="str">
            <v>34175310BEBY</v>
          </cell>
          <cell r="F150">
            <v>8488510</v>
          </cell>
          <cell r="G150" t="str">
            <v>16 MAYO 2016</v>
          </cell>
          <cell r="H150" t="str">
            <v>LUIS MTZ</v>
          </cell>
          <cell r="N150"/>
          <cell r="O150"/>
          <cell r="P150"/>
          <cell r="Q150"/>
          <cell r="R150"/>
          <cell r="S150"/>
        </row>
        <row r="151">
          <cell r="A151" t="str">
            <v>20</v>
          </cell>
          <cell r="B151">
            <v>15</v>
          </cell>
          <cell r="C151" t="str">
            <v>BEV2</v>
          </cell>
          <cell r="D151" t="str">
            <v>16-144</v>
          </cell>
          <cell r="E151" t="str">
            <v>34212845CEBY SIN AB CINTO</v>
          </cell>
          <cell r="F151">
            <v>42506856</v>
          </cell>
          <cell r="G151">
            <v>42506</v>
          </cell>
          <cell r="H151" t="str">
            <v>TINO HDZ</v>
          </cell>
          <cell r="N151"/>
          <cell r="O151"/>
          <cell r="P151"/>
          <cell r="Q151"/>
          <cell r="R151"/>
          <cell r="S151"/>
        </row>
        <row r="152">
          <cell r="A152" t="str">
            <v>20</v>
          </cell>
          <cell r="B152">
            <v>6</v>
          </cell>
          <cell r="C152" t="str">
            <v>BEV2</v>
          </cell>
          <cell r="D152" t="str">
            <v>16-144</v>
          </cell>
          <cell r="E152" t="str">
            <v>34212844CEBY CINTO SIN AB</v>
          </cell>
          <cell r="F152">
            <v>42506853</v>
          </cell>
          <cell r="G152">
            <v>42506</v>
          </cell>
          <cell r="H152" t="str">
            <v>TINO HDZ</v>
          </cell>
          <cell r="N152"/>
          <cell r="O152"/>
          <cell r="P152"/>
          <cell r="Q152"/>
          <cell r="R152"/>
          <cell r="S152"/>
        </row>
        <row r="153">
          <cell r="A153" t="str">
            <v/>
          </cell>
          <cell r="B153"/>
          <cell r="C153"/>
          <cell r="D153"/>
          <cell r="E153"/>
          <cell r="F153"/>
          <cell r="G153"/>
          <cell r="H153"/>
          <cell r="N153"/>
          <cell r="O153"/>
          <cell r="P153"/>
          <cell r="Q153"/>
          <cell r="R153"/>
          <cell r="S153"/>
        </row>
        <row r="154">
          <cell r="A154" t="str">
            <v/>
          </cell>
          <cell r="B154"/>
          <cell r="C154"/>
          <cell r="D154"/>
          <cell r="E154"/>
          <cell r="F154"/>
          <cell r="G154"/>
          <cell r="H154"/>
          <cell r="N154"/>
          <cell r="O154"/>
          <cell r="P154"/>
          <cell r="Q154"/>
          <cell r="R154"/>
          <cell r="S154"/>
        </row>
        <row r="155">
          <cell r="A155" t="str">
            <v/>
          </cell>
          <cell r="B155"/>
          <cell r="C155"/>
          <cell r="D155"/>
          <cell r="E155"/>
          <cell r="F155"/>
          <cell r="G155"/>
          <cell r="H155"/>
          <cell r="N155"/>
          <cell r="O155"/>
          <cell r="P155"/>
          <cell r="Q155"/>
          <cell r="R155"/>
          <cell r="S155"/>
        </row>
        <row r="156">
          <cell r="A156" t="str">
            <v/>
          </cell>
          <cell r="B156"/>
          <cell r="C156"/>
          <cell r="D156"/>
          <cell r="E156"/>
          <cell r="F156"/>
          <cell r="G156"/>
          <cell r="H156"/>
          <cell r="N156"/>
          <cell r="O156"/>
          <cell r="P156"/>
          <cell r="Q156"/>
          <cell r="R156"/>
          <cell r="S156"/>
        </row>
        <row r="157">
          <cell r="A157"/>
          <cell r="B157"/>
          <cell r="C157"/>
          <cell r="D157"/>
          <cell r="E157"/>
          <cell r="F157"/>
          <cell r="G157"/>
          <cell r="H157"/>
          <cell r="N157"/>
          <cell r="O157"/>
          <cell r="P157"/>
          <cell r="Q157"/>
          <cell r="R157"/>
          <cell r="S157"/>
        </row>
        <row r="158">
          <cell r="A158"/>
          <cell r="B158"/>
          <cell r="C158"/>
          <cell r="D158"/>
          <cell r="E158"/>
          <cell r="F158"/>
          <cell r="G158"/>
          <cell r="H158"/>
          <cell r="N158"/>
          <cell r="O158"/>
          <cell r="P158"/>
          <cell r="Q158"/>
          <cell r="R158"/>
          <cell r="S158"/>
        </row>
        <row r="159">
          <cell r="A159"/>
          <cell r="B159"/>
          <cell r="C159"/>
          <cell r="D159"/>
          <cell r="E159"/>
          <cell r="F159"/>
          <cell r="G159"/>
          <cell r="H159"/>
          <cell r="N159"/>
          <cell r="O159"/>
          <cell r="P159"/>
          <cell r="Q159"/>
          <cell r="R159"/>
          <cell r="S159"/>
        </row>
        <row r="160">
          <cell r="A160"/>
          <cell r="B160"/>
          <cell r="C160"/>
          <cell r="D160"/>
          <cell r="E160"/>
          <cell r="F160"/>
          <cell r="G160"/>
          <cell r="H160"/>
          <cell r="N160"/>
          <cell r="O160"/>
          <cell r="P160"/>
          <cell r="Q160"/>
          <cell r="R160"/>
          <cell r="S160"/>
        </row>
        <row r="161">
          <cell r="A161"/>
          <cell r="B161"/>
          <cell r="C161"/>
          <cell r="D161"/>
          <cell r="E161"/>
          <cell r="F161"/>
          <cell r="G161"/>
          <cell r="H161"/>
          <cell r="N161"/>
          <cell r="O161"/>
          <cell r="P161"/>
          <cell r="Q161"/>
          <cell r="R161"/>
          <cell r="S161"/>
        </row>
        <row r="162">
          <cell r="A162"/>
          <cell r="B162"/>
          <cell r="C162"/>
          <cell r="D162"/>
          <cell r="E162"/>
          <cell r="F162"/>
          <cell r="G162"/>
          <cell r="H162"/>
          <cell r="N162"/>
          <cell r="O162"/>
          <cell r="P162"/>
          <cell r="Q162"/>
          <cell r="R162"/>
          <cell r="S162"/>
        </row>
        <row r="163">
          <cell r="A163"/>
          <cell r="B163"/>
          <cell r="C163"/>
          <cell r="D163"/>
          <cell r="E163"/>
          <cell r="F163"/>
          <cell r="G163"/>
          <cell r="H163"/>
          <cell r="N163"/>
          <cell r="O163"/>
          <cell r="P163"/>
          <cell r="Q163"/>
          <cell r="R163"/>
          <cell r="S163"/>
        </row>
        <row r="164">
          <cell r="A164"/>
          <cell r="B164"/>
          <cell r="C164"/>
          <cell r="D164"/>
          <cell r="E164"/>
          <cell r="F164"/>
          <cell r="G164"/>
          <cell r="H164"/>
          <cell r="N164"/>
          <cell r="O164"/>
          <cell r="P164"/>
          <cell r="Q164"/>
          <cell r="R164"/>
          <cell r="S164"/>
        </row>
        <row r="165">
          <cell r="A165"/>
          <cell r="B165"/>
          <cell r="C165"/>
          <cell r="D165"/>
          <cell r="E165"/>
          <cell r="F165"/>
          <cell r="G165"/>
          <cell r="H165"/>
          <cell r="N165"/>
          <cell r="O165"/>
          <cell r="P165"/>
          <cell r="Q165"/>
          <cell r="R165"/>
          <cell r="S165"/>
        </row>
        <row r="166">
          <cell r="A166"/>
          <cell r="B166"/>
          <cell r="C166"/>
          <cell r="D166"/>
          <cell r="E166"/>
          <cell r="F166"/>
          <cell r="G166"/>
          <cell r="H166"/>
          <cell r="N166"/>
          <cell r="O166"/>
          <cell r="P166"/>
          <cell r="Q166"/>
          <cell r="R166"/>
          <cell r="S166"/>
        </row>
        <row r="167">
          <cell r="A167"/>
          <cell r="B167"/>
          <cell r="C167"/>
          <cell r="D167"/>
          <cell r="E167"/>
          <cell r="F167"/>
          <cell r="G167"/>
          <cell r="H167"/>
          <cell r="N167"/>
          <cell r="O167"/>
          <cell r="P167"/>
          <cell r="Q167"/>
          <cell r="R167"/>
          <cell r="S167"/>
        </row>
        <row r="168">
          <cell r="A168"/>
          <cell r="B168"/>
          <cell r="C168"/>
          <cell r="D168"/>
          <cell r="E168"/>
          <cell r="F168"/>
          <cell r="G168"/>
          <cell r="H168"/>
          <cell r="N168"/>
          <cell r="O168"/>
          <cell r="P168"/>
          <cell r="Q168"/>
          <cell r="R168"/>
          <cell r="S168"/>
        </row>
        <row r="169">
          <cell r="A169"/>
          <cell r="B169"/>
          <cell r="C169"/>
          <cell r="D169"/>
          <cell r="E169"/>
          <cell r="F169"/>
          <cell r="G169"/>
          <cell r="H169"/>
          <cell r="N169"/>
          <cell r="O169"/>
          <cell r="P169"/>
          <cell r="Q169"/>
          <cell r="R169"/>
          <cell r="S169"/>
        </row>
        <row r="170">
          <cell r="A170"/>
          <cell r="B170"/>
          <cell r="C170"/>
          <cell r="D170"/>
          <cell r="E170"/>
          <cell r="F170"/>
          <cell r="G170"/>
          <cell r="H170"/>
          <cell r="N170"/>
          <cell r="O170"/>
          <cell r="P170"/>
          <cell r="Q170"/>
          <cell r="R170"/>
          <cell r="S170"/>
        </row>
        <row r="171">
          <cell r="A171"/>
          <cell r="B171"/>
          <cell r="C171"/>
          <cell r="D171"/>
          <cell r="E171"/>
          <cell r="F171"/>
          <cell r="G171"/>
          <cell r="H171"/>
          <cell r="N171"/>
          <cell r="O171"/>
          <cell r="P171"/>
          <cell r="Q171"/>
          <cell r="R171"/>
          <cell r="S171"/>
        </row>
        <row r="172">
          <cell r="A172"/>
          <cell r="B172"/>
          <cell r="C172"/>
          <cell r="D172"/>
          <cell r="E172"/>
          <cell r="F172"/>
          <cell r="G172"/>
          <cell r="H172"/>
          <cell r="N172"/>
          <cell r="O172"/>
          <cell r="P172"/>
          <cell r="Q172"/>
          <cell r="R172"/>
          <cell r="S172"/>
        </row>
        <row r="173">
          <cell r="A173"/>
          <cell r="B173"/>
          <cell r="C173"/>
          <cell r="D173"/>
          <cell r="E173"/>
          <cell r="F173"/>
          <cell r="G173"/>
          <cell r="H173"/>
          <cell r="N173"/>
          <cell r="O173"/>
          <cell r="P173"/>
          <cell r="Q173"/>
          <cell r="R173"/>
          <cell r="S173"/>
        </row>
        <row r="174">
          <cell r="A174"/>
          <cell r="B174"/>
          <cell r="C174"/>
          <cell r="D174"/>
          <cell r="E174"/>
          <cell r="F174"/>
          <cell r="G174"/>
          <cell r="H174"/>
          <cell r="N174"/>
          <cell r="O174"/>
          <cell r="P174"/>
          <cell r="Q174"/>
          <cell r="R174"/>
          <cell r="S174"/>
        </row>
        <row r="175">
          <cell r="A175"/>
          <cell r="B175"/>
          <cell r="C175"/>
          <cell r="D175"/>
          <cell r="E175"/>
          <cell r="F175"/>
          <cell r="G175"/>
          <cell r="H175"/>
          <cell r="N175"/>
          <cell r="O175"/>
          <cell r="P175"/>
          <cell r="Q175"/>
          <cell r="R175"/>
          <cell r="S175"/>
        </row>
        <row r="176">
          <cell r="A176"/>
          <cell r="B176"/>
          <cell r="C176"/>
          <cell r="D176"/>
          <cell r="E176"/>
          <cell r="F176"/>
          <cell r="G176"/>
          <cell r="H176"/>
          <cell r="N176"/>
          <cell r="O176"/>
          <cell r="P176"/>
          <cell r="Q176"/>
          <cell r="R176"/>
          <cell r="S176"/>
        </row>
        <row r="177">
          <cell r="A177"/>
          <cell r="B177"/>
          <cell r="C177"/>
          <cell r="D177"/>
          <cell r="E177"/>
          <cell r="F177"/>
          <cell r="G177"/>
          <cell r="H177"/>
          <cell r="N177"/>
          <cell r="O177"/>
          <cell r="P177"/>
          <cell r="Q177"/>
          <cell r="R177"/>
          <cell r="S177"/>
        </row>
        <row r="178">
          <cell r="A178"/>
          <cell r="B178"/>
          <cell r="C178"/>
          <cell r="D178"/>
          <cell r="E178"/>
          <cell r="F178"/>
          <cell r="G178"/>
          <cell r="H178"/>
          <cell r="N178"/>
          <cell r="O178"/>
          <cell r="P178"/>
          <cell r="Q178"/>
          <cell r="R178"/>
          <cell r="S178"/>
        </row>
        <row r="179">
          <cell r="A179"/>
          <cell r="B179"/>
          <cell r="C179"/>
          <cell r="D179"/>
          <cell r="E179"/>
          <cell r="F179"/>
          <cell r="G179"/>
          <cell r="H179"/>
          <cell r="N179"/>
          <cell r="O179"/>
          <cell r="P179"/>
          <cell r="Q179"/>
          <cell r="R179"/>
          <cell r="S179"/>
        </row>
        <row r="180">
          <cell r="A180"/>
          <cell r="B180"/>
          <cell r="C180"/>
          <cell r="D180"/>
          <cell r="E180"/>
          <cell r="F180"/>
          <cell r="G180"/>
          <cell r="H180"/>
          <cell r="N180"/>
          <cell r="O180"/>
          <cell r="P180"/>
          <cell r="Q180"/>
          <cell r="R180"/>
          <cell r="S180"/>
        </row>
        <row r="181">
          <cell r="A181"/>
          <cell r="B181"/>
          <cell r="C181"/>
          <cell r="D181"/>
          <cell r="E181"/>
          <cell r="F181"/>
          <cell r="G181"/>
          <cell r="H181"/>
          <cell r="N181"/>
          <cell r="O181"/>
          <cell r="P181"/>
          <cell r="Q181"/>
          <cell r="R181"/>
          <cell r="S181"/>
        </row>
        <row r="182">
          <cell r="A182"/>
          <cell r="B182"/>
          <cell r="C182"/>
          <cell r="D182"/>
          <cell r="E182"/>
          <cell r="F182"/>
          <cell r="G182"/>
          <cell r="H182"/>
          <cell r="N182"/>
          <cell r="O182"/>
          <cell r="P182"/>
          <cell r="Q182"/>
          <cell r="R182"/>
          <cell r="S182"/>
        </row>
        <row r="183">
          <cell r="A183"/>
          <cell r="B183"/>
          <cell r="C183"/>
          <cell r="D183"/>
          <cell r="E183"/>
          <cell r="F183"/>
          <cell r="G183"/>
          <cell r="H183"/>
          <cell r="N183"/>
          <cell r="O183"/>
          <cell r="P183"/>
          <cell r="Q183"/>
          <cell r="R183"/>
          <cell r="S183"/>
        </row>
        <row r="184">
          <cell r="A184"/>
          <cell r="B184"/>
          <cell r="C184"/>
          <cell r="D184"/>
          <cell r="E184"/>
          <cell r="F184"/>
          <cell r="G184"/>
          <cell r="H184"/>
          <cell r="N184"/>
          <cell r="O184"/>
          <cell r="P184"/>
          <cell r="Q184"/>
          <cell r="R184"/>
          <cell r="S184"/>
        </row>
        <row r="185">
          <cell r="A185"/>
          <cell r="B185"/>
          <cell r="C185"/>
          <cell r="D185"/>
          <cell r="E185"/>
          <cell r="F185"/>
          <cell r="G185"/>
          <cell r="H185"/>
          <cell r="N185"/>
          <cell r="O185"/>
          <cell r="P185"/>
          <cell r="Q185"/>
          <cell r="R185"/>
          <cell r="S185"/>
        </row>
        <row r="186">
          <cell r="A186"/>
          <cell r="B186"/>
          <cell r="C186"/>
          <cell r="D186"/>
          <cell r="E186"/>
          <cell r="F186"/>
          <cell r="G186"/>
          <cell r="H186"/>
          <cell r="N186"/>
          <cell r="O186"/>
          <cell r="P186"/>
          <cell r="Q186"/>
          <cell r="R186"/>
          <cell r="S186"/>
        </row>
        <row r="187">
          <cell r="A187"/>
          <cell r="B187"/>
          <cell r="C187"/>
          <cell r="D187"/>
          <cell r="E187"/>
          <cell r="F187"/>
          <cell r="G187"/>
          <cell r="H187"/>
          <cell r="N187"/>
          <cell r="O187"/>
          <cell r="P187"/>
          <cell r="Q187"/>
          <cell r="R187"/>
          <cell r="S187"/>
        </row>
        <row r="188">
          <cell r="A188"/>
          <cell r="B188"/>
          <cell r="C188"/>
          <cell r="D188"/>
          <cell r="E188"/>
          <cell r="F188"/>
          <cell r="G188"/>
          <cell r="H188"/>
          <cell r="N188"/>
          <cell r="O188"/>
          <cell r="P188"/>
          <cell r="Q188"/>
          <cell r="R188"/>
          <cell r="S188"/>
        </row>
        <row r="189">
          <cell r="A189"/>
          <cell r="B189"/>
          <cell r="C189"/>
          <cell r="D189"/>
          <cell r="E189"/>
          <cell r="F189"/>
          <cell r="G189"/>
          <cell r="H189"/>
          <cell r="N189"/>
          <cell r="O189"/>
          <cell r="P189"/>
          <cell r="Q189"/>
          <cell r="R189"/>
          <cell r="S189"/>
        </row>
        <row r="190">
          <cell r="A190"/>
          <cell r="B190"/>
          <cell r="C190"/>
          <cell r="D190"/>
          <cell r="E190"/>
          <cell r="F190"/>
          <cell r="G190"/>
          <cell r="H190"/>
          <cell r="N190"/>
          <cell r="O190"/>
          <cell r="P190"/>
          <cell r="Q190"/>
          <cell r="R190"/>
          <cell r="S190"/>
        </row>
        <row r="191">
          <cell r="A191"/>
          <cell r="B191"/>
          <cell r="C191"/>
          <cell r="D191"/>
          <cell r="E191"/>
          <cell r="F191"/>
          <cell r="G191"/>
          <cell r="H191"/>
          <cell r="N191"/>
          <cell r="O191"/>
          <cell r="P191"/>
          <cell r="Q191"/>
          <cell r="R191"/>
          <cell r="S191"/>
        </row>
        <row r="192">
          <cell r="A192"/>
          <cell r="B192"/>
          <cell r="C192"/>
          <cell r="D192"/>
          <cell r="E192"/>
          <cell r="F192"/>
          <cell r="G192"/>
          <cell r="H192"/>
          <cell r="N192"/>
          <cell r="O192"/>
          <cell r="P192"/>
          <cell r="Q192"/>
          <cell r="R192"/>
          <cell r="S192"/>
        </row>
        <row r="193">
          <cell r="A193"/>
          <cell r="B193"/>
          <cell r="C193"/>
          <cell r="D193"/>
          <cell r="E193"/>
          <cell r="F193"/>
          <cell r="G193"/>
          <cell r="H193"/>
          <cell r="N193"/>
          <cell r="O193"/>
          <cell r="P193"/>
          <cell r="Q193"/>
          <cell r="R193"/>
          <cell r="S193"/>
        </row>
        <row r="194">
          <cell r="A194"/>
          <cell r="B194"/>
          <cell r="C194"/>
          <cell r="D194"/>
          <cell r="E194"/>
          <cell r="F194"/>
          <cell r="G194"/>
          <cell r="H194"/>
          <cell r="N194"/>
          <cell r="O194"/>
          <cell r="P194"/>
          <cell r="Q194"/>
          <cell r="R194"/>
          <cell r="S194"/>
        </row>
        <row r="195">
          <cell r="A195"/>
          <cell r="B195"/>
          <cell r="C195"/>
          <cell r="D195"/>
          <cell r="E195"/>
          <cell r="F195"/>
          <cell r="G195"/>
          <cell r="H195"/>
          <cell r="N195"/>
          <cell r="O195"/>
          <cell r="P195"/>
          <cell r="Q195"/>
          <cell r="R195"/>
          <cell r="S195"/>
        </row>
        <row r="196">
          <cell r="A196"/>
          <cell r="B196"/>
          <cell r="C196"/>
          <cell r="D196"/>
          <cell r="E196"/>
          <cell r="F196"/>
          <cell r="G196"/>
          <cell r="H196"/>
          <cell r="N196"/>
          <cell r="O196"/>
          <cell r="P196"/>
          <cell r="Q196"/>
          <cell r="R196"/>
          <cell r="S196"/>
        </row>
        <row r="197">
          <cell r="A197"/>
          <cell r="B197"/>
          <cell r="C197"/>
          <cell r="D197"/>
          <cell r="E197"/>
          <cell r="F197"/>
          <cell r="G197"/>
          <cell r="H197"/>
          <cell r="N197"/>
          <cell r="O197"/>
          <cell r="P197"/>
          <cell r="Q197"/>
          <cell r="R197"/>
          <cell r="S197"/>
        </row>
        <row r="198">
          <cell r="A198"/>
          <cell r="B198"/>
          <cell r="C198"/>
          <cell r="D198"/>
          <cell r="E198"/>
          <cell r="F198"/>
          <cell r="G198"/>
          <cell r="H198"/>
          <cell r="N198"/>
          <cell r="O198"/>
          <cell r="P198"/>
          <cell r="Q198"/>
          <cell r="R198"/>
          <cell r="S198"/>
        </row>
        <row r="199">
          <cell r="A199"/>
          <cell r="B199"/>
          <cell r="C199"/>
          <cell r="D199"/>
          <cell r="E199"/>
          <cell r="F199"/>
          <cell r="G199"/>
          <cell r="H199"/>
          <cell r="N199"/>
          <cell r="O199"/>
          <cell r="P199"/>
          <cell r="Q199"/>
          <cell r="R199"/>
          <cell r="S199"/>
        </row>
        <row r="200">
          <cell r="A200"/>
          <cell r="B200"/>
          <cell r="C200"/>
          <cell r="D200"/>
          <cell r="E200"/>
          <cell r="F200"/>
          <cell r="G200"/>
          <cell r="H200"/>
          <cell r="N200"/>
          <cell r="O200"/>
          <cell r="P200"/>
          <cell r="Q200"/>
          <cell r="R200"/>
          <cell r="S200"/>
        </row>
        <row r="201">
          <cell r="A201"/>
          <cell r="B201"/>
          <cell r="C201"/>
          <cell r="D201"/>
          <cell r="E201"/>
          <cell r="F201"/>
          <cell r="G201"/>
          <cell r="H201"/>
          <cell r="N201"/>
          <cell r="O201"/>
          <cell r="P201"/>
          <cell r="Q201"/>
          <cell r="R201"/>
          <cell r="S201"/>
        </row>
        <row r="202">
          <cell r="A202"/>
          <cell r="B202"/>
          <cell r="C202"/>
          <cell r="D202"/>
          <cell r="E202"/>
          <cell r="F202"/>
          <cell r="G202"/>
          <cell r="H202"/>
          <cell r="N202"/>
          <cell r="O202"/>
          <cell r="P202"/>
          <cell r="Q202"/>
          <cell r="R202"/>
          <cell r="S202"/>
        </row>
        <row r="203">
          <cell r="A203"/>
          <cell r="B203"/>
          <cell r="C203"/>
          <cell r="D203"/>
          <cell r="E203"/>
          <cell r="F203"/>
          <cell r="G203"/>
          <cell r="H203"/>
          <cell r="N203"/>
          <cell r="O203"/>
          <cell r="P203"/>
          <cell r="Q203"/>
          <cell r="R203"/>
          <cell r="S203"/>
        </row>
        <row r="204">
          <cell r="A204"/>
          <cell r="B204"/>
          <cell r="C204"/>
          <cell r="D204"/>
          <cell r="E204"/>
          <cell r="F204"/>
          <cell r="G204"/>
          <cell r="H204"/>
          <cell r="N204"/>
          <cell r="O204"/>
          <cell r="P204"/>
          <cell r="Q204"/>
          <cell r="R204"/>
          <cell r="S204"/>
        </row>
        <row r="205">
          <cell r="A205"/>
          <cell r="B205"/>
          <cell r="C205"/>
          <cell r="D205"/>
          <cell r="E205"/>
          <cell r="F205"/>
          <cell r="G205"/>
          <cell r="H205"/>
          <cell r="N205"/>
          <cell r="O205"/>
          <cell r="P205"/>
          <cell r="Q205"/>
          <cell r="R205"/>
          <cell r="S205"/>
        </row>
        <row r="206">
          <cell r="A206"/>
          <cell r="B206"/>
          <cell r="C206"/>
          <cell r="D206"/>
          <cell r="E206"/>
          <cell r="F206"/>
          <cell r="G206"/>
          <cell r="H206"/>
          <cell r="N206"/>
          <cell r="O206"/>
          <cell r="P206"/>
          <cell r="Q206"/>
          <cell r="R206"/>
          <cell r="S206"/>
        </row>
        <row r="207">
          <cell r="A207"/>
          <cell r="B207"/>
          <cell r="C207"/>
          <cell r="D207"/>
          <cell r="E207"/>
          <cell r="F207"/>
          <cell r="G207"/>
          <cell r="H207"/>
          <cell r="N207"/>
          <cell r="O207"/>
          <cell r="P207"/>
          <cell r="Q207"/>
          <cell r="R207"/>
          <cell r="S207"/>
        </row>
        <row r="208">
          <cell r="A208"/>
          <cell r="B208"/>
          <cell r="C208"/>
          <cell r="D208"/>
          <cell r="E208"/>
          <cell r="F208"/>
          <cell r="G208"/>
          <cell r="H208"/>
          <cell r="N208"/>
          <cell r="O208"/>
          <cell r="P208"/>
          <cell r="Q208"/>
          <cell r="R208"/>
          <cell r="S208"/>
        </row>
        <row r="209">
          <cell r="A209"/>
          <cell r="B209"/>
          <cell r="C209"/>
          <cell r="D209"/>
          <cell r="E209"/>
          <cell r="F209"/>
          <cell r="G209"/>
          <cell r="H209"/>
          <cell r="N209"/>
          <cell r="O209"/>
          <cell r="P209"/>
          <cell r="Q209"/>
          <cell r="R209"/>
          <cell r="S209"/>
        </row>
        <row r="210">
          <cell r="A210"/>
          <cell r="B210"/>
          <cell r="C210"/>
          <cell r="D210"/>
          <cell r="E210"/>
          <cell r="F210"/>
          <cell r="G210"/>
          <cell r="H210"/>
          <cell r="N210"/>
          <cell r="O210"/>
          <cell r="P210"/>
          <cell r="Q210"/>
          <cell r="R210"/>
          <cell r="S210"/>
        </row>
        <row r="211">
          <cell r="A211"/>
          <cell r="B211"/>
          <cell r="C211"/>
          <cell r="D211"/>
          <cell r="E211"/>
          <cell r="F211"/>
          <cell r="G211"/>
          <cell r="H211"/>
          <cell r="N211"/>
          <cell r="O211"/>
          <cell r="P211"/>
          <cell r="Q211"/>
          <cell r="R211"/>
          <cell r="S211"/>
        </row>
        <row r="212">
          <cell r="A212"/>
          <cell r="B212"/>
          <cell r="C212"/>
          <cell r="D212"/>
          <cell r="E212"/>
          <cell r="F212"/>
          <cell r="G212"/>
          <cell r="H212"/>
          <cell r="N212"/>
          <cell r="O212"/>
          <cell r="P212"/>
          <cell r="Q212"/>
          <cell r="R212"/>
          <cell r="S212"/>
        </row>
        <row r="213">
          <cell r="A213"/>
          <cell r="B213"/>
          <cell r="C213"/>
          <cell r="D213"/>
          <cell r="E213"/>
          <cell r="F213"/>
          <cell r="G213"/>
          <cell r="H213"/>
          <cell r="N213"/>
          <cell r="O213"/>
          <cell r="P213"/>
          <cell r="Q213"/>
          <cell r="R213"/>
          <cell r="S213"/>
        </row>
        <row r="214">
          <cell r="A214"/>
          <cell r="B214"/>
          <cell r="C214"/>
          <cell r="D214"/>
          <cell r="E214"/>
          <cell r="F214"/>
          <cell r="G214"/>
          <cell r="H214"/>
          <cell r="N214"/>
          <cell r="O214"/>
          <cell r="P214"/>
          <cell r="Q214"/>
          <cell r="R214"/>
          <cell r="S214"/>
        </row>
        <row r="215">
          <cell r="A215"/>
          <cell r="B215"/>
          <cell r="C215"/>
          <cell r="D215"/>
          <cell r="E215"/>
          <cell r="F215"/>
          <cell r="G215"/>
          <cell r="H215"/>
          <cell r="N215"/>
          <cell r="O215"/>
          <cell r="P215"/>
          <cell r="Q215"/>
          <cell r="R215"/>
          <cell r="S215"/>
        </row>
        <row r="216">
          <cell r="A216"/>
          <cell r="B216"/>
          <cell r="C216"/>
          <cell r="D216"/>
          <cell r="E216"/>
          <cell r="F216"/>
          <cell r="G216"/>
          <cell r="H216"/>
          <cell r="N216"/>
          <cell r="O216"/>
          <cell r="P216"/>
          <cell r="Q216"/>
          <cell r="R216"/>
          <cell r="S216"/>
        </row>
        <row r="217">
          <cell r="A217"/>
          <cell r="B217"/>
          <cell r="C217"/>
          <cell r="D217"/>
          <cell r="E217"/>
          <cell r="F217"/>
          <cell r="G217"/>
          <cell r="H217"/>
          <cell r="N217"/>
          <cell r="O217"/>
          <cell r="P217"/>
          <cell r="Q217"/>
          <cell r="R217"/>
          <cell r="S217"/>
        </row>
        <row r="218">
          <cell r="A218"/>
          <cell r="B218"/>
          <cell r="C218"/>
          <cell r="D218"/>
          <cell r="E218"/>
          <cell r="F218"/>
          <cell r="G218"/>
          <cell r="H218"/>
          <cell r="N218"/>
          <cell r="O218"/>
          <cell r="P218"/>
          <cell r="Q218"/>
          <cell r="R218"/>
          <cell r="S218"/>
        </row>
        <row r="219">
          <cell r="A219"/>
          <cell r="B219"/>
          <cell r="C219"/>
          <cell r="D219"/>
          <cell r="E219"/>
          <cell r="F219"/>
          <cell r="G219"/>
          <cell r="H219"/>
          <cell r="N219"/>
          <cell r="O219"/>
          <cell r="P219"/>
          <cell r="Q219"/>
          <cell r="R219"/>
          <cell r="S219"/>
        </row>
        <row r="220">
          <cell r="A220"/>
          <cell r="B220"/>
          <cell r="C220"/>
          <cell r="D220"/>
          <cell r="E220"/>
          <cell r="F220"/>
          <cell r="G220"/>
          <cell r="H220"/>
          <cell r="N220"/>
          <cell r="O220"/>
          <cell r="P220"/>
          <cell r="Q220"/>
          <cell r="R220"/>
          <cell r="S220"/>
        </row>
        <row r="221">
          <cell r="A221"/>
          <cell r="B221"/>
          <cell r="C221"/>
          <cell r="D221"/>
          <cell r="E221"/>
          <cell r="F221"/>
          <cell r="G221"/>
          <cell r="H221"/>
          <cell r="N221"/>
          <cell r="O221"/>
          <cell r="P221"/>
          <cell r="Q221"/>
          <cell r="R221"/>
          <cell r="S221"/>
        </row>
        <row r="222">
          <cell r="A222"/>
          <cell r="B222"/>
          <cell r="C222"/>
          <cell r="D222"/>
          <cell r="E222"/>
          <cell r="F222"/>
          <cell r="G222"/>
          <cell r="H222"/>
          <cell r="N222"/>
          <cell r="O222"/>
          <cell r="P222"/>
          <cell r="Q222"/>
          <cell r="R222"/>
          <cell r="S222"/>
        </row>
        <row r="223">
          <cell r="A223"/>
          <cell r="B223"/>
          <cell r="C223"/>
          <cell r="D223"/>
          <cell r="E223"/>
          <cell r="F223"/>
          <cell r="G223"/>
          <cell r="H223"/>
          <cell r="N223"/>
          <cell r="O223"/>
          <cell r="P223"/>
          <cell r="Q223"/>
          <cell r="R223"/>
          <cell r="S223"/>
        </row>
        <row r="224">
          <cell r="A224"/>
          <cell r="B224"/>
          <cell r="C224"/>
          <cell r="D224"/>
          <cell r="E224"/>
          <cell r="F224"/>
          <cell r="G224"/>
          <cell r="H224"/>
          <cell r="N224"/>
          <cell r="O224"/>
          <cell r="P224"/>
          <cell r="Q224"/>
          <cell r="R224"/>
          <cell r="S224"/>
        </row>
        <row r="225">
          <cell r="A225"/>
          <cell r="B225"/>
          <cell r="C225"/>
          <cell r="D225"/>
          <cell r="E225"/>
          <cell r="F225"/>
          <cell r="G225"/>
          <cell r="H225"/>
          <cell r="N225"/>
          <cell r="O225"/>
          <cell r="P225"/>
          <cell r="Q225"/>
          <cell r="R225"/>
          <cell r="S225"/>
        </row>
        <row r="226">
          <cell r="A226"/>
          <cell r="B226"/>
          <cell r="C226"/>
          <cell r="D226"/>
          <cell r="E226"/>
          <cell r="F226"/>
          <cell r="G226"/>
          <cell r="H226"/>
          <cell r="N226"/>
          <cell r="O226"/>
          <cell r="P226"/>
          <cell r="Q226"/>
          <cell r="R226"/>
          <cell r="S226"/>
        </row>
        <row r="227">
          <cell r="A227"/>
          <cell r="B227"/>
          <cell r="C227"/>
          <cell r="D227"/>
          <cell r="E227"/>
          <cell r="F227"/>
          <cell r="G227"/>
          <cell r="H227"/>
          <cell r="N227"/>
          <cell r="O227"/>
          <cell r="P227"/>
          <cell r="Q227"/>
          <cell r="R227"/>
          <cell r="S227"/>
        </row>
        <row r="228">
          <cell r="A228"/>
          <cell r="B228"/>
          <cell r="C228"/>
          <cell r="D228"/>
          <cell r="E228"/>
          <cell r="F228"/>
          <cell r="G228"/>
          <cell r="H228"/>
          <cell r="N228"/>
          <cell r="O228"/>
          <cell r="P228"/>
          <cell r="Q228"/>
          <cell r="R228"/>
          <cell r="S228"/>
        </row>
        <row r="229">
          <cell r="A229"/>
          <cell r="B229"/>
          <cell r="C229"/>
          <cell r="D229"/>
          <cell r="E229"/>
          <cell r="F229"/>
          <cell r="G229"/>
          <cell r="H229"/>
          <cell r="N229"/>
          <cell r="O229"/>
          <cell r="P229"/>
          <cell r="Q229"/>
          <cell r="R229"/>
          <cell r="S229"/>
        </row>
        <row r="230">
          <cell r="A230"/>
          <cell r="B230"/>
          <cell r="C230"/>
          <cell r="D230"/>
          <cell r="E230"/>
          <cell r="F230"/>
          <cell r="G230"/>
          <cell r="H230"/>
          <cell r="N230"/>
          <cell r="O230"/>
          <cell r="P230"/>
          <cell r="Q230"/>
          <cell r="R230"/>
          <cell r="S230"/>
        </row>
        <row r="231">
          <cell r="A231"/>
          <cell r="B231"/>
          <cell r="C231"/>
          <cell r="D231"/>
          <cell r="E231"/>
          <cell r="F231"/>
          <cell r="G231"/>
          <cell r="H231"/>
          <cell r="N231"/>
          <cell r="O231"/>
          <cell r="P231"/>
          <cell r="Q231"/>
          <cell r="R231"/>
          <cell r="S231"/>
        </row>
        <row r="232">
          <cell r="A232"/>
          <cell r="B232"/>
          <cell r="C232"/>
          <cell r="D232"/>
          <cell r="E232"/>
          <cell r="F232"/>
          <cell r="G232"/>
          <cell r="H232"/>
          <cell r="N232"/>
          <cell r="O232"/>
          <cell r="P232"/>
          <cell r="Q232"/>
          <cell r="R232"/>
          <cell r="S232"/>
        </row>
        <row r="233">
          <cell r="A233"/>
          <cell r="B233"/>
          <cell r="C233"/>
          <cell r="D233"/>
          <cell r="E233"/>
          <cell r="F233"/>
          <cell r="G233"/>
          <cell r="H233"/>
          <cell r="N233"/>
          <cell r="O233"/>
          <cell r="P233"/>
          <cell r="Q233"/>
          <cell r="R233"/>
          <cell r="S233"/>
        </row>
        <row r="234">
          <cell r="A234"/>
          <cell r="B234"/>
          <cell r="C234"/>
          <cell r="D234"/>
          <cell r="E234"/>
          <cell r="F234"/>
          <cell r="G234"/>
          <cell r="H234"/>
          <cell r="N234"/>
          <cell r="O234"/>
          <cell r="P234"/>
          <cell r="Q234"/>
          <cell r="R234"/>
          <cell r="S234"/>
        </row>
        <row r="235">
          <cell r="A235"/>
          <cell r="B235"/>
          <cell r="C235"/>
          <cell r="D235"/>
          <cell r="E235"/>
          <cell r="F235"/>
          <cell r="G235"/>
          <cell r="H235"/>
          <cell r="N235"/>
          <cell r="O235"/>
          <cell r="P235"/>
          <cell r="Q235"/>
          <cell r="R235"/>
          <cell r="S235"/>
        </row>
        <row r="236">
          <cell r="A236"/>
          <cell r="B236"/>
          <cell r="C236"/>
          <cell r="D236"/>
          <cell r="E236"/>
          <cell r="F236"/>
          <cell r="G236"/>
          <cell r="H236"/>
          <cell r="N236"/>
          <cell r="O236"/>
          <cell r="P236"/>
          <cell r="Q236"/>
          <cell r="R236"/>
          <cell r="S236"/>
        </row>
        <row r="237">
          <cell r="A237"/>
          <cell r="B237"/>
          <cell r="C237"/>
          <cell r="D237"/>
          <cell r="E237"/>
          <cell r="F237"/>
          <cell r="G237"/>
          <cell r="H237"/>
          <cell r="N237"/>
          <cell r="O237"/>
          <cell r="P237"/>
          <cell r="Q237"/>
          <cell r="R237"/>
          <cell r="S237"/>
        </row>
        <row r="238">
          <cell r="A238"/>
          <cell r="B238"/>
          <cell r="C238"/>
          <cell r="D238"/>
          <cell r="E238"/>
          <cell r="F238"/>
          <cell r="G238"/>
          <cell r="H238"/>
          <cell r="N238"/>
          <cell r="O238"/>
          <cell r="P238"/>
          <cell r="Q238"/>
          <cell r="R238"/>
          <cell r="S238"/>
        </row>
        <row r="239">
          <cell r="A239"/>
          <cell r="B239"/>
          <cell r="C239"/>
          <cell r="D239"/>
          <cell r="E239"/>
          <cell r="F239"/>
          <cell r="G239"/>
          <cell r="H239"/>
          <cell r="N239"/>
          <cell r="O239"/>
          <cell r="P239"/>
          <cell r="Q239"/>
          <cell r="R239"/>
          <cell r="S239"/>
        </row>
        <row r="240">
          <cell r="A240"/>
          <cell r="B240"/>
          <cell r="C240"/>
          <cell r="D240"/>
          <cell r="E240"/>
          <cell r="F240"/>
          <cell r="G240"/>
          <cell r="H240"/>
          <cell r="N240"/>
          <cell r="O240"/>
          <cell r="P240"/>
          <cell r="Q240"/>
          <cell r="R240"/>
          <cell r="S240"/>
        </row>
        <row r="241">
          <cell r="A241"/>
          <cell r="B241"/>
          <cell r="C241"/>
          <cell r="D241"/>
          <cell r="E241"/>
          <cell r="F241"/>
          <cell r="G241"/>
          <cell r="H241"/>
          <cell r="N241"/>
          <cell r="O241"/>
          <cell r="P241"/>
          <cell r="Q241"/>
          <cell r="R241"/>
          <cell r="S241"/>
        </row>
        <row r="242">
          <cell r="A242"/>
          <cell r="B242"/>
          <cell r="C242"/>
          <cell r="D242"/>
          <cell r="E242"/>
          <cell r="F242"/>
          <cell r="G242"/>
          <cell r="H242"/>
          <cell r="N242"/>
          <cell r="O242"/>
          <cell r="P242"/>
          <cell r="Q242"/>
          <cell r="R242"/>
          <cell r="S242"/>
        </row>
        <row r="243">
          <cell r="A243"/>
          <cell r="B243"/>
          <cell r="C243"/>
          <cell r="D243"/>
          <cell r="E243"/>
          <cell r="F243"/>
          <cell r="G243"/>
          <cell r="H243"/>
          <cell r="N243"/>
          <cell r="O243"/>
          <cell r="P243"/>
          <cell r="Q243"/>
          <cell r="R243"/>
          <cell r="S243"/>
        </row>
        <row r="244">
          <cell r="A244"/>
          <cell r="B244"/>
          <cell r="C244"/>
          <cell r="D244"/>
          <cell r="E244"/>
          <cell r="F244"/>
          <cell r="G244"/>
          <cell r="H244"/>
          <cell r="N244"/>
          <cell r="O244"/>
          <cell r="P244"/>
          <cell r="Q244"/>
          <cell r="R244"/>
          <cell r="S244"/>
        </row>
        <row r="245">
          <cell r="A245"/>
          <cell r="B245"/>
          <cell r="C245"/>
          <cell r="D245"/>
          <cell r="E245"/>
          <cell r="F245"/>
          <cell r="G245"/>
          <cell r="H245"/>
          <cell r="N245"/>
          <cell r="O245"/>
          <cell r="P245"/>
          <cell r="Q245"/>
          <cell r="R245"/>
          <cell r="S245"/>
        </row>
        <row r="246">
          <cell r="A246"/>
          <cell r="B246"/>
          <cell r="C246"/>
          <cell r="D246"/>
          <cell r="E246"/>
          <cell r="F246"/>
          <cell r="G246"/>
          <cell r="H246"/>
          <cell r="N246"/>
          <cell r="O246"/>
          <cell r="P246"/>
          <cell r="Q246"/>
          <cell r="R246"/>
          <cell r="S246"/>
        </row>
        <row r="247">
          <cell r="A247"/>
          <cell r="B247"/>
          <cell r="C247"/>
          <cell r="D247"/>
          <cell r="E247"/>
          <cell r="F247"/>
          <cell r="G247"/>
          <cell r="H247"/>
          <cell r="N247"/>
          <cell r="O247"/>
          <cell r="P247"/>
          <cell r="Q247"/>
          <cell r="R247"/>
          <cell r="S247"/>
        </row>
        <row r="248">
          <cell r="A248"/>
          <cell r="B248"/>
          <cell r="C248"/>
          <cell r="D248"/>
          <cell r="E248"/>
          <cell r="F248"/>
          <cell r="G248"/>
          <cell r="H248"/>
          <cell r="N248"/>
          <cell r="O248"/>
          <cell r="P248"/>
          <cell r="Q248"/>
          <cell r="R248"/>
          <cell r="S248"/>
        </row>
        <row r="249">
          <cell r="A249"/>
          <cell r="B249"/>
          <cell r="C249"/>
          <cell r="D249"/>
          <cell r="E249"/>
          <cell r="F249"/>
          <cell r="G249"/>
          <cell r="H249"/>
          <cell r="N249"/>
          <cell r="O249"/>
          <cell r="P249"/>
          <cell r="Q249"/>
          <cell r="R249"/>
          <cell r="S249"/>
        </row>
        <row r="250">
          <cell r="A250"/>
          <cell r="B250"/>
          <cell r="C250"/>
          <cell r="D250"/>
          <cell r="E250"/>
          <cell r="F250"/>
          <cell r="G250"/>
          <cell r="H250"/>
          <cell r="N250"/>
          <cell r="O250"/>
          <cell r="P250"/>
          <cell r="Q250"/>
          <cell r="R250"/>
          <cell r="S250"/>
        </row>
        <row r="251">
          <cell r="A251"/>
          <cell r="B251"/>
          <cell r="C251"/>
          <cell r="D251"/>
          <cell r="E251"/>
          <cell r="F251"/>
          <cell r="G251"/>
          <cell r="H251"/>
          <cell r="N251"/>
          <cell r="O251"/>
          <cell r="P251"/>
          <cell r="Q251"/>
          <cell r="R251"/>
          <cell r="S251"/>
        </row>
        <row r="252">
          <cell r="A252"/>
          <cell r="B252"/>
          <cell r="C252"/>
          <cell r="D252"/>
          <cell r="E252"/>
          <cell r="F252"/>
          <cell r="G252"/>
          <cell r="H252"/>
          <cell r="N252"/>
          <cell r="O252"/>
          <cell r="P252"/>
          <cell r="Q252"/>
          <cell r="R252"/>
          <cell r="S252"/>
        </row>
        <row r="253">
          <cell r="A253"/>
          <cell r="B253"/>
          <cell r="C253"/>
          <cell r="D253"/>
          <cell r="E253"/>
          <cell r="F253"/>
          <cell r="G253"/>
          <cell r="H253"/>
          <cell r="N253"/>
          <cell r="O253"/>
          <cell r="P253"/>
          <cell r="Q253"/>
          <cell r="R253"/>
          <cell r="S253"/>
        </row>
        <row r="254">
          <cell r="A254"/>
          <cell r="B254"/>
          <cell r="C254"/>
          <cell r="D254"/>
          <cell r="E254"/>
          <cell r="F254"/>
          <cell r="G254"/>
          <cell r="H254"/>
          <cell r="N254"/>
          <cell r="O254"/>
          <cell r="P254"/>
          <cell r="Q254"/>
          <cell r="R254"/>
          <cell r="S254"/>
        </row>
        <row r="255">
          <cell r="A255"/>
          <cell r="B255"/>
          <cell r="C255"/>
          <cell r="D255"/>
          <cell r="E255"/>
          <cell r="F255"/>
          <cell r="G255"/>
          <cell r="H255"/>
          <cell r="N255"/>
          <cell r="O255"/>
          <cell r="P255"/>
          <cell r="Q255"/>
          <cell r="R255"/>
          <cell r="S255"/>
        </row>
        <row r="256">
          <cell r="A256"/>
          <cell r="B256"/>
          <cell r="C256"/>
          <cell r="D256"/>
          <cell r="E256"/>
          <cell r="F256"/>
          <cell r="G256"/>
          <cell r="H256"/>
          <cell r="N256"/>
          <cell r="O256"/>
          <cell r="P256"/>
          <cell r="Q256"/>
          <cell r="R256"/>
          <cell r="S256"/>
        </row>
        <row r="257">
          <cell r="A257"/>
          <cell r="B257"/>
          <cell r="C257"/>
          <cell r="D257"/>
          <cell r="E257"/>
          <cell r="F257"/>
          <cell r="G257"/>
          <cell r="H257"/>
          <cell r="N257"/>
          <cell r="O257"/>
          <cell r="P257"/>
          <cell r="Q257"/>
          <cell r="R257"/>
          <cell r="S257"/>
        </row>
        <row r="258">
          <cell r="A258"/>
          <cell r="B258"/>
          <cell r="C258"/>
          <cell r="D258"/>
          <cell r="E258"/>
          <cell r="F258"/>
          <cell r="G258"/>
          <cell r="H258"/>
          <cell r="N258"/>
          <cell r="O258"/>
          <cell r="P258"/>
          <cell r="Q258"/>
          <cell r="R258"/>
          <cell r="S258"/>
        </row>
        <row r="259">
          <cell r="A259"/>
          <cell r="B259"/>
          <cell r="C259"/>
          <cell r="D259"/>
          <cell r="E259"/>
          <cell r="F259"/>
          <cell r="G259"/>
          <cell r="H259"/>
          <cell r="N259"/>
          <cell r="O259"/>
          <cell r="P259"/>
          <cell r="Q259"/>
          <cell r="R259"/>
          <cell r="S259"/>
        </row>
        <row r="260">
          <cell r="A260"/>
          <cell r="B260"/>
          <cell r="C260"/>
          <cell r="D260"/>
          <cell r="E260"/>
          <cell r="F260"/>
          <cell r="G260"/>
          <cell r="H260"/>
          <cell r="N260"/>
          <cell r="O260"/>
          <cell r="P260"/>
          <cell r="Q260"/>
          <cell r="R260"/>
          <cell r="S260"/>
        </row>
        <row r="261">
          <cell r="A261"/>
          <cell r="B261"/>
          <cell r="C261"/>
          <cell r="D261"/>
          <cell r="E261"/>
          <cell r="F261"/>
          <cell r="G261"/>
          <cell r="H261"/>
          <cell r="N261"/>
          <cell r="O261"/>
          <cell r="P261"/>
          <cell r="Q261"/>
          <cell r="R261"/>
          <cell r="S261"/>
        </row>
        <row r="262">
          <cell r="A262"/>
          <cell r="B262"/>
          <cell r="C262"/>
          <cell r="D262"/>
          <cell r="E262"/>
          <cell r="F262"/>
          <cell r="G262"/>
          <cell r="H262"/>
          <cell r="N262"/>
          <cell r="O262"/>
          <cell r="P262"/>
          <cell r="Q262"/>
          <cell r="R262"/>
          <cell r="S262"/>
        </row>
        <row r="263">
          <cell r="A263"/>
          <cell r="B263"/>
          <cell r="C263"/>
          <cell r="D263"/>
          <cell r="E263"/>
          <cell r="F263"/>
          <cell r="G263"/>
          <cell r="H263"/>
          <cell r="N263"/>
          <cell r="O263"/>
          <cell r="P263"/>
          <cell r="Q263"/>
          <cell r="R263"/>
          <cell r="S263"/>
        </row>
        <row r="264">
          <cell r="A264"/>
          <cell r="B264"/>
          <cell r="C264"/>
          <cell r="D264"/>
          <cell r="E264"/>
          <cell r="F264"/>
          <cell r="G264"/>
          <cell r="H264"/>
          <cell r="N264"/>
          <cell r="O264"/>
          <cell r="P264"/>
          <cell r="Q264"/>
          <cell r="R264"/>
          <cell r="S264"/>
        </row>
        <row r="265">
          <cell r="A265"/>
          <cell r="B265"/>
          <cell r="C265"/>
          <cell r="D265"/>
          <cell r="E265"/>
          <cell r="F265"/>
          <cell r="G265"/>
          <cell r="H265"/>
          <cell r="N265"/>
          <cell r="O265"/>
          <cell r="P265"/>
          <cell r="Q265"/>
          <cell r="R265"/>
          <cell r="S265"/>
        </row>
        <row r="266">
          <cell r="A266"/>
          <cell r="B266"/>
          <cell r="C266"/>
          <cell r="D266"/>
          <cell r="E266"/>
          <cell r="F266"/>
          <cell r="G266"/>
          <cell r="H266"/>
          <cell r="N266"/>
          <cell r="O266"/>
          <cell r="P266"/>
          <cell r="Q266"/>
          <cell r="R266"/>
          <cell r="S266"/>
        </row>
        <row r="267">
          <cell r="A267"/>
          <cell r="B267"/>
          <cell r="C267"/>
          <cell r="D267"/>
          <cell r="E267"/>
          <cell r="F267"/>
          <cell r="G267"/>
          <cell r="H267"/>
          <cell r="N267"/>
          <cell r="O267"/>
          <cell r="P267"/>
          <cell r="Q267"/>
          <cell r="R267"/>
          <cell r="S267"/>
        </row>
        <row r="268">
          <cell r="A268"/>
          <cell r="B268"/>
          <cell r="C268"/>
          <cell r="D268"/>
          <cell r="E268"/>
          <cell r="F268"/>
          <cell r="G268"/>
          <cell r="H268"/>
          <cell r="N268"/>
          <cell r="O268"/>
          <cell r="P268"/>
          <cell r="Q268"/>
          <cell r="R268"/>
          <cell r="S268"/>
        </row>
        <row r="269">
          <cell r="A269"/>
          <cell r="B269"/>
          <cell r="C269"/>
          <cell r="D269"/>
          <cell r="E269"/>
          <cell r="F269"/>
          <cell r="G269"/>
          <cell r="H269"/>
          <cell r="N269"/>
          <cell r="O269"/>
          <cell r="P269"/>
          <cell r="Q269"/>
          <cell r="R269"/>
          <cell r="S269"/>
        </row>
        <row r="270">
          <cell r="A270"/>
          <cell r="B270"/>
          <cell r="C270"/>
          <cell r="D270"/>
          <cell r="E270"/>
          <cell r="F270"/>
          <cell r="G270"/>
          <cell r="H270"/>
          <cell r="N270"/>
          <cell r="O270"/>
          <cell r="P270"/>
          <cell r="Q270"/>
          <cell r="R270"/>
          <cell r="S270"/>
        </row>
        <row r="271">
          <cell r="A271"/>
          <cell r="B271"/>
          <cell r="C271"/>
          <cell r="D271"/>
          <cell r="E271"/>
          <cell r="F271"/>
          <cell r="G271"/>
          <cell r="H271"/>
          <cell r="N271"/>
          <cell r="O271"/>
          <cell r="P271"/>
          <cell r="Q271"/>
          <cell r="R271"/>
          <cell r="S271"/>
        </row>
        <row r="272">
          <cell r="A272"/>
          <cell r="B272"/>
          <cell r="C272"/>
          <cell r="D272"/>
          <cell r="E272"/>
          <cell r="F272"/>
          <cell r="G272"/>
          <cell r="H272"/>
          <cell r="N272"/>
          <cell r="O272"/>
          <cell r="P272"/>
          <cell r="Q272"/>
          <cell r="R272"/>
          <cell r="S272"/>
        </row>
        <row r="273">
          <cell r="A273"/>
          <cell r="B273"/>
          <cell r="C273"/>
          <cell r="D273"/>
          <cell r="E273"/>
          <cell r="F273"/>
          <cell r="G273"/>
          <cell r="H273"/>
          <cell r="N273"/>
          <cell r="O273"/>
          <cell r="P273"/>
          <cell r="Q273"/>
          <cell r="R273"/>
          <cell r="S273"/>
        </row>
        <row r="274">
          <cell r="A274"/>
          <cell r="B274"/>
          <cell r="C274"/>
          <cell r="D274"/>
          <cell r="E274"/>
          <cell r="F274"/>
          <cell r="G274"/>
          <cell r="H274"/>
          <cell r="N274"/>
          <cell r="O274"/>
          <cell r="P274"/>
          <cell r="Q274"/>
          <cell r="R274"/>
          <cell r="S274"/>
        </row>
        <row r="275">
          <cell r="A275"/>
          <cell r="B275"/>
          <cell r="C275"/>
          <cell r="D275"/>
          <cell r="E275"/>
          <cell r="F275"/>
          <cell r="G275"/>
          <cell r="H275"/>
          <cell r="N275"/>
          <cell r="O275"/>
          <cell r="P275"/>
          <cell r="Q275"/>
          <cell r="R275"/>
          <cell r="S275"/>
        </row>
        <row r="276">
          <cell r="A276"/>
          <cell r="B276"/>
          <cell r="C276"/>
          <cell r="D276"/>
          <cell r="E276"/>
          <cell r="F276"/>
          <cell r="G276"/>
          <cell r="H276"/>
          <cell r="N276"/>
          <cell r="O276"/>
          <cell r="P276"/>
          <cell r="Q276"/>
          <cell r="R276"/>
          <cell r="S276"/>
        </row>
        <row r="277">
          <cell r="A277"/>
          <cell r="B277"/>
          <cell r="C277"/>
          <cell r="D277"/>
          <cell r="E277"/>
          <cell r="F277"/>
          <cell r="G277"/>
          <cell r="H277"/>
          <cell r="N277"/>
          <cell r="O277"/>
          <cell r="P277"/>
          <cell r="Q277"/>
          <cell r="R277"/>
          <cell r="S277"/>
        </row>
        <row r="278">
          <cell r="A278"/>
          <cell r="B278"/>
          <cell r="C278"/>
          <cell r="D278"/>
          <cell r="E278"/>
          <cell r="F278"/>
          <cell r="G278"/>
          <cell r="H278"/>
          <cell r="N278"/>
          <cell r="O278"/>
          <cell r="P278"/>
          <cell r="Q278"/>
          <cell r="R278"/>
          <cell r="S278"/>
        </row>
        <row r="279">
          <cell r="A279"/>
          <cell r="B279"/>
          <cell r="C279"/>
          <cell r="D279"/>
          <cell r="E279"/>
          <cell r="F279"/>
          <cell r="G279"/>
          <cell r="H279"/>
          <cell r="N279"/>
          <cell r="O279"/>
          <cell r="P279"/>
          <cell r="Q279"/>
          <cell r="R279"/>
          <cell r="S279"/>
        </row>
        <row r="280">
          <cell r="A280"/>
          <cell r="B280"/>
          <cell r="C280"/>
          <cell r="D280"/>
          <cell r="E280"/>
          <cell r="F280"/>
          <cell r="G280"/>
          <cell r="H280"/>
          <cell r="N280"/>
          <cell r="O280"/>
          <cell r="P280"/>
          <cell r="Q280"/>
          <cell r="R280"/>
          <cell r="S280"/>
        </row>
        <row r="281">
          <cell r="A281"/>
          <cell r="B281"/>
          <cell r="C281"/>
          <cell r="D281"/>
          <cell r="E281"/>
          <cell r="F281"/>
          <cell r="G281"/>
          <cell r="H281"/>
          <cell r="N281"/>
          <cell r="O281"/>
          <cell r="P281"/>
          <cell r="Q281"/>
          <cell r="R281"/>
          <cell r="S281"/>
        </row>
        <row r="282">
          <cell r="A282"/>
          <cell r="B282"/>
          <cell r="C282"/>
          <cell r="D282"/>
          <cell r="E282"/>
          <cell r="F282"/>
          <cell r="G282"/>
          <cell r="H282"/>
          <cell r="N282"/>
          <cell r="O282"/>
          <cell r="P282"/>
          <cell r="Q282"/>
          <cell r="R282"/>
          <cell r="S282"/>
        </row>
        <row r="283">
          <cell r="A283"/>
          <cell r="B283"/>
          <cell r="C283"/>
          <cell r="D283"/>
          <cell r="E283"/>
          <cell r="F283"/>
          <cell r="G283"/>
          <cell r="H283"/>
          <cell r="N283"/>
          <cell r="O283"/>
          <cell r="P283"/>
          <cell r="Q283"/>
          <cell r="R283"/>
          <cell r="S283"/>
        </row>
        <row r="284">
          <cell r="A284"/>
          <cell r="B284"/>
          <cell r="C284"/>
          <cell r="D284"/>
          <cell r="E284"/>
          <cell r="F284"/>
          <cell r="G284"/>
          <cell r="H284"/>
          <cell r="N284"/>
          <cell r="O284"/>
          <cell r="P284"/>
          <cell r="Q284"/>
          <cell r="R284"/>
          <cell r="S284"/>
        </row>
        <row r="285">
          <cell r="A285"/>
          <cell r="B285"/>
          <cell r="C285"/>
          <cell r="D285"/>
          <cell r="E285"/>
          <cell r="F285"/>
          <cell r="G285"/>
          <cell r="H285"/>
          <cell r="N285"/>
          <cell r="O285"/>
          <cell r="P285"/>
          <cell r="Q285"/>
          <cell r="R285"/>
          <cell r="S285"/>
        </row>
        <row r="286">
          <cell r="A286"/>
          <cell r="B286"/>
          <cell r="C286"/>
          <cell r="D286"/>
          <cell r="E286"/>
          <cell r="F286"/>
          <cell r="G286"/>
          <cell r="H286"/>
          <cell r="N286"/>
          <cell r="O286"/>
          <cell r="P286"/>
          <cell r="Q286"/>
          <cell r="R286"/>
          <cell r="S286"/>
        </row>
        <row r="287">
          <cell r="A287"/>
          <cell r="B287"/>
          <cell r="C287"/>
          <cell r="D287"/>
          <cell r="E287"/>
          <cell r="F287"/>
          <cell r="G287"/>
          <cell r="H287"/>
          <cell r="N287"/>
          <cell r="O287"/>
          <cell r="P287"/>
          <cell r="Q287"/>
          <cell r="R287"/>
          <cell r="S287"/>
        </row>
        <row r="288">
          <cell r="A288"/>
          <cell r="B288"/>
          <cell r="C288"/>
          <cell r="D288"/>
          <cell r="E288"/>
          <cell r="F288"/>
          <cell r="G288"/>
          <cell r="H288"/>
          <cell r="N288"/>
          <cell r="O288"/>
          <cell r="P288"/>
          <cell r="Q288"/>
          <cell r="R288"/>
          <cell r="S288"/>
        </row>
        <row r="289">
          <cell r="A289"/>
          <cell r="B289"/>
          <cell r="C289"/>
          <cell r="D289"/>
          <cell r="E289"/>
          <cell r="F289"/>
          <cell r="G289"/>
          <cell r="H289"/>
          <cell r="N289"/>
          <cell r="O289"/>
          <cell r="P289"/>
          <cell r="Q289"/>
          <cell r="R289"/>
          <cell r="S289"/>
        </row>
        <row r="290">
          <cell r="A290"/>
          <cell r="B290"/>
          <cell r="C290"/>
          <cell r="D290"/>
          <cell r="E290"/>
          <cell r="F290"/>
          <cell r="G290"/>
          <cell r="H290"/>
          <cell r="N290"/>
          <cell r="O290"/>
          <cell r="P290"/>
          <cell r="Q290"/>
          <cell r="R290"/>
          <cell r="S290"/>
        </row>
        <row r="291">
          <cell r="A291"/>
          <cell r="B291"/>
          <cell r="C291"/>
          <cell r="D291"/>
          <cell r="E291"/>
          <cell r="F291"/>
          <cell r="G291"/>
          <cell r="H291"/>
          <cell r="N291"/>
          <cell r="O291"/>
          <cell r="P291"/>
          <cell r="Q291"/>
          <cell r="R291"/>
          <cell r="S291"/>
        </row>
        <row r="292">
          <cell r="A292"/>
          <cell r="B292"/>
          <cell r="C292"/>
          <cell r="D292"/>
          <cell r="E292"/>
          <cell r="F292"/>
          <cell r="G292"/>
          <cell r="H292"/>
          <cell r="N292"/>
          <cell r="O292"/>
          <cell r="P292"/>
          <cell r="Q292"/>
          <cell r="R292"/>
          <cell r="S292"/>
        </row>
        <row r="293">
          <cell r="A293"/>
          <cell r="B293"/>
          <cell r="C293"/>
          <cell r="D293"/>
          <cell r="E293"/>
          <cell r="F293"/>
          <cell r="G293"/>
          <cell r="H293"/>
          <cell r="N293"/>
          <cell r="O293"/>
          <cell r="P293"/>
          <cell r="Q293"/>
          <cell r="R293"/>
          <cell r="S293"/>
        </row>
        <row r="294">
          <cell r="A294"/>
          <cell r="B294"/>
          <cell r="C294"/>
          <cell r="D294"/>
          <cell r="E294"/>
          <cell r="F294"/>
          <cell r="G294"/>
          <cell r="H294"/>
          <cell r="N294"/>
          <cell r="O294"/>
          <cell r="P294"/>
          <cell r="Q294"/>
          <cell r="R294"/>
          <cell r="S294"/>
        </row>
        <row r="295">
          <cell r="A295"/>
          <cell r="B295"/>
          <cell r="C295"/>
          <cell r="D295"/>
          <cell r="E295"/>
          <cell r="F295"/>
          <cell r="G295"/>
          <cell r="H295"/>
          <cell r="N295"/>
          <cell r="O295"/>
          <cell r="P295"/>
          <cell r="Q295"/>
          <cell r="R295"/>
          <cell r="S295"/>
        </row>
        <row r="296">
          <cell r="A296"/>
          <cell r="B296"/>
          <cell r="C296"/>
          <cell r="D296"/>
          <cell r="E296"/>
          <cell r="F296"/>
          <cell r="G296"/>
          <cell r="H296"/>
          <cell r="N296"/>
          <cell r="O296"/>
          <cell r="P296"/>
          <cell r="Q296"/>
          <cell r="R296"/>
          <cell r="S296"/>
        </row>
        <row r="297">
          <cell r="A297"/>
          <cell r="B297"/>
          <cell r="C297"/>
          <cell r="D297"/>
          <cell r="E297"/>
          <cell r="F297"/>
          <cell r="G297"/>
          <cell r="H297"/>
          <cell r="N297"/>
          <cell r="O297"/>
          <cell r="P297"/>
          <cell r="Q297"/>
          <cell r="R297"/>
          <cell r="S297"/>
        </row>
        <row r="298">
          <cell r="A298"/>
          <cell r="B298"/>
          <cell r="C298"/>
          <cell r="D298"/>
          <cell r="E298"/>
          <cell r="F298"/>
          <cell r="G298"/>
          <cell r="H298"/>
          <cell r="N298"/>
          <cell r="O298"/>
          <cell r="P298"/>
          <cell r="Q298"/>
          <cell r="R298"/>
          <cell r="S298"/>
        </row>
        <row r="299">
          <cell r="A299"/>
          <cell r="B299"/>
          <cell r="C299"/>
          <cell r="D299"/>
          <cell r="E299"/>
          <cell r="F299"/>
          <cell r="G299"/>
          <cell r="H299"/>
          <cell r="N299"/>
          <cell r="O299"/>
          <cell r="P299"/>
          <cell r="Q299"/>
          <cell r="R299"/>
          <cell r="S299"/>
        </row>
        <row r="300">
          <cell r="A300"/>
          <cell r="B300"/>
          <cell r="C300"/>
          <cell r="D300"/>
          <cell r="E300"/>
          <cell r="F300"/>
          <cell r="G300"/>
          <cell r="H300"/>
          <cell r="N300"/>
          <cell r="O300"/>
          <cell r="P300"/>
          <cell r="Q300"/>
          <cell r="R300"/>
          <cell r="S300"/>
        </row>
        <row r="301">
          <cell r="A301"/>
          <cell r="B301"/>
          <cell r="C301"/>
          <cell r="D301"/>
          <cell r="E301"/>
          <cell r="F301"/>
          <cell r="G301"/>
          <cell r="H301"/>
          <cell r="N301"/>
          <cell r="O301"/>
          <cell r="P301"/>
          <cell r="Q301"/>
          <cell r="R301"/>
          <cell r="S301"/>
        </row>
        <row r="302">
          <cell r="A302"/>
          <cell r="B302"/>
          <cell r="C302"/>
          <cell r="D302"/>
          <cell r="E302"/>
          <cell r="F302"/>
          <cell r="G302"/>
          <cell r="H302"/>
          <cell r="N302"/>
          <cell r="O302"/>
          <cell r="P302"/>
          <cell r="Q302"/>
          <cell r="R302"/>
          <cell r="S302"/>
        </row>
        <row r="303">
          <cell r="A303"/>
          <cell r="B303"/>
          <cell r="C303"/>
          <cell r="D303"/>
          <cell r="E303"/>
          <cell r="F303"/>
          <cell r="G303"/>
          <cell r="H303"/>
          <cell r="N303"/>
          <cell r="O303"/>
          <cell r="P303"/>
          <cell r="Q303"/>
          <cell r="R303"/>
          <cell r="S303"/>
        </row>
        <row r="304">
          <cell r="A304"/>
          <cell r="B304"/>
          <cell r="C304"/>
          <cell r="D304"/>
          <cell r="E304"/>
          <cell r="F304"/>
          <cell r="G304"/>
          <cell r="H304"/>
          <cell r="N304"/>
          <cell r="O304"/>
          <cell r="P304"/>
          <cell r="Q304"/>
          <cell r="R304"/>
          <cell r="S304"/>
        </row>
        <row r="305">
          <cell r="A305"/>
          <cell r="B305"/>
          <cell r="C305"/>
          <cell r="D305"/>
          <cell r="E305"/>
          <cell r="F305"/>
          <cell r="G305"/>
          <cell r="H305"/>
          <cell r="N305"/>
          <cell r="O305"/>
          <cell r="P305"/>
          <cell r="Q305"/>
          <cell r="R305"/>
          <cell r="S305"/>
        </row>
        <row r="306">
          <cell r="A306"/>
          <cell r="B306"/>
          <cell r="C306"/>
          <cell r="D306"/>
          <cell r="E306"/>
          <cell r="F306"/>
          <cell r="G306"/>
          <cell r="H306"/>
          <cell r="N306"/>
          <cell r="O306"/>
          <cell r="P306"/>
          <cell r="Q306"/>
          <cell r="R306"/>
          <cell r="S306"/>
        </row>
        <row r="307">
          <cell r="A307"/>
          <cell r="B307"/>
          <cell r="C307"/>
          <cell r="D307"/>
          <cell r="E307"/>
          <cell r="F307"/>
          <cell r="G307"/>
          <cell r="H307"/>
          <cell r="N307"/>
          <cell r="O307"/>
          <cell r="P307"/>
          <cell r="Q307"/>
          <cell r="R307"/>
          <cell r="S307"/>
        </row>
        <row r="308">
          <cell r="A308"/>
          <cell r="B308"/>
          <cell r="C308"/>
          <cell r="D308"/>
          <cell r="E308"/>
          <cell r="F308"/>
          <cell r="G308"/>
          <cell r="H308"/>
          <cell r="N308"/>
          <cell r="O308"/>
          <cell r="P308"/>
          <cell r="Q308"/>
          <cell r="R308"/>
          <cell r="S308"/>
        </row>
        <row r="309">
          <cell r="A309"/>
          <cell r="B309"/>
          <cell r="C309"/>
          <cell r="D309"/>
          <cell r="E309"/>
          <cell r="F309"/>
          <cell r="G309"/>
          <cell r="H309"/>
          <cell r="N309"/>
          <cell r="O309"/>
          <cell r="P309"/>
          <cell r="Q309"/>
          <cell r="R309"/>
          <cell r="S309"/>
        </row>
        <row r="310">
          <cell r="A310"/>
          <cell r="B310"/>
          <cell r="C310"/>
          <cell r="D310"/>
          <cell r="E310"/>
          <cell r="F310"/>
          <cell r="G310"/>
          <cell r="H310"/>
          <cell r="N310"/>
          <cell r="O310"/>
          <cell r="P310"/>
          <cell r="Q310"/>
          <cell r="R310"/>
          <cell r="S310"/>
        </row>
        <row r="311">
          <cell r="A311"/>
          <cell r="B311"/>
          <cell r="C311"/>
          <cell r="D311"/>
          <cell r="E311"/>
          <cell r="F311"/>
          <cell r="G311"/>
          <cell r="H311"/>
          <cell r="N311"/>
          <cell r="O311"/>
          <cell r="P311"/>
          <cell r="Q311"/>
          <cell r="R311"/>
          <cell r="S311"/>
        </row>
        <row r="312">
          <cell r="A312"/>
          <cell r="B312"/>
          <cell r="C312"/>
          <cell r="D312"/>
          <cell r="E312"/>
          <cell r="F312"/>
          <cell r="G312"/>
          <cell r="H312"/>
          <cell r="N312"/>
          <cell r="O312"/>
          <cell r="P312"/>
          <cell r="Q312"/>
          <cell r="R312"/>
          <cell r="S312"/>
        </row>
        <row r="313">
          <cell r="A313"/>
          <cell r="B313"/>
          <cell r="C313"/>
          <cell r="D313"/>
          <cell r="E313"/>
          <cell r="F313"/>
          <cell r="G313"/>
          <cell r="H313"/>
          <cell r="N313"/>
          <cell r="O313"/>
          <cell r="P313"/>
          <cell r="Q313"/>
          <cell r="R313"/>
          <cell r="S313"/>
        </row>
        <row r="314">
          <cell r="A314"/>
          <cell r="B314"/>
          <cell r="C314"/>
          <cell r="D314"/>
          <cell r="E314"/>
          <cell r="F314"/>
          <cell r="G314"/>
          <cell r="H314"/>
          <cell r="N314"/>
          <cell r="O314"/>
          <cell r="P314"/>
          <cell r="Q314"/>
          <cell r="R314"/>
          <cell r="S314"/>
        </row>
        <row r="315">
          <cell r="A315"/>
          <cell r="B315"/>
          <cell r="C315"/>
          <cell r="D315"/>
          <cell r="E315"/>
          <cell r="F315"/>
          <cell r="G315"/>
          <cell r="H315"/>
          <cell r="N315"/>
          <cell r="O315"/>
          <cell r="P315"/>
          <cell r="Q315"/>
          <cell r="R315"/>
          <cell r="S315"/>
        </row>
        <row r="316">
          <cell r="A316"/>
          <cell r="B316"/>
          <cell r="C316"/>
          <cell r="D316"/>
          <cell r="E316"/>
          <cell r="F316"/>
          <cell r="G316"/>
          <cell r="H316"/>
          <cell r="N316"/>
          <cell r="O316"/>
          <cell r="P316"/>
          <cell r="Q316"/>
          <cell r="R316"/>
          <cell r="S316"/>
        </row>
        <row r="317">
          <cell r="A317"/>
          <cell r="B317"/>
          <cell r="C317"/>
          <cell r="D317"/>
          <cell r="E317"/>
          <cell r="F317"/>
          <cell r="G317"/>
          <cell r="H317"/>
          <cell r="N317"/>
          <cell r="O317"/>
          <cell r="P317"/>
          <cell r="Q317"/>
          <cell r="R317"/>
          <cell r="S317"/>
        </row>
        <row r="318">
          <cell r="A318"/>
          <cell r="B318"/>
          <cell r="C318"/>
          <cell r="D318"/>
          <cell r="E318"/>
          <cell r="F318"/>
          <cell r="G318"/>
          <cell r="H318"/>
          <cell r="N318"/>
          <cell r="O318"/>
          <cell r="P318"/>
          <cell r="Q318"/>
          <cell r="R318"/>
          <cell r="S318"/>
        </row>
        <row r="319">
          <cell r="A319"/>
          <cell r="B319"/>
          <cell r="C319"/>
          <cell r="D319"/>
          <cell r="E319"/>
          <cell r="F319"/>
          <cell r="G319"/>
          <cell r="H319"/>
          <cell r="N319"/>
          <cell r="O319"/>
          <cell r="P319"/>
          <cell r="Q319"/>
          <cell r="R319"/>
          <cell r="S319"/>
        </row>
        <row r="320">
          <cell r="A320"/>
          <cell r="B320"/>
          <cell r="C320"/>
          <cell r="D320"/>
          <cell r="E320"/>
          <cell r="F320"/>
          <cell r="G320"/>
          <cell r="H320"/>
          <cell r="N320"/>
          <cell r="O320"/>
          <cell r="P320"/>
          <cell r="Q320"/>
          <cell r="R320"/>
          <cell r="S320"/>
        </row>
        <row r="321">
          <cell r="A321"/>
          <cell r="B321"/>
          <cell r="C321"/>
          <cell r="D321"/>
          <cell r="E321"/>
          <cell r="F321"/>
          <cell r="G321"/>
          <cell r="H321"/>
          <cell r="N321"/>
          <cell r="O321"/>
          <cell r="P321"/>
          <cell r="Q321"/>
          <cell r="R321"/>
          <cell r="S321"/>
        </row>
        <row r="322">
          <cell r="A322"/>
          <cell r="B322"/>
          <cell r="C322"/>
          <cell r="D322"/>
          <cell r="E322"/>
          <cell r="F322"/>
          <cell r="G322"/>
          <cell r="H322"/>
          <cell r="N322"/>
          <cell r="O322"/>
          <cell r="P322"/>
          <cell r="Q322"/>
          <cell r="R322"/>
          <cell r="S322"/>
        </row>
        <row r="323">
          <cell r="A323"/>
          <cell r="B323"/>
          <cell r="C323"/>
          <cell r="D323"/>
          <cell r="E323"/>
          <cell r="F323"/>
          <cell r="G323"/>
          <cell r="H323"/>
          <cell r="N323"/>
          <cell r="O323"/>
          <cell r="P323"/>
          <cell r="Q323"/>
          <cell r="R323"/>
          <cell r="S323"/>
        </row>
        <row r="324">
          <cell r="A324"/>
          <cell r="B324"/>
          <cell r="C324"/>
          <cell r="D324"/>
          <cell r="E324"/>
          <cell r="F324"/>
          <cell r="G324"/>
          <cell r="H324"/>
          <cell r="N324"/>
          <cell r="O324"/>
          <cell r="P324"/>
          <cell r="Q324"/>
          <cell r="R324"/>
          <cell r="S324"/>
        </row>
        <row r="325">
          <cell r="A325"/>
          <cell r="B325"/>
          <cell r="C325"/>
          <cell r="D325"/>
          <cell r="E325"/>
          <cell r="F325"/>
          <cell r="G325"/>
          <cell r="H325"/>
          <cell r="N325"/>
          <cell r="O325"/>
          <cell r="P325"/>
          <cell r="Q325"/>
          <cell r="R325"/>
          <cell r="S325"/>
        </row>
        <row r="326">
          <cell r="A326"/>
          <cell r="B326"/>
          <cell r="C326"/>
          <cell r="D326"/>
          <cell r="E326"/>
          <cell r="F326"/>
          <cell r="G326"/>
          <cell r="H326"/>
          <cell r="N326"/>
          <cell r="O326"/>
          <cell r="P326"/>
          <cell r="Q326"/>
          <cell r="R326"/>
          <cell r="S326"/>
        </row>
        <row r="327">
          <cell r="A327"/>
          <cell r="B327"/>
          <cell r="C327"/>
          <cell r="D327"/>
          <cell r="E327"/>
          <cell r="F327"/>
          <cell r="G327"/>
          <cell r="H327"/>
          <cell r="N327"/>
          <cell r="O327"/>
          <cell r="P327"/>
          <cell r="Q327"/>
          <cell r="R327"/>
          <cell r="S327"/>
        </row>
        <row r="328">
          <cell r="A328"/>
          <cell r="B328"/>
          <cell r="C328"/>
          <cell r="D328"/>
          <cell r="E328"/>
          <cell r="F328"/>
          <cell r="G328"/>
          <cell r="H328"/>
          <cell r="N328"/>
          <cell r="O328"/>
          <cell r="P328"/>
          <cell r="Q328"/>
          <cell r="R328"/>
          <cell r="S328"/>
        </row>
        <row r="329">
          <cell r="A329"/>
          <cell r="B329"/>
          <cell r="C329"/>
          <cell r="D329"/>
          <cell r="E329"/>
          <cell r="F329"/>
          <cell r="G329"/>
          <cell r="H329"/>
          <cell r="N329"/>
          <cell r="O329"/>
          <cell r="P329"/>
          <cell r="Q329"/>
          <cell r="R329"/>
          <cell r="S329"/>
        </row>
        <row r="330">
          <cell r="A330"/>
          <cell r="B330"/>
          <cell r="C330"/>
          <cell r="D330"/>
          <cell r="E330"/>
          <cell r="F330"/>
          <cell r="G330"/>
          <cell r="H330"/>
          <cell r="N330"/>
          <cell r="O330"/>
          <cell r="P330"/>
          <cell r="Q330"/>
          <cell r="R330"/>
          <cell r="S330"/>
        </row>
        <row r="331">
          <cell r="A331"/>
          <cell r="B331"/>
          <cell r="C331"/>
          <cell r="D331"/>
          <cell r="E331"/>
          <cell r="F331"/>
          <cell r="G331"/>
          <cell r="H331"/>
          <cell r="N331"/>
          <cell r="O331"/>
          <cell r="P331"/>
          <cell r="Q331"/>
          <cell r="R331"/>
          <cell r="S331"/>
        </row>
        <row r="332">
          <cell r="A332"/>
          <cell r="B332"/>
          <cell r="C332"/>
          <cell r="D332"/>
          <cell r="E332"/>
          <cell r="F332"/>
          <cell r="G332"/>
          <cell r="H332"/>
          <cell r="N332"/>
          <cell r="O332"/>
          <cell r="P332"/>
          <cell r="Q332"/>
          <cell r="R332"/>
          <cell r="S332"/>
        </row>
        <row r="333">
          <cell r="A333"/>
          <cell r="B333"/>
          <cell r="C333"/>
          <cell r="D333"/>
          <cell r="E333"/>
          <cell r="F333"/>
          <cell r="G333"/>
          <cell r="H333"/>
          <cell r="N333"/>
          <cell r="O333"/>
          <cell r="P333"/>
          <cell r="Q333"/>
          <cell r="R333"/>
          <cell r="S333"/>
        </row>
        <row r="334">
          <cell r="A334"/>
          <cell r="B334"/>
          <cell r="C334"/>
          <cell r="D334"/>
          <cell r="E334"/>
          <cell r="F334"/>
          <cell r="G334"/>
          <cell r="H334"/>
          <cell r="N334"/>
          <cell r="O334"/>
          <cell r="P334"/>
          <cell r="Q334"/>
          <cell r="R334"/>
          <cell r="S334"/>
        </row>
        <row r="335">
          <cell r="A335"/>
          <cell r="B335"/>
          <cell r="C335"/>
          <cell r="D335"/>
          <cell r="E335"/>
          <cell r="F335"/>
          <cell r="G335"/>
          <cell r="H335"/>
          <cell r="N335"/>
          <cell r="O335"/>
          <cell r="P335"/>
          <cell r="Q335"/>
          <cell r="R335"/>
          <cell r="S335"/>
        </row>
        <row r="336">
          <cell r="A336"/>
          <cell r="B336"/>
          <cell r="C336"/>
          <cell r="D336"/>
          <cell r="E336"/>
          <cell r="F336"/>
          <cell r="G336"/>
          <cell r="H336"/>
          <cell r="N336"/>
          <cell r="O336"/>
          <cell r="P336"/>
          <cell r="Q336"/>
          <cell r="R336"/>
          <cell r="S336"/>
        </row>
        <row r="337">
          <cell r="A337"/>
          <cell r="B337"/>
          <cell r="C337"/>
          <cell r="D337"/>
          <cell r="E337"/>
          <cell r="F337"/>
          <cell r="G337"/>
          <cell r="H337"/>
          <cell r="N337"/>
          <cell r="O337"/>
          <cell r="P337"/>
          <cell r="Q337"/>
          <cell r="R337"/>
          <cell r="S337"/>
        </row>
        <row r="338">
          <cell r="A338"/>
          <cell r="B338"/>
          <cell r="C338"/>
          <cell r="D338"/>
          <cell r="E338"/>
          <cell r="F338"/>
          <cell r="G338"/>
          <cell r="H338"/>
          <cell r="N338"/>
          <cell r="O338"/>
          <cell r="P338"/>
          <cell r="Q338"/>
          <cell r="R338"/>
          <cell r="S338"/>
        </row>
        <row r="339">
          <cell r="A339"/>
          <cell r="B339"/>
          <cell r="C339"/>
          <cell r="D339"/>
          <cell r="E339"/>
          <cell r="F339"/>
          <cell r="G339"/>
          <cell r="H339"/>
          <cell r="N339"/>
          <cell r="O339"/>
          <cell r="P339"/>
          <cell r="Q339"/>
          <cell r="R339"/>
          <cell r="S339"/>
        </row>
        <row r="340">
          <cell r="A340"/>
          <cell r="B340"/>
          <cell r="C340"/>
          <cell r="D340"/>
          <cell r="E340"/>
          <cell r="F340"/>
          <cell r="G340"/>
          <cell r="H340"/>
          <cell r="N340"/>
          <cell r="O340"/>
          <cell r="P340"/>
          <cell r="Q340"/>
          <cell r="R340"/>
          <cell r="S340"/>
        </row>
        <row r="341">
          <cell r="A341"/>
          <cell r="B341"/>
          <cell r="C341"/>
          <cell r="D341"/>
          <cell r="E341"/>
          <cell r="F341"/>
          <cell r="G341"/>
          <cell r="H341"/>
          <cell r="N341"/>
          <cell r="O341"/>
          <cell r="P341"/>
          <cell r="Q341"/>
          <cell r="R341"/>
          <cell r="S341"/>
        </row>
        <row r="342">
          <cell r="A342"/>
          <cell r="B342"/>
          <cell r="C342"/>
          <cell r="D342"/>
          <cell r="E342"/>
          <cell r="F342"/>
          <cell r="G342"/>
          <cell r="H342"/>
          <cell r="N342"/>
          <cell r="O342"/>
          <cell r="P342"/>
          <cell r="Q342"/>
          <cell r="R342"/>
          <cell r="S342"/>
        </row>
        <row r="343">
          <cell r="A343"/>
          <cell r="B343"/>
          <cell r="C343"/>
          <cell r="D343"/>
          <cell r="E343"/>
          <cell r="F343"/>
          <cell r="G343"/>
          <cell r="H343"/>
          <cell r="N343"/>
          <cell r="O343"/>
          <cell r="P343"/>
          <cell r="Q343"/>
          <cell r="R343"/>
          <cell r="S343"/>
        </row>
        <row r="344">
          <cell r="A344"/>
          <cell r="B344"/>
          <cell r="C344"/>
          <cell r="D344"/>
          <cell r="E344"/>
          <cell r="F344"/>
          <cell r="G344"/>
          <cell r="H344"/>
          <cell r="N344"/>
          <cell r="O344"/>
          <cell r="P344"/>
          <cell r="Q344"/>
          <cell r="R344"/>
          <cell r="S344"/>
        </row>
        <row r="345">
          <cell r="A345"/>
          <cell r="B345"/>
          <cell r="C345"/>
          <cell r="D345"/>
          <cell r="E345"/>
          <cell r="F345"/>
          <cell r="G345"/>
          <cell r="H345"/>
          <cell r="N345"/>
          <cell r="O345"/>
          <cell r="P345"/>
          <cell r="Q345"/>
          <cell r="R345"/>
          <cell r="S345"/>
        </row>
        <row r="346">
          <cell r="A346"/>
          <cell r="B346"/>
          <cell r="C346"/>
          <cell r="D346"/>
          <cell r="E346"/>
          <cell r="F346"/>
          <cell r="G346"/>
          <cell r="H346"/>
          <cell r="N346"/>
          <cell r="O346"/>
          <cell r="P346"/>
          <cell r="Q346"/>
          <cell r="R346"/>
          <cell r="S346"/>
        </row>
        <row r="347">
          <cell r="A347"/>
          <cell r="B347"/>
          <cell r="C347"/>
          <cell r="D347"/>
          <cell r="E347"/>
          <cell r="F347"/>
          <cell r="G347"/>
          <cell r="H347"/>
          <cell r="N347"/>
          <cell r="O347"/>
          <cell r="P347"/>
          <cell r="Q347"/>
          <cell r="R347"/>
          <cell r="S347"/>
        </row>
        <row r="348">
          <cell r="A348"/>
          <cell r="B348"/>
          <cell r="C348"/>
          <cell r="D348"/>
          <cell r="E348"/>
          <cell r="F348"/>
          <cell r="G348"/>
          <cell r="H348"/>
          <cell r="N348"/>
          <cell r="O348"/>
          <cell r="P348"/>
          <cell r="Q348"/>
          <cell r="R348"/>
          <cell r="S348"/>
        </row>
        <row r="349">
          <cell r="A349"/>
          <cell r="B349"/>
          <cell r="C349"/>
          <cell r="D349"/>
          <cell r="E349"/>
          <cell r="F349"/>
          <cell r="G349"/>
          <cell r="H349"/>
          <cell r="N349"/>
          <cell r="O349"/>
          <cell r="P349"/>
          <cell r="Q349"/>
          <cell r="R349"/>
          <cell r="S349"/>
        </row>
        <row r="350">
          <cell r="A350"/>
          <cell r="B350"/>
          <cell r="C350"/>
          <cell r="D350"/>
          <cell r="E350"/>
          <cell r="F350"/>
          <cell r="G350"/>
          <cell r="H350"/>
          <cell r="N350"/>
          <cell r="O350"/>
          <cell r="P350"/>
          <cell r="Q350"/>
          <cell r="R350"/>
          <cell r="S350"/>
        </row>
        <row r="351">
          <cell r="A351"/>
          <cell r="B351"/>
          <cell r="C351"/>
          <cell r="D351"/>
          <cell r="E351"/>
          <cell r="F351"/>
          <cell r="G351"/>
          <cell r="H351"/>
          <cell r="N351"/>
          <cell r="O351"/>
          <cell r="P351"/>
          <cell r="Q351"/>
          <cell r="R351"/>
          <cell r="S351"/>
        </row>
        <row r="352">
          <cell r="A352"/>
          <cell r="B352"/>
          <cell r="C352"/>
          <cell r="D352"/>
          <cell r="E352"/>
          <cell r="F352"/>
          <cell r="G352"/>
          <cell r="H352"/>
          <cell r="N352"/>
          <cell r="O352"/>
          <cell r="P352"/>
          <cell r="Q352"/>
          <cell r="R352"/>
          <cell r="S352"/>
        </row>
        <row r="353">
          <cell r="A353"/>
          <cell r="B353"/>
          <cell r="C353"/>
          <cell r="D353"/>
          <cell r="E353"/>
          <cell r="F353"/>
          <cell r="G353"/>
          <cell r="H353"/>
          <cell r="N353"/>
          <cell r="O353"/>
          <cell r="P353"/>
          <cell r="Q353"/>
          <cell r="R353"/>
          <cell r="S353"/>
        </row>
        <row r="354">
          <cell r="A354"/>
          <cell r="B354"/>
          <cell r="C354"/>
          <cell r="D354"/>
          <cell r="E354"/>
          <cell r="F354"/>
          <cell r="G354"/>
          <cell r="H354"/>
          <cell r="N354"/>
          <cell r="O354"/>
          <cell r="P354"/>
          <cell r="Q354"/>
          <cell r="R354"/>
          <cell r="S354"/>
        </row>
        <row r="355">
          <cell r="A355"/>
          <cell r="B355"/>
          <cell r="C355"/>
          <cell r="D355"/>
          <cell r="E355"/>
          <cell r="F355"/>
          <cell r="G355"/>
          <cell r="H355"/>
          <cell r="N355"/>
          <cell r="O355"/>
          <cell r="P355"/>
          <cell r="Q355"/>
          <cell r="R355"/>
          <cell r="S355"/>
        </row>
        <row r="356">
          <cell r="A356"/>
          <cell r="B356"/>
          <cell r="C356"/>
          <cell r="D356"/>
          <cell r="E356"/>
          <cell r="F356"/>
          <cell r="G356"/>
          <cell r="H356"/>
          <cell r="N356"/>
          <cell r="O356"/>
          <cell r="P356"/>
          <cell r="Q356"/>
          <cell r="R356"/>
          <cell r="S356"/>
        </row>
        <row r="357">
          <cell r="A357"/>
          <cell r="B357"/>
          <cell r="C357"/>
          <cell r="D357"/>
          <cell r="E357"/>
          <cell r="F357"/>
          <cell r="G357"/>
          <cell r="H357"/>
          <cell r="N357"/>
          <cell r="O357"/>
          <cell r="P357"/>
          <cell r="Q357"/>
          <cell r="R357"/>
          <cell r="S357"/>
        </row>
        <row r="358">
          <cell r="B358"/>
          <cell r="C358"/>
          <cell r="D358"/>
          <cell r="E358"/>
          <cell r="G358"/>
          <cell r="H358"/>
        </row>
        <row r="359">
          <cell r="B359"/>
          <cell r="C359"/>
          <cell r="D359"/>
          <cell r="E359"/>
          <cell r="G359"/>
          <cell r="H359"/>
        </row>
        <row r="360">
          <cell r="B360"/>
          <cell r="C360"/>
          <cell r="D360"/>
          <cell r="E360"/>
          <cell r="G360"/>
          <cell r="H360"/>
        </row>
        <row r="361">
          <cell r="B361"/>
          <cell r="C361"/>
          <cell r="D361"/>
          <cell r="E361"/>
          <cell r="G361"/>
          <cell r="H361"/>
        </row>
        <row r="362">
          <cell r="B362"/>
          <cell r="C362"/>
          <cell r="D362"/>
          <cell r="E362"/>
          <cell r="G362"/>
          <cell r="H362"/>
        </row>
        <row r="363">
          <cell r="B363"/>
          <cell r="C363"/>
          <cell r="D363"/>
          <cell r="E363"/>
          <cell r="G363"/>
          <cell r="H363"/>
        </row>
        <row r="364">
          <cell r="B364"/>
          <cell r="C364"/>
          <cell r="D364"/>
          <cell r="E364"/>
          <cell r="G364"/>
          <cell r="H364"/>
        </row>
        <row r="365">
          <cell r="B365"/>
          <cell r="C365"/>
          <cell r="D365"/>
          <cell r="E365"/>
          <cell r="G365"/>
          <cell r="H365"/>
        </row>
        <row r="366">
          <cell r="B366"/>
          <cell r="C366"/>
          <cell r="D366"/>
          <cell r="E366"/>
          <cell r="G366"/>
          <cell r="H366"/>
        </row>
        <row r="367">
          <cell r="B367"/>
          <cell r="C367"/>
          <cell r="D367"/>
          <cell r="E367"/>
          <cell r="G367"/>
          <cell r="H367"/>
        </row>
        <row r="368">
          <cell r="B368"/>
          <cell r="C368"/>
          <cell r="D368"/>
          <cell r="E368"/>
          <cell r="G368"/>
          <cell r="H368"/>
        </row>
        <row r="369">
          <cell r="B369"/>
          <cell r="C369"/>
          <cell r="D369"/>
          <cell r="E369"/>
          <cell r="G369"/>
          <cell r="H369"/>
        </row>
        <row r="370">
          <cell r="B370"/>
          <cell r="C370"/>
          <cell r="D370"/>
          <cell r="E370"/>
          <cell r="G370"/>
          <cell r="H370"/>
        </row>
        <row r="371">
          <cell r="B371"/>
          <cell r="C371"/>
          <cell r="D371"/>
          <cell r="E371"/>
          <cell r="G371"/>
          <cell r="H371"/>
        </row>
        <row r="372">
          <cell r="B372"/>
          <cell r="C372"/>
          <cell r="D372"/>
          <cell r="E372"/>
          <cell r="G372"/>
          <cell r="H372"/>
        </row>
        <row r="373">
          <cell r="B373"/>
          <cell r="C373"/>
          <cell r="D373"/>
          <cell r="E373"/>
          <cell r="G373"/>
          <cell r="H373"/>
        </row>
        <row r="374">
          <cell r="B374"/>
          <cell r="C374"/>
          <cell r="D374"/>
          <cell r="E374"/>
          <cell r="G374"/>
          <cell r="H374"/>
        </row>
        <row r="375">
          <cell r="B375"/>
          <cell r="C375"/>
          <cell r="D375"/>
          <cell r="E375"/>
          <cell r="G375"/>
          <cell r="H375"/>
        </row>
        <row r="376">
          <cell r="B376"/>
          <cell r="C376"/>
          <cell r="D376"/>
          <cell r="E376"/>
          <cell r="G376"/>
          <cell r="H376"/>
        </row>
        <row r="377">
          <cell r="B377"/>
          <cell r="C377"/>
          <cell r="D377"/>
          <cell r="E377"/>
          <cell r="G377"/>
          <cell r="H377"/>
        </row>
        <row r="378">
          <cell r="B378"/>
          <cell r="C378"/>
          <cell r="D378"/>
          <cell r="E378"/>
          <cell r="G378"/>
          <cell r="H378"/>
        </row>
        <row r="379">
          <cell r="B379"/>
          <cell r="C379"/>
          <cell r="D379"/>
          <cell r="E379"/>
          <cell r="G379"/>
          <cell r="H379"/>
        </row>
        <row r="380">
          <cell r="B380"/>
          <cell r="C380"/>
          <cell r="D380"/>
          <cell r="E380"/>
          <cell r="G380"/>
          <cell r="H380"/>
        </row>
        <row r="381">
          <cell r="B381"/>
          <cell r="C381"/>
          <cell r="D381"/>
          <cell r="E381"/>
          <cell r="G381"/>
          <cell r="H381"/>
        </row>
        <row r="382">
          <cell r="B382"/>
          <cell r="C382"/>
          <cell r="D382"/>
          <cell r="E382"/>
          <cell r="G382"/>
          <cell r="H382"/>
        </row>
        <row r="383">
          <cell r="B383"/>
          <cell r="C383"/>
          <cell r="D383"/>
          <cell r="E383"/>
          <cell r="G383"/>
          <cell r="H383"/>
        </row>
        <row r="384">
          <cell r="B384"/>
          <cell r="C384"/>
          <cell r="D384"/>
          <cell r="E384"/>
          <cell r="G384"/>
          <cell r="H384"/>
        </row>
        <row r="385">
          <cell r="B385"/>
          <cell r="C385"/>
          <cell r="D385"/>
          <cell r="E385"/>
          <cell r="G385"/>
          <cell r="H385"/>
        </row>
        <row r="386">
          <cell r="B386"/>
          <cell r="C386"/>
          <cell r="D386"/>
          <cell r="E386"/>
          <cell r="G386"/>
          <cell r="H386"/>
        </row>
        <row r="387">
          <cell r="B387"/>
          <cell r="C387"/>
          <cell r="D387"/>
          <cell r="E387"/>
          <cell r="G387"/>
          <cell r="H387"/>
        </row>
        <row r="388">
          <cell r="B388"/>
          <cell r="C388"/>
          <cell r="D388"/>
          <cell r="E388"/>
          <cell r="G388"/>
          <cell r="H388"/>
        </row>
        <row r="389">
          <cell r="B389"/>
          <cell r="C389"/>
          <cell r="D389"/>
          <cell r="E389"/>
          <cell r="G389"/>
          <cell r="H389"/>
        </row>
        <row r="390">
          <cell r="B390"/>
          <cell r="C390"/>
          <cell r="D390"/>
          <cell r="E390"/>
          <cell r="G390"/>
          <cell r="H390"/>
        </row>
        <row r="391">
          <cell r="B391"/>
          <cell r="C391"/>
          <cell r="D391"/>
          <cell r="E391"/>
          <cell r="G391"/>
          <cell r="H391"/>
        </row>
        <row r="392">
          <cell r="B392"/>
          <cell r="C392"/>
          <cell r="D392"/>
          <cell r="E392"/>
          <cell r="G392"/>
          <cell r="H392"/>
        </row>
        <row r="393">
          <cell r="B393"/>
          <cell r="C393"/>
          <cell r="D393"/>
          <cell r="E393"/>
          <cell r="G393"/>
          <cell r="H393"/>
        </row>
        <row r="394">
          <cell r="B394"/>
          <cell r="C394"/>
          <cell r="D394"/>
          <cell r="E394"/>
          <cell r="G394"/>
          <cell r="H394"/>
        </row>
        <row r="395">
          <cell r="B395"/>
          <cell r="C395"/>
          <cell r="D395"/>
          <cell r="E395"/>
          <cell r="G395"/>
          <cell r="H395"/>
        </row>
        <row r="396">
          <cell r="B396"/>
          <cell r="C396"/>
          <cell r="D396"/>
          <cell r="E396"/>
          <cell r="G396"/>
          <cell r="H396"/>
        </row>
        <row r="397">
          <cell r="B397"/>
          <cell r="C397"/>
          <cell r="D397"/>
          <cell r="E397"/>
          <cell r="G397"/>
          <cell r="H397"/>
        </row>
        <row r="398">
          <cell r="B398"/>
          <cell r="C398"/>
          <cell r="D398"/>
          <cell r="E398"/>
          <cell r="G398"/>
          <cell r="H398"/>
        </row>
        <row r="399">
          <cell r="B399"/>
          <cell r="C399"/>
          <cell r="D399"/>
          <cell r="E399"/>
          <cell r="G399"/>
          <cell r="H399"/>
        </row>
        <row r="400">
          <cell r="B400"/>
          <cell r="C400"/>
          <cell r="D400"/>
          <cell r="E400"/>
          <cell r="G400"/>
          <cell r="H400"/>
        </row>
        <row r="401">
          <cell r="B401"/>
          <cell r="C401"/>
          <cell r="D401"/>
          <cell r="E401"/>
          <cell r="G401"/>
          <cell r="H401"/>
        </row>
        <row r="402">
          <cell r="B402"/>
          <cell r="C402"/>
          <cell r="D402"/>
          <cell r="E402"/>
          <cell r="G402"/>
          <cell r="H402"/>
        </row>
        <row r="403">
          <cell r="B403"/>
          <cell r="C403"/>
          <cell r="D403"/>
          <cell r="E403"/>
          <cell r="G403"/>
          <cell r="H403"/>
        </row>
        <row r="404">
          <cell r="B404"/>
          <cell r="C404"/>
          <cell r="D404"/>
          <cell r="E404"/>
          <cell r="G404"/>
          <cell r="H404"/>
        </row>
        <row r="405">
          <cell r="B405"/>
          <cell r="C405"/>
          <cell r="D405"/>
          <cell r="E405"/>
          <cell r="G405"/>
          <cell r="H405"/>
        </row>
        <row r="406">
          <cell r="B406"/>
          <cell r="C406"/>
          <cell r="D406"/>
          <cell r="E406"/>
          <cell r="G406"/>
          <cell r="H406"/>
        </row>
        <row r="407">
          <cell r="B407"/>
          <cell r="C407"/>
          <cell r="D407"/>
          <cell r="E407"/>
          <cell r="G407"/>
          <cell r="H407"/>
        </row>
        <row r="408">
          <cell r="B408"/>
          <cell r="C408"/>
          <cell r="D408"/>
          <cell r="E408"/>
          <cell r="G408"/>
          <cell r="H408"/>
        </row>
        <row r="409">
          <cell r="B409"/>
          <cell r="C409"/>
          <cell r="D409"/>
          <cell r="E409"/>
          <cell r="G409"/>
          <cell r="H409"/>
        </row>
        <row r="410">
          <cell r="B410"/>
          <cell r="C410"/>
          <cell r="D410"/>
          <cell r="E410"/>
          <cell r="G410"/>
          <cell r="H410"/>
        </row>
        <row r="411">
          <cell r="B411"/>
          <cell r="C411"/>
          <cell r="D411"/>
          <cell r="E411"/>
          <cell r="G411"/>
          <cell r="H411"/>
        </row>
        <row r="412">
          <cell r="B412"/>
          <cell r="C412"/>
          <cell r="D412"/>
          <cell r="E412"/>
          <cell r="G412"/>
          <cell r="H412"/>
        </row>
        <row r="413">
          <cell r="B413"/>
          <cell r="C413"/>
          <cell r="D413"/>
          <cell r="E413"/>
          <cell r="G413"/>
          <cell r="H413"/>
        </row>
        <row r="414">
          <cell r="B414"/>
          <cell r="C414"/>
          <cell r="D414"/>
          <cell r="E414"/>
          <cell r="G414"/>
          <cell r="H414"/>
        </row>
        <row r="415">
          <cell r="B415"/>
          <cell r="C415"/>
          <cell r="D415"/>
          <cell r="E415"/>
          <cell r="G415"/>
          <cell r="H415"/>
        </row>
        <row r="416">
          <cell r="B416"/>
          <cell r="C416"/>
          <cell r="D416"/>
          <cell r="E416"/>
          <cell r="G416"/>
          <cell r="H416"/>
        </row>
        <row r="417">
          <cell r="B417"/>
          <cell r="C417"/>
          <cell r="D417"/>
          <cell r="E417"/>
          <cell r="G417"/>
          <cell r="H417"/>
        </row>
        <row r="418">
          <cell r="B418"/>
          <cell r="C418"/>
          <cell r="D418"/>
          <cell r="E418"/>
          <cell r="G418"/>
          <cell r="H418"/>
        </row>
        <row r="419">
          <cell r="B419"/>
          <cell r="C419"/>
          <cell r="D419"/>
          <cell r="E419"/>
          <cell r="G419"/>
          <cell r="H419"/>
        </row>
        <row r="420">
          <cell r="B420"/>
          <cell r="C420"/>
          <cell r="D420"/>
          <cell r="E420"/>
          <cell r="G420"/>
          <cell r="H420"/>
        </row>
        <row r="421">
          <cell r="B421"/>
          <cell r="C421"/>
          <cell r="D421"/>
          <cell r="E421"/>
          <cell r="G421"/>
          <cell r="H421"/>
        </row>
        <row r="422">
          <cell r="B422"/>
          <cell r="C422"/>
          <cell r="D422"/>
          <cell r="E422"/>
          <cell r="G422"/>
          <cell r="H422"/>
        </row>
        <row r="423">
          <cell r="B423"/>
          <cell r="C423"/>
          <cell r="D423"/>
          <cell r="E423"/>
          <cell r="G423"/>
          <cell r="H423"/>
        </row>
        <row r="424">
          <cell r="B424"/>
          <cell r="C424"/>
          <cell r="D424"/>
          <cell r="E424"/>
          <cell r="G424"/>
          <cell r="H424"/>
        </row>
        <row r="425">
          <cell r="B425"/>
          <cell r="C425"/>
          <cell r="D425"/>
          <cell r="E425"/>
          <cell r="G425"/>
          <cell r="H425"/>
        </row>
        <row r="426">
          <cell r="B426"/>
          <cell r="C426"/>
          <cell r="D426"/>
          <cell r="E426"/>
          <cell r="G426"/>
          <cell r="H426"/>
        </row>
        <row r="427">
          <cell r="B427"/>
          <cell r="C427"/>
          <cell r="D427"/>
          <cell r="E427"/>
          <cell r="G427"/>
          <cell r="H427"/>
        </row>
        <row r="428">
          <cell r="B428"/>
          <cell r="C428"/>
          <cell r="D428"/>
          <cell r="E428"/>
          <cell r="G428"/>
          <cell r="H428"/>
        </row>
        <row r="429">
          <cell r="B429"/>
          <cell r="C429"/>
          <cell r="D429"/>
          <cell r="E429"/>
          <cell r="G429"/>
          <cell r="H429"/>
        </row>
        <row r="430">
          <cell r="B430"/>
          <cell r="C430"/>
          <cell r="D430"/>
          <cell r="E430"/>
          <cell r="G430"/>
          <cell r="H430"/>
        </row>
        <row r="431">
          <cell r="B431"/>
          <cell r="C431"/>
          <cell r="D431"/>
          <cell r="E431"/>
          <cell r="G431"/>
          <cell r="H431"/>
        </row>
        <row r="432">
          <cell r="B432"/>
          <cell r="C432"/>
          <cell r="D432"/>
          <cell r="E432"/>
          <cell r="G432"/>
          <cell r="H432"/>
        </row>
        <row r="433">
          <cell r="B433"/>
          <cell r="C433"/>
          <cell r="D433"/>
          <cell r="E433"/>
          <cell r="G433"/>
          <cell r="H433"/>
        </row>
        <row r="434">
          <cell r="B434"/>
          <cell r="C434"/>
          <cell r="D434"/>
          <cell r="E434"/>
          <cell r="G434"/>
          <cell r="H434"/>
        </row>
        <row r="435">
          <cell r="B435"/>
          <cell r="C435"/>
          <cell r="D435"/>
          <cell r="E435"/>
          <cell r="G435"/>
          <cell r="H435"/>
        </row>
        <row r="436">
          <cell r="B436"/>
          <cell r="C436"/>
          <cell r="D436"/>
          <cell r="E436"/>
          <cell r="G436"/>
          <cell r="H436"/>
        </row>
        <row r="437">
          <cell r="B437"/>
          <cell r="C437"/>
          <cell r="D437"/>
          <cell r="E437"/>
          <cell r="G437"/>
          <cell r="H437"/>
        </row>
        <row r="438">
          <cell r="B438"/>
          <cell r="C438"/>
          <cell r="D438"/>
          <cell r="E438"/>
          <cell r="G438"/>
          <cell r="H438"/>
        </row>
        <row r="439">
          <cell r="B439"/>
          <cell r="C439"/>
          <cell r="D439"/>
          <cell r="E439"/>
          <cell r="G439"/>
          <cell r="H439"/>
        </row>
        <row r="440">
          <cell r="B440"/>
          <cell r="C440"/>
          <cell r="D440"/>
          <cell r="E440"/>
          <cell r="G440"/>
          <cell r="H440"/>
        </row>
        <row r="441">
          <cell r="B441"/>
          <cell r="C441"/>
          <cell r="D441"/>
          <cell r="E441"/>
          <cell r="G441"/>
          <cell r="H441"/>
        </row>
        <row r="442">
          <cell r="B442"/>
          <cell r="C442"/>
          <cell r="D442"/>
          <cell r="E442"/>
          <cell r="G442"/>
          <cell r="H442"/>
        </row>
        <row r="443">
          <cell r="B443"/>
          <cell r="C443"/>
          <cell r="D443"/>
          <cell r="E443"/>
          <cell r="G443"/>
          <cell r="H443"/>
        </row>
        <row r="444">
          <cell r="B444"/>
          <cell r="C444"/>
          <cell r="D444"/>
          <cell r="E444"/>
          <cell r="G444"/>
          <cell r="H444"/>
        </row>
        <row r="445">
          <cell r="B445"/>
          <cell r="C445"/>
          <cell r="D445"/>
          <cell r="E445"/>
          <cell r="G445"/>
          <cell r="H445"/>
        </row>
        <row r="446">
          <cell r="B446"/>
          <cell r="C446"/>
          <cell r="D446"/>
          <cell r="E446"/>
          <cell r="G446"/>
          <cell r="H446"/>
        </row>
        <row r="447">
          <cell r="B447"/>
          <cell r="C447"/>
          <cell r="D447"/>
          <cell r="E447"/>
          <cell r="G447"/>
          <cell r="H447"/>
        </row>
        <row r="448">
          <cell r="B448"/>
          <cell r="C448"/>
          <cell r="D448"/>
          <cell r="E448"/>
          <cell r="G448"/>
          <cell r="H448"/>
        </row>
        <row r="449">
          <cell r="B449"/>
          <cell r="C449"/>
          <cell r="D449"/>
          <cell r="E449"/>
          <cell r="G449"/>
          <cell r="H449"/>
        </row>
        <row r="450">
          <cell r="B450"/>
          <cell r="C450"/>
          <cell r="D450"/>
          <cell r="E450"/>
          <cell r="G450"/>
          <cell r="H450"/>
        </row>
        <row r="451">
          <cell r="B451"/>
          <cell r="C451"/>
          <cell r="D451"/>
          <cell r="E451"/>
          <cell r="G451"/>
          <cell r="H451"/>
        </row>
        <row r="452">
          <cell r="B452"/>
          <cell r="C452"/>
          <cell r="D452"/>
          <cell r="E452"/>
          <cell r="G452"/>
          <cell r="H452"/>
        </row>
        <row r="453">
          <cell r="B453"/>
          <cell r="C453"/>
          <cell r="D453"/>
          <cell r="E453"/>
          <cell r="G453"/>
          <cell r="H453"/>
        </row>
        <row r="454">
          <cell r="B454"/>
          <cell r="C454"/>
          <cell r="D454"/>
          <cell r="E454"/>
          <cell r="G454"/>
          <cell r="H454"/>
        </row>
        <row r="455">
          <cell r="B455"/>
          <cell r="C455"/>
          <cell r="D455"/>
          <cell r="E455"/>
          <cell r="G455"/>
          <cell r="H455"/>
        </row>
        <row r="456">
          <cell r="B456"/>
          <cell r="C456"/>
          <cell r="D456"/>
          <cell r="E456"/>
          <cell r="G456"/>
          <cell r="H456"/>
        </row>
        <row r="457">
          <cell r="B457"/>
          <cell r="C457"/>
          <cell r="D457"/>
          <cell r="E457"/>
          <cell r="G457"/>
          <cell r="H457"/>
        </row>
        <row r="458">
          <cell r="B458"/>
          <cell r="C458"/>
          <cell r="D458"/>
          <cell r="E458"/>
          <cell r="G458"/>
          <cell r="H458"/>
        </row>
        <row r="459">
          <cell r="B459"/>
          <cell r="C459"/>
          <cell r="D459"/>
          <cell r="E459"/>
          <cell r="G459"/>
          <cell r="H459"/>
        </row>
        <row r="460">
          <cell r="B460"/>
          <cell r="C460"/>
          <cell r="D460"/>
          <cell r="E460"/>
          <cell r="G460"/>
          <cell r="H460"/>
        </row>
        <row r="461">
          <cell r="B461"/>
          <cell r="C461"/>
          <cell r="D461"/>
          <cell r="E461"/>
          <cell r="G461"/>
          <cell r="H461"/>
        </row>
        <row r="462">
          <cell r="B462"/>
          <cell r="C462"/>
          <cell r="D462"/>
          <cell r="E462"/>
          <cell r="G462"/>
          <cell r="H462"/>
        </row>
        <row r="463">
          <cell r="B463"/>
          <cell r="C463"/>
          <cell r="D463"/>
          <cell r="E463"/>
          <cell r="G463"/>
          <cell r="H463"/>
        </row>
        <row r="464">
          <cell r="B464"/>
          <cell r="C464"/>
          <cell r="D464"/>
          <cell r="E464"/>
          <cell r="G464"/>
          <cell r="H464"/>
        </row>
        <row r="465">
          <cell r="B465"/>
          <cell r="C465"/>
          <cell r="D465"/>
          <cell r="E465"/>
          <cell r="G465"/>
          <cell r="H465"/>
        </row>
        <row r="466">
          <cell r="B466"/>
          <cell r="C466"/>
          <cell r="D466"/>
          <cell r="E466"/>
          <cell r="G466"/>
          <cell r="H466"/>
        </row>
        <row r="467">
          <cell r="B467"/>
          <cell r="C467"/>
          <cell r="D467"/>
          <cell r="E467"/>
          <cell r="G467"/>
          <cell r="H467"/>
        </row>
        <row r="468">
          <cell r="B468"/>
          <cell r="C468"/>
          <cell r="D468"/>
          <cell r="E468"/>
          <cell r="G468"/>
          <cell r="H468"/>
        </row>
        <row r="469">
          <cell r="B469"/>
          <cell r="C469"/>
          <cell r="D469"/>
          <cell r="E469"/>
          <cell r="G469"/>
          <cell r="H469"/>
        </row>
        <row r="470">
          <cell r="B470"/>
          <cell r="C470"/>
          <cell r="D470"/>
          <cell r="E470"/>
          <cell r="G470"/>
          <cell r="H470"/>
        </row>
        <row r="471">
          <cell r="B471"/>
          <cell r="C471"/>
          <cell r="D471"/>
          <cell r="E471"/>
          <cell r="G471"/>
          <cell r="H471"/>
        </row>
        <row r="472">
          <cell r="B472"/>
          <cell r="C472"/>
          <cell r="D472"/>
          <cell r="E472"/>
          <cell r="G472"/>
          <cell r="H472"/>
        </row>
        <row r="473">
          <cell r="B473"/>
          <cell r="C473"/>
          <cell r="D473"/>
          <cell r="E473"/>
          <cell r="G473"/>
          <cell r="H473"/>
        </row>
        <row r="474">
          <cell r="B474"/>
          <cell r="C474"/>
          <cell r="D474"/>
          <cell r="E474"/>
          <cell r="G474"/>
          <cell r="H474"/>
        </row>
        <row r="475">
          <cell r="B475"/>
          <cell r="C475"/>
          <cell r="D475"/>
          <cell r="E475"/>
          <cell r="G475"/>
          <cell r="H475"/>
        </row>
        <row r="476">
          <cell r="B476"/>
          <cell r="C476"/>
          <cell r="D476"/>
          <cell r="E476"/>
          <cell r="G476"/>
          <cell r="H476"/>
        </row>
        <row r="477">
          <cell r="B477"/>
          <cell r="C477"/>
          <cell r="D477"/>
          <cell r="E477"/>
          <cell r="G477"/>
          <cell r="H477"/>
        </row>
        <row r="478">
          <cell r="B478"/>
          <cell r="C478"/>
          <cell r="D478"/>
          <cell r="E478"/>
          <cell r="G478"/>
          <cell r="H478"/>
        </row>
        <row r="479">
          <cell r="B479"/>
          <cell r="C479"/>
          <cell r="D479"/>
          <cell r="E479"/>
          <cell r="G479"/>
          <cell r="H479"/>
        </row>
        <row r="480">
          <cell r="B480"/>
          <cell r="C480"/>
          <cell r="D480"/>
          <cell r="E480"/>
          <cell r="G480"/>
          <cell r="H480"/>
        </row>
        <row r="481">
          <cell r="B481"/>
          <cell r="C481"/>
          <cell r="D481"/>
          <cell r="E481"/>
          <cell r="G481"/>
          <cell r="H481"/>
        </row>
        <row r="482">
          <cell r="B482"/>
          <cell r="C482"/>
          <cell r="D482"/>
          <cell r="E482"/>
          <cell r="G482"/>
          <cell r="H482"/>
        </row>
        <row r="483">
          <cell r="B483"/>
          <cell r="C483"/>
          <cell r="D483"/>
          <cell r="E483"/>
          <cell r="G483"/>
          <cell r="H483"/>
        </row>
        <row r="484">
          <cell r="B484"/>
          <cell r="C484"/>
          <cell r="D484"/>
          <cell r="E484"/>
          <cell r="G484"/>
          <cell r="H484"/>
        </row>
        <row r="485">
          <cell r="B485"/>
          <cell r="C485"/>
          <cell r="D485"/>
          <cell r="E485"/>
          <cell r="G485"/>
          <cell r="H485"/>
        </row>
        <row r="486">
          <cell r="B486"/>
          <cell r="C486"/>
          <cell r="D486"/>
          <cell r="E486"/>
          <cell r="G486"/>
          <cell r="H486"/>
        </row>
        <row r="487">
          <cell r="B487"/>
          <cell r="C487"/>
          <cell r="D487"/>
          <cell r="E487"/>
          <cell r="G487"/>
          <cell r="H487"/>
        </row>
        <row r="488">
          <cell r="B488"/>
          <cell r="C488"/>
          <cell r="D488"/>
          <cell r="E488"/>
          <cell r="G488"/>
          <cell r="H488"/>
        </row>
        <row r="489">
          <cell r="B489"/>
          <cell r="C489"/>
          <cell r="D489"/>
          <cell r="E489"/>
          <cell r="G489"/>
          <cell r="H489"/>
        </row>
        <row r="490">
          <cell r="B490"/>
          <cell r="C490"/>
          <cell r="D490"/>
          <cell r="E490"/>
          <cell r="G490"/>
          <cell r="H490"/>
        </row>
        <row r="491">
          <cell r="B491"/>
          <cell r="C491"/>
          <cell r="D491"/>
          <cell r="E491"/>
          <cell r="G491"/>
          <cell r="H491"/>
        </row>
        <row r="492">
          <cell r="B492"/>
          <cell r="C492"/>
          <cell r="D492"/>
          <cell r="E492"/>
          <cell r="G492"/>
          <cell r="H492"/>
        </row>
        <row r="493">
          <cell r="B493"/>
          <cell r="C493"/>
          <cell r="D493"/>
          <cell r="E493"/>
          <cell r="G493"/>
          <cell r="H493"/>
        </row>
        <row r="494">
          <cell r="B494"/>
          <cell r="C494"/>
          <cell r="D494"/>
          <cell r="E494"/>
          <cell r="G494"/>
          <cell r="H494"/>
        </row>
        <row r="495">
          <cell r="B495"/>
          <cell r="C495"/>
          <cell r="D495"/>
          <cell r="E495"/>
          <cell r="G495"/>
          <cell r="H495"/>
        </row>
        <row r="496">
          <cell r="B496"/>
          <cell r="C496"/>
          <cell r="D496"/>
          <cell r="E496"/>
          <cell r="G496"/>
          <cell r="H496"/>
        </row>
        <row r="497">
          <cell r="B497"/>
          <cell r="C497"/>
          <cell r="D497"/>
          <cell r="E497"/>
          <cell r="G497"/>
          <cell r="H497"/>
        </row>
        <row r="498">
          <cell r="B498"/>
          <cell r="C498"/>
          <cell r="D498"/>
          <cell r="E498"/>
          <cell r="G498"/>
          <cell r="H498"/>
        </row>
        <row r="499">
          <cell r="B499"/>
          <cell r="C499"/>
          <cell r="D499"/>
          <cell r="E499"/>
          <cell r="G499"/>
          <cell r="H499"/>
        </row>
        <row r="500">
          <cell r="B500"/>
          <cell r="C500"/>
          <cell r="D500"/>
          <cell r="E500"/>
          <cell r="G500"/>
          <cell r="H500"/>
        </row>
        <row r="501">
          <cell r="B501"/>
          <cell r="C501"/>
          <cell r="D501"/>
          <cell r="E501"/>
          <cell r="G501"/>
          <cell r="H501"/>
        </row>
        <row r="502">
          <cell r="B502"/>
          <cell r="C502"/>
          <cell r="D502"/>
          <cell r="E502"/>
          <cell r="G502"/>
          <cell r="H502"/>
        </row>
        <row r="503">
          <cell r="B503"/>
          <cell r="C503"/>
          <cell r="D503"/>
          <cell r="E503"/>
          <cell r="G503"/>
          <cell r="H503"/>
        </row>
        <row r="504">
          <cell r="B504"/>
          <cell r="C504"/>
          <cell r="D504"/>
          <cell r="E504"/>
          <cell r="G504"/>
          <cell r="H504"/>
        </row>
        <row r="505">
          <cell r="B505"/>
          <cell r="C505"/>
          <cell r="D505"/>
          <cell r="E505"/>
          <cell r="G505"/>
          <cell r="H505"/>
        </row>
        <row r="506">
          <cell r="B506"/>
          <cell r="C506"/>
          <cell r="D506"/>
          <cell r="E506"/>
          <cell r="G506"/>
          <cell r="H506"/>
        </row>
        <row r="507">
          <cell r="B507"/>
          <cell r="C507"/>
          <cell r="D507"/>
          <cell r="E507"/>
          <cell r="G507"/>
          <cell r="H507"/>
        </row>
        <row r="508">
          <cell r="B508"/>
          <cell r="C508"/>
          <cell r="D508"/>
          <cell r="E508"/>
          <cell r="G508"/>
          <cell r="H508"/>
        </row>
        <row r="509">
          <cell r="B509"/>
          <cell r="C509"/>
          <cell r="D509"/>
          <cell r="E509"/>
          <cell r="G509"/>
          <cell r="H509"/>
        </row>
        <row r="510">
          <cell r="B510"/>
          <cell r="C510"/>
          <cell r="D510"/>
          <cell r="E510"/>
          <cell r="G510"/>
          <cell r="H510"/>
        </row>
        <row r="511">
          <cell r="B511"/>
          <cell r="C511"/>
          <cell r="D511"/>
          <cell r="E511"/>
          <cell r="G511"/>
          <cell r="H511"/>
        </row>
        <row r="512">
          <cell r="B512"/>
          <cell r="C512"/>
          <cell r="D512"/>
          <cell r="E512"/>
          <cell r="G512"/>
          <cell r="H512"/>
        </row>
        <row r="513">
          <cell r="B513"/>
          <cell r="C513"/>
          <cell r="D513"/>
          <cell r="E513"/>
          <cell r="G513"/>
          <cell r="H513"/>
        </row>
        <row r="514">
          <cell r="B514"/>
          <cell r="C514"/>
          <cell r="D514"/>
          <cell r="E514"/>
          <cell r="G514"/>
          <cell r="H514"/>
        </row>
        <row r="515">
          <cell r="B515"/>
          <cell r="C515"/>
          <cell r="D515"/>
          <cell r="E515"/>
          <cell r="G515"/>
          <cell r="H515"/>
        </row>
        <row r="516">
          <cell r="B516"/>
          <cell r="C516"/>
          <cell r="D516"/>
          <cell r="E516"/>
          <cell r="G516"/>
          <cell r="H516"/>
        </row>
        <row r="517">
          <cell r="B517"/>
          <cell r="C517"/>
          <cell r="D517"/>
          <cell r="E517"/>
          <cell r="G517"/>
          <cell r="H517"/>
        </row>
        <row r="518">
          <cell r="B518"/>
          <cell r="C518"/>
          <cell r="D518"/>
          <cell r="E518"/>
          <cell r="G518"/>
          <cell r="H518"/>
        </row>
        <row r="519">
          <cell r="B519"/>
          <cell r="C519"/>
          <cell r="D519"/>
          <cell r="E519"/>
          <cell r="G519"/>
          <cell r="H519"/>
        </row>
        <row r="520">
          <cell r="B520"/>
          <cell r="C520"/>
          <cell r="D520"/>
          <cell r="E520"/>
          <cell r="G520"/>
          <cell r="H520"/>
        </row>
        <row r="521">
          <cell r="B521"/>
          <cell r="C521"/>
          <cell r="D521"/>
          <cell r="E521"/>
          <cell r="G521"/>
          <cell r="H521"/>
        </row>
        <row r="522">
          <cell r="B522"/>
          <cell r="C522"/>
          <cell r="D522"/>
          <cell r="E522"/>
          <cell r="G522"/>
          <cell r="H522"/>
        </row>
        <row r="523">
          <cell r="B523"/>
          <cell r="C523"/>
          <cell r="D523"/>
          <cell r="E523"/>
          <cell r="G523"/>
          <cell r="H523"/>
        </row>
        <row r="524">
          <cell r="B524"/>
          <cell r="C524"/>
          <cell r="D524"/>
          <cell r="E524"/>
          <cell r="G524"/>
          <cell r="H524"/>
        </row>
        <row r="525">
          <cell r="B525"/>
          <cell r="C525"/>
          <cell r="D525"/>
          <cell r="E525"/>
          <cell r="G525"/>
          <cell r="H525"/>
        </row>
        <row r="526">
          <cell r="B526"/>
          <cell r="C526"/>
          <cell r="D526"/>
          <cell r="E526"/>
          <cell r="G526"/>
          <cell r="H526"/>
        </row>
        <row r="527">
          <cell r="B527"/>
          <cell r="C527"/>
          <cell r="D527"/>
          <cell r="E527"/>
          <cell r="G527"/>
          <cell r="H527"/>
        </row>
        <row r="528">
          <cell r="B528"/>
          <cell r="C528"/>
          <cell r="D528"/>
          <cell r="E528"/>
          <cell r="G528"/>
          <cell r="H528"/>
        </row>
        <row r="529">
          <cell r="B529"/>
          <cell r="C529"/>
          <cell r="D529"/>
          <cell r="E529"/>
          <cell r="G529"/>
          <cell r="H529"/>
        </row>
        <row r="530">
          <cell r="B530"/>
          <cell r="C530"/>
          <cell r="D530"/>
          <cell r="E530"/>
          <cell r="G530"/>
          <cell r="H530"/>
        </row>
        <row r="531">
          <cell r="B531"/>
          <cell r="C531"/>
          <cell r="D531"/>
          <cell r="E531"/>
          <cell r="G531"/>
          <cell r="H531"/>
        </row>
        <row r="532">
          <cell r="B532"/>
          <cell r="C532"/>
          <cell r="D532"/>
          <cell r="E532"/>
          <cell r="G532"/>
          <cell r="H532"/>
        </row>
        <row r="533">
          <cell r="B533"/>
          <cell r="C533"/>
          <cell r="D533"/>
          <cell r="E533"/>
          <cell r="G533"/>
          <cell r="H533"/>
        </row>
        <row r="534">
          <cell r="B534"/>
          <cell r="C534"/>
          <cell r="D534"/>
          <cell r="E534"/>
          <cell r="G534"/>
          <cell r="H534"/>
        </row>
        <row r="535">
          <cell r="B535"/>
          <cell r="C535"/>
          <cell r="D535"/>
          <cell r="E535"/>
          <cell r="G535"/>
          <cell r="H535"/>
        </row>
        <row r="536">
          <cell r="B536"/>
          <cell r="C536"/>
          <cell r="D536"/>
          <cell r="E536"/>
          <cell r="G536"/>
          <cell r="H536"/>
        </row>
        <row r="537">
          <cell r="B537"/>
          <cell r="C537"/>
          <cell r="D537"/>
          <cell r="E537"/>
          <cell r="G537"/>
          <cell r="H537"/>
        </row>
        <row r="538">
          <cell r="B538"/>
          <cell r="C538"/>
          <cell r="D538"/>
          <cell r="E538"/>
          <cell r="G538"/>
          <cell r="H538"/>
        </row>
        <row r="539">
          <cell r="B539"/>
          <cell r="C539"/>
          <cell r="D539"/>
          <cell r="E539"/>
          <cell r="G539"/>
          <cell r="H539"/>
        </row>
        <row r="540">
          <cell r="B540"/>
          <cell r="C540"/>
          <cell r="D540"/>
          <cell r="E540"/>
          <cell r="G540"/>
          <cell r="H540"/>
        </row>
        <row r="541">
          <cell r="B541"/>
          <cell r="C541"/>
          <cell r="D541"/>
          <cell r="E541"/>
          <cell r="G541"/>
          <cell r="H541"/>
        </row>
        <row r="542">
          <cell r="B542"/>
          <cell r="C542"/>
          <cell r="D542"/>
          <cell r="E542"/>
          <cell r="G542"/>
          <cell r="H542"/>
        </row>
        <row r="543">
          <cell r="B543"/>
          <cell r="C543"/>
          <cell r="D543"/>
          <cell r="E543"/>
          <cell r="G543"/>
          <cell r="H543"/>
        </row>
        <row r="544">
          <cell r="B544"/>
          <cell r="C544"/>
          <cell r="D544"/>
          <cell r="E544"/>
          <cell r="G544"/>
          <cell r="H544"/>
        </row>
        <row r="545">
          <cell r="B545"/>
          <cell r="C545"/>
          <cell r="D545"/>
          <cell r="E545"/>
          <cell r="G545"/>
          <cell r="H545"/>
        </row>
        <row r="546">
          <cell r="B546"/>
          <cell r="C546"/>
          <cell r="D546"/>
          <cell r="E546"/>
          <cell r="G546"/>
          <cell r="H546"/>
        </row>
        <row r="547">
          <cell r="B547"/>
          <cell r="C547"/>
          <cell r="D547"/>
          <cell r="E547"/>
          <cell r="G547"/>
          <cell r="H547"/>
        </row>
        <row r="548">
          <cell r="B548"/>
          <cell r="C548"/>
          <cell r="D548"/>
          <cell r="E548"/>
          <cell r="G548"/>
          <cell r="H548"/>
        </row>
        <row r="549">
          <cell r="B549"/>
          <cell r="C549"/>
          <cell r="D549"/>
          <cell r="E549"/>
          <cell r="G549"/>
          <cell r="H549"/>
        </row>
        <row r="550">
          <cell r="B550"/>
          <cell r="C550"/>
          <cell r="D550"/>
          <cell r="E550"/>
          <cell r="G550"/>
          <cell r="H550"/>
        </row>
        <row r="551">
          <cell r="B551"/>
          <cell r="C551"/>
          <cell r="D551"/>
          <cell r="E551"/>
          <cell r="G551"/>
          <cell r="H551"/>
        </row>
        <row r="552">
          <cell r="B552"/>
          <cell r="C552"/>
          <cell r="D552"/>
          <cell r="E552"/>
          <cell r="G552"/>
          <cell r="H552"/>
        </row>
        <row r="553">
          <cell r="B553"/>
          <cell r="C553"/>
          <cell r="D553"/>
          <cell r="E553"/>
          <cell r="G553"/>
          <cell r="H553"/>
        </row>
        <row r="554">
          <cell r="B554"/>
          <cell r="C554"/>
          <cell r="D554"/>
          <cell r="E554"/>
          <cell r="G554"/>
          <cell r="H554"/>
        </row>
        <row r="555">
          <cell r="B555"/>
          <cell r="C555"/>
          <cell r="D555"/>
          <cell r="E555"/>
          <cell r="G555"/>
          <cell r="H555"/>
        </row>
        <row r="556">
          <cell r="B556"/>
          <cell r="C556"/>
          <cell r="D556"/>
          <cell r="E556"/>
          <cell r="G556"/>
          <cell r="H556"/>
        </row>
        <row r="557">
          <cell r="B557"/>
          <cell r="C557"/>
          <cell r="D557"/>
          <cell r="E557"/>
          <cell r="G557"/>
          <cell r="H557"/>
        </row>
        <row r="558">
          <cell r="B558"/>
          <cell r="C558"/>
          <cell r="D558"/>
          <cell r="E558"/>
          <cell r="G558"/>
          <cell r="H558"/>
        </row>
        <row r="559">
          <cell r="B559"/>
          <cell r="C559"/>
          <cell r="D559"/>
          <cell r="E559"/>
          <cell r="G559"/>
          <cell r="H559"/>
        </row>
        <row r="560">
          <cell r="B560"/>
          <cell r="C560"/>
          <cell r="D560"/>
          <cell r="E560"/>
          <cell r="G560"/>
          <cell r="H560"/>
        </row>
        <row r="561">
          <cell r="B561"/>
          <cell r="C561"/>
          <cell r="D561"/>
          <cell r="E561"/>
          <cell r="G561"/>
          <cell r="H561"/>
        </row>
        <row r="562">
          <cell r="B562"/>
          <cell r="C562"/>
          <cell r="D562"/>
          <cell r="E562"/>
          <cell r="G562"/>
          <cell r="H562"/>
        </row>
        <row r="563">
          <cell r="B563"/>
          <cell r="C563"/>
          <cell r="D563"/>
          <cell r="E563"/>
          <cell r="G563"/>
          <cell r="H563"/>
        </row>
        <row r="564">
          <cell r="B564"/>
          <cell r="C564"/>
          <cell r="D564"/>
          <cell r="E564"/>
          <cell r="G564"/>
          <cell r="H564"/>
        </row>
        <row r="565">
          <cell r="B565"/>
          <cell r="C565"/>
          <cell r="D565"/>
          <cell r="E565"/>
          <cell r="G565"/>
          <cell r="H565"/>
        </row>
        <row r="566">
          <cell r="B566"/>
          <cell r="C566"/>
          <cell r="D566"/>
          <cell r="E566"/>
          <cell r="G566"/>
          <cell r="H566"/>
        </row>
        <row r="567">
          <cell r="B567"/>
          <cell r="C567"/>
          <cell r="D567"/>
          <cell r="E567"/>
          <cell r="G567"/>
          <cell r="H567"/>
        </row>
        <row r="568">
          <cell r="B568"/>
          <cell r="C568"/>
          <cell r="D568"/>
          <cell r="E568"/>
          <cell r="G568"/>
          <cell r="H568"/>
        </row>
        <row r="569">
          <cell r="B569"/>
          <cell r="C569"/>
          <cell r="D569"/>
          <cell r="E569"/>
          <cell r="G569"/>
          <cell r="H569"/>
        </row>
        <row r="570">
          <cell r="B570"/>
          <cell r="C570"/>
          <cell r="D570"/>
          <cell r="E570"/>
          <cell r="G570"/>
          <cell r="H570"/>
        </row>
        <row r="571">
          <cell r="B571"/>
          <cell r="C571"/>
          <cell r="D571"/>
          <cell r="E571"/>
          <cell r="G571"/>
          <cell r="H571"/>
        </row>
        <row r="572">
          <cell r="B572"/>
          <cell r="C572"/>
          <cell r="D572"/>
          <cell r="E572"/>
          <cell r="G572"/>
          <cell r="H572"/>
        </row>
        <row r="573">
          <cell r="B573"/>
          <cell r="C573"/>
          <cell r="D573"/>
          <cell r="E573"/>
          <cell r="G573"/>
          <cell r="H573"/>
        </row>
        <row r="574">
          <cell r="B574"/>
          <cell r="C574"/>
          <cell r="D574"/>
          <cell r="E574"/>
          <cell r="G574"/>
          <cell r="H574"/>
        </row>
        <row r="575">
          <cell r="B575"/>
          <cell r="C575"/>
          <cell r="D575"/>
          <cell r="E575"/>
          <cell r="G575"/>
          <cell r="H575"/>
        </row>
        <row r="576">
          <cell r="B576"/>
          <cell r="C576"/>
          <cell r="D576"/>
          <cell r="E576"/>
          <cell r="G576"/>
          <cell r="H576"/>
        </row>
        <row r="577">
          <cell r="B577"/>
          <cell r="C577"/>
          <cell r="D577"/>
          <cell r="E577"/>
          <cell r="G577"/>
          <cell r="H577"/>
        </row>
        <row r="578">
          <cell r="B578"/>
          <cell r="C578"/>
          <cell r="D578"/>
          <cell r="E578"/>
          <cell r="G578"/>
          <cell r="H578"/>
        </row>
        <row r="579">
          <cell r="B579"/>
          <cell r="C579"/>
          <cell r="D579"/>
          <cell r="E579"/>
          <cell r="G579"/>
          <cell r="H579"/>
        </row>
        <row r="580">
          <cell r="B580"/>
          <cell r="C580"/>
          <cell r="D580"/>
          <cell r="E580"/>
          <cell r="G580"/>
          <cell r="H580"/>
        </row>
        <row r="581">
          <cell r="B581"/>
          <cell r="C581"/>
          <cell r="D581"/>
          <cell r="E581"/>
          <cell r="G581"/>
          <cell r="H581"/>
        </row>
        <row r="582">
          <cell r="B582"/>
          <cell r="C582"/>
          <cell r="D582"/>
          <cell r="E582"/>
          <cell r="G582"/>
          <cell r="H582"/>
        </row>
        <row r="583">
          <cell r="B583"/>
          <cell r="C583"/>
          <cell r="D583"/>
          <cell r="E583"/>
          <cell r="G583"/>
          <cell r="H583"/>
        </row>
        <row r="584">
          <cell r="B584"/>
          <cell r="C584"/>
          <cell r="D584"/>
          <cell r="E584"/>
          <cell r="G584"/>
          <cell r="H584"/>
        </row>
        <row r="585">
          <cell r="B585"/>
          <cell r="C585"/>
          <cell r="D585"/>
          <cell r="E585"/>
          <cell r="G585"/>
          <cell r="H585"/>
        </row>
        <row r="586">
          <cell r="B586"/>
          <cell r="C586"/>
          <cell r="D586"/>
          <cell r="E586"/>
          <cell r="G586"/>
          <cell r="H586"/>
        </row>
        <row r="587">
          <cell r="B587"/>
          <cell r="C587"/>
          <cell r="D587"/>
          <cell r="E587"/>
          <cell r="G587"/>
          <cell r="H587"/>
        </row>
        <row r="588">
          <cell r="B588"/>
          <cell r="C588"/>
          <cell r="D588"/>
          <cell r="E588"/>
          <cell r="G588"/>
          <cell r="H588"/>
        </row>
        <row r="589">
          <cell r="B589"/>
          <cell r="C589"/>
          <cell r="D589"/>
          <cell r="E589"/>
          <cell r="G589"/>
          <cell r="H589"/>
        </row>
        <row r="590">
          <cell r="B590"/>
          <cell r="C590"/>
          <cell r="D590"/>
          <cell r="E590"/>
          <cell r="G590"/>
          <cell r="H590"/>
        </row>
        <row r="591">
          <cell r="B591"/>
          <cell r="C591"/>
          <cell r="D591"/>
          <cell r="E591"/>
          <cell r="G591"/>
          <cell r="H591"/>
        </row>
        <row r="592">
          <cell r="B592"/>
          <cell r="C592"/>
          <cell r="D592"/>
          <cell r="E592"/>
          <cell r="G592"/>
          <cell r="H592"/>
        </row>
        <row r="593">
          <cell r="B593"/>
          <cell r="C593"/>
          <cell r="D593"/>
          <cell r="E593"/>
          <cell r="G593"/>
          <cell r="H593"/>
        </row>
        <row r="594">
          <cell r="B594"/>
          <cell r="C594"/>
          <cell r="D594"/>
          <cell r="E594"/>
          <cell r="G594"/>
          <cell r="H594"/>
        </row>
        <row r="595">
          <cell r="B595"/>
          <cell r="C595"/>
          <cell r="D595"/>
          <cell r="E595"/>
          <cell r="G595"/>
          <cell r="H595"/>
        </row>
        <row r="596">
          <cell r="B596"/>
          <cell r="C596"/>
          <cell r="D596"/>
          <cell r="E596"/>
          <cell r="G596"/>
          <cell r="H596"/>
        </row>
        <row r="597">
          <cell r="B597"/>
          <cell r="C597"/>
          <cell r="D597"/>
          <cell r="E597"/>
          <cell r="G597"/>
          <cell r="H597"/>
        </row>
        <row r="598">
          <cell r="B598"/>
          <cell r="C598"/>
          <cell r="D598"/>
          <cell r="E598"/>
          <cell r="G598"/>
          <cell r="H598"/>
        </row>
        <row r="599">
          <cell r="B599"/>
          <cell r="C599"/>
          <cell r="D599"/>
          <cell r="E599"/>
          <cell r="G599"/>
          <cell r="H599"/>
        </row>
        <row r="600">
          <cell r="B600"/>
          <cell r="C600"/>
          <cell r="D600"/>
          <cell r="E600"/>
          <cell r="G600"/>
          <cell r="H600"/>
        </row>
        <row r="601">
          <cell r="B601"/>
          <cell r="C601"/>
          <cell r="D601"/>
          <cell r="E601"/>
          <cell r="G601"/>
          <cell r="H601"/>
        </row>
        <row r="602">
          <cell r="B602"/>
          <cell r="C602"/>
          <cell r="D602"/>
          <cell r="E602"/>
          <cell r="G602"/>
          <cell r="H602"/>
        </row>
        <row r="603">
          <cell r="B603"/>
          <cell r="C603"/>
          <cell r="D603"/>
          <cell r="E603"/>
          <cell r="G603"/>
          <cell r="H603"/>
        </row>
        <row r="604">
          <cell r="B604"/>
          <cell r="C604"/>
          <cell r="D604"/>
          <cell r="E604"/>
          <cell r="G604"/>
          <cell r="H604"/>
        </row>
        <row r="605">
          <cell r="B605"/>
          <cell r="C605"/>
          <cell r="D605"/>
          <cell r="E605"/>
          <cell r="G605"/>
          <cell r="H605"/>
        </row>
        <row r="606">
          <cell r="B606"/>
          <cell r="C606"/>
          <cell r="D606"/>
          <cell r="E606"/>
          <cell r="G606"/>
          <cell r="H606"/>
        </row>
        <row r="607">
          <cell r="B607"/>
          <cell r="C607"/>
          <cell r="D607"/>
          <cell r="E607"/>
          <cell r="G607"/>
          <cell r="H607"/>
        </row>
        <row r="608">
          <cell r="B608"/>
          <cell r="C608"/>
          <cell r="D608"/>
          <cell r="E608"/>
          <cell r="G608"/>
          <cell r="H608"/>
        </row>
        <row r="609">
          <cell r="B609"/>
          <cell r="C609"/>
          <cell r="D609"/>
          <cell r="E609"/>
          <cell r="G609"/>
          <cell r="H609"/>
        </row>
        <row r="610">
          <cell r="B610"/>
          <cell r="C610"/>
          <cell r="D610"/>
          <cell r="E610"/>
          <cell r="G610"/>
          <cell r="H610"/>
        </row>
        <row r="611">
          <cell r="B611"/>
          <cell r="C611"/>
          <cell r="D611"/>
          <cell r="E611"/>
          <cell r="G611"/>
          <cell r="H611"/>
        </row>
        <row r="612">
          <cell r="B612"/>
          <cell r="C612"/>
          <cell r="D612"/>
          <cell r="E612"/>
          <cell r="G612"/>
          <cell r="H612"/>
        </row>
        <row r="613">
          <cell r="B613"/>
          <cell r="C613"/>
          <cell r="D613"/>
          <cell r="E613"/>
          <cell r="G613"/>
          <cell r="H613"/>
        </row>
        <row r="614">
          <cell r="B614"/>
          <cell r="C614"/>
          <cell r="D614"/>
          <cell r="E614"/>
          <cell r="G614"/>
          <cell r="H614"/>
        </row>
        <row r="615">
          <cell r="B615"/>
          <cell r="C615"/>
          <cell r="D615"/>
          <cell r="E615"/>
          <cell r="G615"/>
          <cell r="H615"/>
        </row>
        <row r="616">
          <cell r="B616"/>
          <cell r="C616"/>
          <cell r="D616"/>
          <cell r="E616"/>
          <cell r="G616"/>
          <cell r="H616"/>
        </row>
        <row r="617">
          <cell r="B617"/>
          <cell r="C617"/>
          <cell r="D617"/>
          <cell r="E617"/>
          <cell r="G617"/>
          <cell r="H617"/>
        </row>
        <row r="618">
          <cell r="B618"/>
          <cell r="C618"/>
          <cell r="D618"/>
          <cell r="E618"/>
          <cell r="G618"/>
          <cell r="H618"/>
        </row>
        <row r="619">
          <cell r="B619"/>
          <cell r="C619"/>
          <cell r="D619"/>
          <cell r="E619"/>
          <cell r="G619"/>
          <cell r="H619"/>
        </row>
        <row r="620">
          <cell r="B620"/>
          <cell r="C620"/>
          <cell r="D620"/>
          <cell r="E620"/>
          <cell r="G620"/>
          <cell r="H620"/>
        </row>
        <row r="621">
          <cell r="B621"/>
          <cell r="C621"/>
          <cell r="D621"/>
          <cell r="E621"/>
          <cell r="G621"/>
          <cell r="H621"/>
        </row>
        <row r="622">
          <cell r="B622"/>
          <cell r="C622"/>
          <cell r="D622"/>
          <cell r="E622"/>
          <cell r="G622"/>
          <cell r="H622"/>
        </row>
        <row r="623">
          <cell r="B623"/>
          <cell r="C623"/>
          <cell r="D623"/>
          <cell r="E623"/>
          <cell r="G623"/>
          <cell r="H623"/>
        </row>
        <row r="624">
          <cell r="B624"/>
          <cell r="C624"/>
          <cell r="D624"/>
          <cell r="E624"/>
          <cell r="G624"/>
          <cell r="H624"/>
        </row>
        <row r="625">
          <cell r="B625"/>
          <cell r="C625"/>
          <cell r="D625"/>
          <cell r="E625"/>
          <cell r="G625"/>
          <cell r="H625"/>
        </row>
        <row r="626">
          <cell r="B626"/>
          <cell r="C626"/>
          <cell r="D626"/>
          <cell r="E626"/>
          <cell r="G626"/>
          <cell r="H626"/>
        </row>
        <row r="627">
          <cell r="B627"/>
          <cell r="C627"/>
          <cell r="D627"/>
          <cell r="E627"/>
          <cell r="G627"/>
          <cell r="H627"/>
        </row>
        <row r="628">
          <cell r="B628"/>
          <cell r="C628"/>
          <cell r="D628"/>
          <cell r="E628"/>
          <cell r="G628"/>
          <cell r="H628"/>
        </row>
        <row r="629">
          <cell r="B629"/>
          <cell r="C629"/>
          <cell r="D629"/>
          <cell r="E629"/>
          <cell r="G629"/>
          <cell r="H629"/>
        </row>
        <row r="630">
          <cell r="B630"/>
          <cell r="C630"/>
          <cell r="D630"/>
          <cell r="E630"/>
          <cell r="G630"/>
          <cell r="H630"/>
        </row>
        <row r="631">
          <cell r="B631"/>
          <cell r="C631"/>
          <cell r="D631"/>
          <cell r="E631"/>
          <cell r="G631"/>
          <cell r="H631"/>
        </row>
        <row r="632">
          <cell r="B632"/>
          <cell r="C632"/>
          <cell r="D632"/>
          <cell r="E632"/>
          <cell r="G632"/>
          <cell r="H632"/>
        </row>
        <row r="633">
          <cell r="B633"/>
          <cell r="C633"/>
          <cell r="D633"/>
          <cell r="E633"/>
          <cell r="G633"/>
          <cell r="H633"/>
        </row>
        <row r="634">
          <cell r="B634"/>
          <cell r="C634"/>
          <cell r="D634"/>
          <cell r="E634"/>
          <cell r="G634"/>
          <cell r="H634"/>
        </row>
        <row r="635">
          <cell r="B635"/>
          <cell r="C635"/>
          <cell r="D635"/>
          <cell r="E635"/>
          <cell r="G635"/>
          <cell r="H635"/>
        </row>
        <row r="636">
          <cell r="B636"/>
          <cell r="C636"/>
          <cell r="D636"/>
          <cell r="E636"/>
          <cell r="G636"/>
          <cell r="H636"/>
        </row>
        <row r="637">
          <cell r="B637"/>
          <cell r="C637"/>
          <cell r="D637"/>
          <cell r="E637"/>
          <cell r="G637"/>
          <cell r="H637"/>
        </row>
        <row r="638">
          <cell r="B638"/>
          <cell r="C638"/>
          <cell r="D638"/>
          <cell r="E638"/>
          <cell r="G638"/>
          <cell r="H638"/>
        </row>
        <row r="639">
          <cell r="B639"/>
          <cell r="C639"/>
          <cell r="D639"/>
          <cell r="E639"/>
          <cell r="G639"/>
          <cell r="H639"/>
        </row>
        <row r="640">
          <cell r="B640"/>
          <cell r="C640"/>
          <cell r="D640"/>
          <cell r="E640"/>
          <cell r="G640"/>
          <cell r="H640"/>
        </row>
        <row r="641">
          <cell r="B641"/>
          <cell r="C641"/>
          <cell r="D641"/>
          <cell r="E641"/>
          <cell r="G641"/>
          <cell r="H641"/>
        </row>
        <row r="642">
          <cell r="B642"/>
          <cell r="C642"/>
          <cell r="D642"/>
          <cell r="E642"/>
          <cell r="G642"/>
          <cell r="H642"/>
        </row>
        <row r="643">
          <cell r="B643"/>
          <cell r="C643"/>
          <cell r="D643"/>
          <cell r="E643"/>
          <cell r="G643"/>
          <cell r="H643"/>
        </row>
        <row r="644">
          <cell r="B644"/>
          <cell r="C644"/>
          <cell r="D644"/>
          <cell r="E644"/>
          <cell r="G644"/>
          <cell r="H644"/>
        </row>
        <row r="645">
          <cell r="B645"/>
          <cell r="C645"/>
          <cell r="D645"/>
          <cell r="E645"/>
          <cell r="G645"/>
          <cell r="H645"/>
        </row>
        <row r="646">
          <cell r="B646"/>
          <cell r="C646"/>
          <cell r="D646"/>
          <cell r="E646"/>
          <cell r="G646"/>
          <cell r="H646"/>
        </row>
        <row r="647">
          <cell r="B647"/>
          <cell r="C647"/>
          <cell r="D647"/>
          <cell r="E647"/>
          <cell r="G647"/>
          <cell r="H647"/>
        </row>
        <row r="648">
          <cell r="B648"/>
          <cell r="C648"/>
          <cell r="D648"/>
          <cell r="E648"/>
          <cell r="G648"/>
          <cell r="H648"/>
        </row>
        <row r="649">
          <cell r="B649"/>
          <cell r="C649"/>
          <cell r="D649"/>
          <cell r="E649"/>
          <cell r="G649"/>
          <cell r="H649"/>
        </row>
        <row r="650">
          <cell r="B650"/>
          <cell r="C650"/>
          <cell r="D650"/>
          <cell r="E650"/>
          <cell r="G650"/>
          <cell r="H650"/>
        </row>
        <row r="651">
          <cell r="B651"/>
          <cell r="C651"/>
          <cell r="D651"/>
          <cell r="E651"/>
          <cell r="G651"/>
          <cell r="H651"/>
        </row>
        <row r="652">
          <cell r="B652"/>
          <cell r="C652"/>
          <cell r="D652"/>
          <cell r="E652"/>
          <cell r="G652"/>
          <cell r="H652"/>
        </row>
        <row r="653">
          <cell r="B653"/>
          <cell r="C653"/>
          <cell r="D653"/>
          <cell r="E653"/>
          <cell r="G653"/>
          <cell r="H653"/>
        </row>
        <row r="654">
          <cell r="B654"/>
          <cell r="C654"/>
          <cell r="D654"/>
          <cell r="E654"/>
          <cell r="G654"/>
          <cell r="H654"/>
        </row>
        <row r="655">
          <cell r="B655"/>
          <cell r="C655"/>
          <cell r="D655"/>
          <cell r="E655"/>
          <cell r="G655"/>
          <cell r="H655"/>
        </row>
        <row r="656">
          <cell r="B656"/>
          <cell r="C656"/>
          <cell r="D656"/>
          <cell r="E656"/>
          <cell r="G656"/>
          <cell r="H656"/>
        </row>
        <row r="657">
          <cell r="B657"/>
          <cell r="C657"/>
          <cell r="D657"/>
          <cell r="E657"/>
          <cell r="G657"/>
          <cell r="H657"/>
        </row>
        <row r="658">
          <cell r="B658"/>
          <cell r="C658"/>
          <cell r="D658"/>
          <cell r="E658"/>
          <cell r="G658"/>
          <cell r="H658"/>
        </row>
        <row r="659">
          <cell r="B659"/>
          <cell r="C659"/>
          <cell r="D659"/>
          <cell r="E659"/>
          <cell r="G659"/>
          <cell r="H659"/>
        </row>
        <row r="660">
          <cell r="B660"/>
          <cell r="C660"/>
          <cell r="D660"/>
          <cell r="E660"/>
          <cell r="G660"/>
          <cell r="H660"/>
        </row>
        <row r="661">
          <cell r="B661"/>
          <cell r="C661"/>
          <cell r="D661"/>
          <cell r="E661"/>
          <cell r="G661"/>
          <cell r="H661"/>
        </row>
        <row r="662">
          <cell r="B662"/>
          <cell r="C662"/>
          <cell r="D662"/>
          <cell r="E662"/>
          <cell r="G662"/>
          <cell r="H662"/>
        </row>
        <row r="663">
          <cell r="B663"/>
          <cell r="C663"/>
          <cell r="D663"/>
          <cell r="E663"/>
          <cell r="G663"/>
          <cell r="H663"/>
        </row>
        <row r="664">
          <cell r="B664"/>
          <cell r="C664"/>
          <cell r="D664"/>
          <cell r="E664"/>
          <cell r="G664"/>
          <cell r="H664"/>
        </row>
        <row r="665">
          <cell r="B665"/>
          <cell r="C665"/>
          <cell r="D665"/>
          <cell r="E665"/>
          <cell r="G665"/>
          <cell r="H665"/>
        </row>
        <row r="666">
          <cell r="B666"/>
          <cell r="C666"/>
          <cell r="D666"/>
          <cell r="E666"/>
          <cell r="G666"/>
          <cell r="H666"/>
        </row>
        <row r="667">
          <cell r="B667"/>
          <cell r="C667"/>
          <cell r="D667"/>
          <cell r="E667"/>
          <cell r="G667"/>
          <cell r="H667"/>
        </row>
        <row r="668">
          <cell r="B668"/>
          <cell r="C668"/>
          <cell r="D668"/>
          <cell r="E668"/>
          <cell r="G668"/>
          <cell r="H668"/>
        </row>
        <row r="669">
          <cell r="B669"/>
          <cell r="C669"/>
          <cell r="D669"/>
          <cell r="E669"/>
          <cell r="G669"/>
          <cell r="H669"/>
        </row>
        <row r="670">
          <cell r="B670"/>
          <cell r="C670"/>
          <cell r="D670"/>
          <cell r="E670"/>
          <cell r="G670"/>
          <cell r="H670"/>
        </row>
        <row r="671">
          <cell r="B671"/>
          <cell r="C671"/>
          <cell r="D671"/>
          <cell r="E671"/>
          <cell r="G671"/>
          <cell r="H671"/>
        </row>
        <row r="672">
          <cell r="B672"/>
          <cell r="C672"/>
          <cell r="D672"/>
          <cell r="E672"/>
          <cell r="G672"/>
          <cell r="H672"/>
        </row>
        <row r="673">
          <cell r="B673"/>
          <cell r="C673"/>
          <cell r="D673"/>
          <cell r="E673"/>
          <cell r="G673"/>
          <cell r="H673"/>
        </row>
        <row r="674">
          <cell r="B674"/>
          <cell r="C674"/>
          <cell r="D674"/>
          <cell r="E674"/>
          <cell r="G674"/>
          <cell r="H674"/>
        </row>
        <row r="675">
          <cell r="B675"/>
          <cell r="C675"/>
          <cell r="D675"/>
          <cell r="E675"/>
          <cell r="G675"/>
          <cell r="H675"/>
        </row>
        <row r="676">
          <cell r="B676"/>
          <cell r="C676"/>
          <cell r="D676"/>
          <cell r="E676"/>
          <cell r="G676"/>
          <cell r="H676"/>
        </row>
        <row r="677">
          <cell r="B677"/>
          <cell r="C677"/>
          <cell r="D677"/>
          <cell r="E677"/>
          <cell r="G677"/>
          <cell r="H677"/>
        </row>
        <row r="678">
          <cell r="B678"/>
          <cell r="C678"/>
          <cell r="D678"/>
          <cell r="E678"/>
          <cell r="G678"/>
          <cell r="H678"/>
        </row>
        <row r="679">
          <cell r="B679"/>
          <cell r="C679"/>
          <cell r="D679"/>
          <cell r="E679"/>
          <cell r="G679"/>
          <cell r="H679"/>
        </row>
        <row r="680">
          <cell r="B680"/>
          <cell r="C680"/>
          <cell r="D680"/>
          <cell r="E680"/>
          <cell r="G680"/>
          <cell r="H680"/>
        </row>
        <row r="681">
          <cell r="B681"/>
          <cell r="C681"/>
          <cell r="D681"/>
          <cell r="E681"/>
          <cell r="G681"/>
          <cell r="H681"/>
        </row>
        <row r="682">
          <cell r="B682"/>
          <cell r="C682"/>
          <cell r="D682"/>
          <cell r="E682"/>
          <cell r="G682"/>
          <cell r="H682"/>
        </row>
        <row r="683">
          <cell r="B683"/>
          <cell r="C683"/>
          <cell r="D683"/>
          <cell r="E683"/>
          <cell r="G683"/>
          <cell r="H683"/>
        </row>
        <row r="684">
          <cell r="B684"/>
          <cell r="C684"/>
          <cell r="D684"/>
          <cell r="E684"/>
          <cell r="G684"/>
          <cell r="H684"/>
        </row>
        <row r="685">
          <cell r="B685"/>
          <cell r="C685"/>
          <cell r="D685"/>
          <cell r="E685"/>
          <cell r="G685"/>
          <cell r="H685"/>
        </row>
        <row r="686">
          <cell r="B686"/>
          <cell r="C686"/>
          <cell r="D686"/>
          <cell r="E686"/>
          <cell r="G686"/>
          <cell r="H686"/>
        </row>
        <row r="687">
          <cell r="B687"/>
          <cell r="C687"/>
          <cell r="D687"/>
          <cell r="E687"/>
          <cell r="G687"/>
          <cell r="H687"/>
        </row>
        <row r="688">
          <cell r="B688"/>
          <cell r="C688"/>
          <cell r="D688"/>
          <cell r="E688"/>
          <cell r="G688"/>
          <cell r="H688"/>
        </row>
        <row r="689">
          <cell r="B689"/>
          <cell r="C689"/>
          <cell r="D689"/>
          <cell r="E689"/>
          <cell r="G689"/>
          <cell r="H689"/>
        </row>
        <row r="690">
          <cell r="B690"/>
          <cell r="C690"/>
          <cell r="D690"/>
          <cell r="E690"/>
          <cell r="G690"/>
          <cell r="H690"/>
        </row>
        <row r="691">
          <cell r="B691"/>
          <cell r="C691"/>
          <cell r="D691"/>
          <cell r="E691"/>
          <cell r="G691"/>
          <cell r="H691"/>
        </row>
        <row r="692">
          <cell r="B692"/>
          <cell r="C692"/>
          <cell r="D692"/>
          <cell r="E692"/>
          <cell r="G692"/>
          <cell r="H692"/>
        </row>
        <row r="693">
          <cell r="B693"/>
          <cell r="C693"/>
          <cell r="D693"/>
          <cell r="E693"/>
          <cell r="G693"/>
          <cell r="H693"/>
        </row>
        <row r="694">
          <cell r="B694"/>
          <cell r="C694"/>
          <cell r="D694"/>
          <cell r="E694"/>
          <cell r="G694"/>
          <cell r="H694"/>
        </row>
        <row r="695">
          <cell r="B695"/>
          <cell r="C695"/>
          <cell r="D695"/>
          <cell r="E695"/>
          <cell r="G695"/>
          <cell r="H695"/>
        </row>
        <row r="696">
          <cell r="B696"/>
          <cell r="C696"/>
          <cell r="D696"/>
          <cell r="E696"/>
          <cell r="G696"/>
          <cell r="H696"/>
        </row>
        <row r="697">
          <cell r="B697"/>
          <cell r="C697"/>
          <cell r="D697"/>
          <cell r="E697"/>
          <cell r="G697"/>
          <cell r="H697"/>
        </row>
        <row r="698">
          <cell r="B698"/>
          <cell r="C698"/>
          <cell r="D698"/>
          <cell r="E698"/>
          <cell r="G698"/>
          <cell r="H698"/>
        </row>
        <row r="699">
          <cell r="B699"/>
          <cell r="C699"/>
          <cell r="D699"/>
          <cell r="E699"/>
          <cell r="G699"/>
          <cell r="H699"/>
        </row>
        <row r="700">
          <cell r="B700"/>
          <cell r="C700"/>
          <cell r="D700"/>
          <cell r="E700"/>
          <cell r="G700"/>
          <cell r="H700"/>
        </row>
        <row r="701">
          <cell r="B701"/>
          <cell r="C701"/>
          <cell r="D701"/>
          <cell r="E701"/>
          <cell r="G701"/>
          <cell r="H701"/>
        </row>
        <row r="702">
          <cell r="B702"/>
          <cell r="C702"/>
          <cell r="D702"/>
          <cell r="E702"/>
          <cell r="G702"/>
          <cell r="H702"/>
        </row>
        <row r="703">
          <cell r="B703"/>
          <cell r="C703"/>
          <cell r="D703"/>
          <cell r="E703"/>
          <cell r="G703"/>
          <cell r="H703"/>
        </row>
        <row r="704">
          <cell r="B704"/>
          <cell r="C704"/>
          <cell r="D704"/>
          <cell r="E704"/>
          <cell r="G704"/>
          <cell r="H704"/>
        </row>
        <row r="705">
          <cell r="B705"/>
          <cell r="C705"/>
          <cell r="D705"/>
          <cell r="E705"/>
          <cell r="G705"/>
          <cell r="H705"/>
        </row>
        <row r="706">
          <cell r="B706"/>
          <cell r="C706"/>
          <cell r="D706"/>
          <cell r="E706"/>
          <cell r="G706"/>
          <cell r="H706"/>
        </row>
        <row r="707">
          <cell r="B707"/>
          <cell r="C707"/>
          <cell r="D707"/>
          <cell r="E707"/>
          <cell r="G707"/>
          <cell r="H707"/>
        </row>
        <row r="708">
          <cell r="B708"/>
          <cell r="C708"/>
          <cell r="D708"/>
          <cell r="E708"/>
          <cell r="G708"/>
          <cell r="H708"/>
        </row>
        <row r="709">
          <cell r="B709"/>
          <cell r="C709"/>
          <cell r="D709"/>
          <cell r="E709"/>
          <cell r="G709"/>
          <cell r="H709"/>
        </row>
        <row r="710">
          <cell r="B710"/>
          <cell r="C710"/>
          <cell r="D710"/>
          <cell r="E710"/>
          <cell r="G710"/>
          <cell r="H710"/>
        </row>
        <row r="711">
          <cell r="B711"/>
          <cell r="C711"/>
          <cell r="D711"/>
          <cell r="E711"/>
          <cell r="G711"/>
          <cell r="H711"/>
        </row>
        <row r="712">
          <cell r="B712"/>
          <cell r="C712"/>
          <cell r="D712"/>
          <cell r="E712"/>
          <cell r="G712"/>
          <cell r="H712"/>
        </row>
        <row r="713">
          <cell r="B713"/>
          <cell r="C713"/>
          <cell r="D713"/>
          <cell r="E713"/>
          <cell r="G713"/>
          <cell r="H713"/>
        </row>
        <row r="714">
          <cell r="B714"/>
          <cell r="C714"/>
          <cell r="D714"/>
          <cell r="E714"/>
          <cell r="G714"/>
          <cell r="H714"/>
        </row>
        <row r="715">
          <cell r="B715"/>
          <cell r="C715"/>
          <cell r="D715"/>
          <cell r="E715"/>
          <cell r="G715"/>
          <cell r="H715"/>
        </row>
        <row r="716">
          <cell r="B716"/>
          <cell r="C716"/>
          <cell r="D716"/>
          <cell r="E716"/>
          <cell r="G716"/>
          <cell r="H716"/>
        </row>
        <row r="717">
          <cell r="B717"/>
          <cell r="C717"/>
          <cell r="D717"/>
          <cell r="E717"/>
          <cell r="G717"/>
          <cell r="H717"/>
        </row>
        <row r="718">
          <cell r="B718"/>
          <cell r="C718"/>
          <cell r="D718"/>
          <cell r="E718"/>
          <cell r="G718"/>
          <cell r="H718"/>
        </row>
        <row r="719">
          <cell r="B719"/>
          <cell r="C719"/>
          <cell r="D719"/>
          <cell r="E719"/>
          <cell r="G719"/>
          <cell r="H719"/>
        </row>
        <row r="720">
          <cell r="B720"/>
          <cell r="C720"/>
          <cell r="D720"/>
          <cell r="E720"/>
          <cell r="G720"/>
          <cell r="H720"/>
        </row>
        <row r="721">
          <cell r="B721"/>
          <cell r="C721"/>
          <cell r="D721"/>
          <cell r="E721"/>
          <cell r="G721"/>
          <cell r="H721"/>
        </row>
        <row r="722">
          <cell r="B722"/>
          <cell r="C722"/>
          <cell r="D722"/>
          <cell r="E722"/>
          <cell r="G722"/>
          <cell r="H722"/>
        </row>
        <row r="723">
          <cell r="B723"/>
          <cell r="C723"/>
          <cell r="D723"/>
          <cell r="E723"/>
          <cell r="G723"/>
          <cell r="H723"/>
        </row>
        <row r="724">
          <cell r="B724"/>
          <cell r="C724"/>
          <cell r="D724"/>
          <cell r="E724"/>
          <cell r="G724"/>
          <cell r="H724"/>
        </row>
        <row r="725">
          <cell r="B725"/>
          <cell r="C725"/>
          <cell r="D725"/>
          <cell r="E725"/>
          <cell r="G725"/>
          <cell r="H725"/>
        </row>
        <row r="726">
          <cell r="B726"/>
          <cell r="C726"/>
          <cell r="D726"/>
          <cell r="E726"/>
          <cell r="G726"/>
          <cell r="H726"/>
        </row>
        <row r="727">
          <cell r="B727"/>
          <cell r="C727"/>
          <cell r="D727"/>
          <cell r="E727"/>
          <cell r="G727"/>
          <cell r="H727"/>
        </row>
        <row r="728">
          <cell r="B728"/>
          <cell r="C728"/>
          <cell r="D728"/>
          <cell r="E728"/>
          <cell r="G728"/>
          <cell r="H728"/>
        </row>
        <row r="729">
          <cell r="B729"/>
          <cell r="C729"/>
          <cell r="D729"/>
          <cell r="E729"/>
          <cell r="G729"/>
          <cell r="H729"/>
        </row>
        <row r="730">
          <cell r="B730"/>
          <cell r="C730"/>
          <cell r="D730"/>
          <cell r="E730"/>
          <cell r="G730"/>
          <cell r="H730"/>
        </row>
        <row r="731">
          <cell r="B731"/>
          <cell r="C731"/>
          <cell r="D731"/>
          <cell r="E731"/>
          <cell r="G731"/>
          <cell r="H731"/>
        </row>
        <row r="732">
          <cell r="B732"/>
          <cell r="C732"/>
          <cell r="D732"/>
          <cell r="E732"/>
          <cell r="G732"/>
          <cell r="H732"/>
        </row>
        <row r="733">
          <cell r="B733"/>
          <cell r="C733"/>
          <cell r="D733"/>
          <cell r="E733"/>
          <cell r="G733"/>
          <cell r="H733"/>
        </row>
        <row r="734">
          <cell r="B734"/>
          <cell r="C734"/>
          <cell r="D734"/>
          <cell r="E734"/>
          <cell r="G734"/>
          <cell r="H734"/>
        </row>
        <row r="735">
          <cell r="B735"/>
          <cell r="C735"/>
          <cell r="D735"/>
          <cell r="E735"/>
          <cell r="G735"/>
          <cell r="H735"/>
        </row>
        <row r="736">
          <cell r="B736"/>
          <cell r="C736"/>
          <cell r="D736"/>
          <cell r="E736"/>
          <cell r="G736"/>
          <cell r="H736"/>
        </row>
        <row r="737">
          <cell r="B737"/>
          <cell r="C737"/>
          <cell r="D737"/>
          <cell r="E737"/>
          <cell r="G737"/>
          <cell r="H737"/>
        </row>
        <row r="738">
          <cell r="B738"/>
          <cell r="C738"/>
          <cell r="D738"/>
          <cell r="E738"/>
          <cell r="G738"/>
          <cell r="H738"/>
        </row>
        <row r="739">
          <cell r="B739"/>
          <cell r="C739"/>
          <cell r="D739"/>
          <cell r="E739"/>
          <cell r="G739"/>
          <cell r="H739"/>
        </row>
        <row r="740">
          <cell r="B740"/>
          <cell r="C740"/>
          <cell r="D740"/>
          <cell r="E740"/>
          <cell r="G740"/>
          <cell r="H740"/>
        </row>
        <row r="741">
          <cell r="B741"/>
          <cell r="C741"/>
          <cell r="D741"/>
          <cell r="E741"/>
          <cell r="G741"/>
          <cell r="H741"/>
        </row>
        <row r="742">
          <cell r="B742"/>
          <cell r="C742"/>
          <cell r="D742"/>
          <cell r="E742"/>
          <cell r="G742"/>
          <cell r="H742"/>
        </row>
        <row r="743">
          <cell r="B743"/>
          <cell r="C743"/>
          <cell r="D743"/>
          <cell r="E743"/>
          <cell r="G743"/>
          <cell r="H743"/>
        </row>
        <row r="744">
          <cell r="B744"/>
          <cell r="C744"/>
          <cell r="D744"/>
          <cell r="E744"/>
          <cell r="G744"/>
          <cell r="H744"/>
        </row>
        <row r="745">
          <cell r="B745"/>
          <cell r="C745"/>
          <cell r="D745"/>
          <cell r="E745"/>
          <cell r="G745"/>
          <cell r="H745"/>
        </row>
        <row r="746">
          <cell r="B746"/>
          <cell r="C746"/>
          <cell r="D746"/>
          <cell r="E746"/>
          <cell r="G746"/>
          <cell r="H746"/>
        </row>
        <row r="747">
          <cell r="B747"/>
          <cell r="C747"/>
          <cell r="D747"/>
          <cell r="E747"/>
          <cell r="G747"/>
          <cell r="H747"/>
        </row>
        <row r="748">
          <cell r="B748"/>
          <cell r="C748"/>
          <cell r="D748"/>
          <cell r="E748"/>
          <cell r="G748"/>
          <cell r="H748"/>
        </row>
        <row r="749">
          <cell r="B749"/>
          <cell r="C749"/>
          <cell r="D749"/>
          <cell r="E749"/>
          <cell r="G749"/>
          <cell r="H749"/>
        </row>
        <row r="750">
          <cell r="B750"/>
          <cell r="C750"/>
          <cell r="D750"/>
          <cell r="E750"/>
          <cell r="G750"/>
          <cell r="H750"/>
        </row>
        <row r="751">
          <cell r="B751"/>
          <cell r="C751"/>
          <cell r="D751"/>
          <cell r="E751"/>
          <cell r="G751"/>
          <cell r="H751"/>
        </row>
        <row r="752">
          <cell r="B752"/>
          <cell r="C752"/>
          <cell r="D752"/>
          <cell r="E752"/>
          <cell r="G752"/>
          <cell r="H752"/>
        </row>
        <row r="753">
          <cell r="B753"/>
          <cell r="C753"/>
          <cell r="D753"/>
          <cell r="E753"/>
          <cell r="G753"/>
          <cell r="H753"/>
        </row>
        <row r="754">
          <cell r="B754"/>
          <cell r="C754"/>
          <cell r="D754"/>
          <cell r="E754"/>
          <cell r="G754"/>
          <cell r="H754"/>
        </row>
        <row r="755">
          <cell r="B755"/>
          <cell r="C755"/>
          <cell r="D755"/>
          <cell r="E755"/>
          <cell r="G755"/>
          <cell r="H755"/>
        </row>
        <row r="756">
          <cell r="B756"/>
          <cell r="C756"/>
          <cell r="D756"/>
          <cell r="E756"/>
          <cell r="G756"/>
          <cell r="H756"/>
        </row>
        <row r="757">
          <cell r="B757"/>
          <cell r="C757"/>
          <cell r="D757"/>
          <cell r="E757"/>
          <cell r="G757"/>
          <cell r="H757"/>
        </row>
        <row r="758">
          <cell r="B758"/>
          <cell r="C758"/>
          <cell r="D758"/>
          <cell r="E758"/>
          <cell r="G758"/>
          <cell r="H758"/>
        </row>
        <row r="759">
          <cell r="B759"/>
          <cell r="C759"/>
          <cell r="D759"/>
          <cell r="E759"/>
          <cell r="G759"/>
          <cell r="H759"/>
        </row>
        <row r="760">
          <cell r="B760"/>
          <cell r="C760"/>
          <cell r="D760"/>
          <cell r="E760"/>
          <cell r="G760"/>
          <cell r="H760"/>
        </row>
        <row r="761">
          <cell r="B761"/>
          <cell r="C761"/>
          <cell r="D761"/>
          <cell r="E761"/>
          <cell r="G761"/>
          <cell r="H761"/>
        </row>
        <row r="762">
          <cell r="B762"/>
          <cell r="C762"/>
          <cell r="D762"/>
          <cell r="E762"/>
          <cell r="G762"/>
          <cell r="H762"/>
        </row>
        <row r="763">
          <cell r="B763"/>
          <cell r="C763"/>
          <cell r="D763"/>
          <cell r="E763"/>
          <cell r="G763"/>
          <cell r="H763"/>
        </row>
        <row r="764">
          <cell r="B764"/>
          <cell r="C764"/>
          <cell r="D764"/>
          <cell r="E764"/>
          <cell r="G764"/>
          <cell r="H764"/>
        </row>
        <row r="765">
          <cell r="B765"/>
          <cell r="C765"/>
          <cell r="D765"/>
          <cell r="E765"/>
          <cell r="G765"/>
          <cell r="H765"/>
        </row>
        <row r="766">
          <cell r="B766"/>
          <cell r="C766"/>
          <cell r="D766"/>
          <cell r="E766"/>
          <cell r="G766"/>
          <cell r="H766"/>
        </row>
        <row r="767">
          <cell r="B767"/>
          <cell r="C767"/>
          <cell r="D767"/>
          <cell r="E767"/>
          <cell r="G767"/>
          <cell r="H767"/>
        </row>
        <row r="768">
          <cell r="B768"/>
          <cell r="C768"/>
          <cell r="D768"/>
          <cell r="E768"/>
          <cell r="G768"/>
          <cell r="H768"/>
        </row>
        <row r="769">
          <cell r="B769"/>
          <cell r="C769"/>
          <cell r="D769"/>
          <cell r="E769"/>
          <cell r="G769"/>
          <cell r="H769"/>
        </row>
        <row r="770">
          <cell r="B770"/>
          <cell r="C770"/>
          <cell r="D770"/>
          <cell r="E770"/>
          <cell r="G770"/>
          <cell r="H770"/>
        </row>
        <row r="771">
          <cell r="B771"/>
          <cell r="C771"/>
          <cell r="D771"/>
          <cell r="E771"/>
          <cell r="G771"/>
          <cell r="H771"/>
        </row>
        <row r="772">
          <cell r="B772"/>
          <cell r="C772"/>
          <cell r="D772"/>
          <cell r="E772"/>
          <cell r="G772"/>
          <cell r="H772"/>
        </row>
        <row r="773">
          <cell r="B773"/>
          <cell r="C773"/>
          <cell r="D773"/>
          <cell r="E773"/>
          <cell r="G773"/>
          <cell r="H773"/>
        </row>
        <row r="774">
          <cell r="B774"/>
          <cell r="C774"/>
          <cell r="D774"/>
          <cell r="E774"/>
          <cell r="G774"/>
          <cell r="H774"/>
        </row>
        <row r="775">
          <cell r="B775"/>
          <cell r="C775"/>
          <cell r="D775"/>
          <cell r="E775"/>
          <cell r="G775"/>
          <cell r="H775"/>
        </row>
        <row r="776">
          <cell r="B776"/>
          <cell r="C776"/>
          <cell r="D776"/>
          <cell r="E776"/>
          <cell r="G776"/>
          <cell r="H776"/>
        </row>
        <row r="777">
          <cell r="B777"/>
          <cell r="C777"/>
          <cell r="D777"/>
          <cell r="E777"/>
          <cell r="G777"/>
          <cell r="H777"/>
        </row>
        <row r="778">
          <cell r="B778"/>
          <cell r="C778"/>
          <cell r="D778"/>
          <cell r="E778"/>
          <cell r="G778"/>
          <cell r="H778"/>
        </row>
        <row r="779">
          <cell r="B779"/>
          <cell r="C779"/>
          <cell r="D779"/>
          <cell r="E779"/>
          <cell r="G779"/>
          <cell r="H779"/>
        </row>
        <row r="780">
          <cell r="B780"/>
          <cell r="C780"/>
          <cell r="D780"/>
          <cell r="E780"/>
          <cell r="G780"/>
          <cell r="H780"/>
        </row>
        <row r="781">
          <cell r="B781"/>
          <cell r="C781"/>
          <cell r="D781"/>
          <cell r="E781"/>
          <cell r="G781"/>
          <cell r="H781"/>
        </row>
        <row r="782">
          <cell r="B782"/>
          <cell r="C782"/>
          <cell r="D782"/>
          <cell r="E782"/>
          <cell r="G782"/>
          <cell r="H782"/>
        </row>
        <row r="783">
          <cell r="B783"/>
          <cell r="C783"/>
          <cell r="D783"/>
          <cell r="E783"/>
          <cell r="G783"/>
          <cell r="H783"/>
        </row>
        <row r="784">
          <cell r="B784"/>
          <cell r="C784"/>
          <cell r="D784"/>
          <cell r="E784"/>
          <cell r="G784"/>
          <cell r="H784"/>
        </row>
        <row r="785">
          <cell r="B785"/>
          <cell r="C785"/>
          <cell r="D785"/>
          <cell r="E785"/>
          <cell r="G785"/>
          <cell r="H785"/>
        </row>
        <row r="786">
          <cell r="B786"/>
          <cell r="C786"/>
          <cell r="D786"/>
          <cell r="E786"/>
          <cell r="G786"/>
          <cell r="H786"/>
        </row>
        <row r="787">
          <cell r="B787"/>
          <cell r="C787"/>
          <cell r="D787"/>
          <cell r="E787"/>
          <cell r="G787"/>
          <cell r="H787"/>
        </row>
        <row r="788">
          <cell r="B788"/>
          <cell r="C788"/>
          <cell r="D788"/>
          <cell r="E788"/>
          <cell r="G788"/>
          <cell r="H788"/>
        </row>
        <row r="789">
          <cell r="B789"/>
          <cell r="C789"/>
          <cell r="D789"/>
          <cell r="E789"/>
          <cell r="G789"/>
          <cell r="H789"/>
        </row>
        <row r="790">
          <cell r="B790"/>
          <cell r="C790"/>
          <cell r="D790"/>
          <cell r="E790"/>
          <cell r="G790"/>
          <cell r="H790"/>
        </row>
        <row r="791">
          <cell r="B791"/>
          <cell r="C791"/>
          <cell r="D791"/>
          <cell r="E791"/>
          <cell r="G791"/>
          <cell r="H791"/>
        </row>
        <row r="792">
          <cell r="B792"/>
          <cell r="C792"/>
          <cell r="D792"/>
          <cell r="E792"/>
          <cell r="G792"/>
          <cell r="H792"/>
        </row>
        <row r="793">
          <cell r="B793"/>
          <cell r="C793"/>
          <cell r="D793"/>
          <cell r="E793"/>
          <cell r="G793"/>
          <cell r="H793"/>
        </row>
        <row r="794">
          <cell r="B794"/>
          <cell r="C794"/>
          <cell r="D794"/>
          <cell r="E794"/>
          <cell r="G794"/>
          <cell r="H794"/>
        </row>
        <row r="795">
          <cell r="B795"/>
          <cell r="C795"/>
          <cell r="D795"/>
          <cell r="E795"/>
          <cell r="G795"/>
          <cell r="H795"/>
        </row>
        <row r="796">
          <cell r="B796"/>
          <cell r="C796"/>
          <cell r="D796"/>
          <cell r="E796"/>
          <cell r="G796"/>
          <cell r="H796"/>
        </row>
        <row r="797">
          <cell r="B797"/>
          <cell r="C797"/>
          <cell r="D797"/>
          <cell r="E797"/>
          <cell r="G797"/>
          <cell r="H797"/>
        </row>
        <row r="798">
          <cell r="B798"/>
          <cell r="C798"/>
          <cell r="D798"/>
          <cell r="E798"/>
          <cell r="G798"/>
          <cell r="H798"/>
        </row>
        <row r="799">
          <cell r="B799"/>
          <cell r="C799"/>
          <cell r="D799"/>
          <cell r="E799"/>
          <cell r="G799"/>
          <cell r="H799"/>
        </row>
        <row r="800">
          <cell r="B800"/>
          <cell r="C800"/>
          <cell r="D800"/>
          <cell r="E800"/>
          <cell r="G800"/>
          <cell r="H800"/>
        </row>
        <row r="801">
          <cell r="B801"/>
          <cell r="C801"/>
          <cell r="D801"/>
          <cell r="E801"/>
          <cell r="G801"/>
          <cell r="H801"/>
        </row>
        <row r="802">
          <cell r="B802"/>
          <cell r="C802"/>
          <cell r="D802"/>
          <cell r="E802"/>
          <cell r="G802"/>
          <cell r="H802"/>
        </row>
        <row r="803">
          <cell r="B803"/>
          <cell r="C803"/>
          <cell r="D803"/>
          <cell r="E803"/>
          <cell r="G803"/>
          <cell r="H803"/>
        </row>
        <row r="804">
          <cell r="B804"/>
          <cell r="C804"/>
          <cell r="D804"/>
          <cell r="E804"/>
          <cell r="G804"/>
          <cell r="H804"/>
        </row>
        <row r="805">
          <cell r="B805"/>
          <cell r="C805"/>
          <cell r="D805"/>
          <cell r="E805"/>
          <cell r="G805"/>
          <cell r="H805"/>
        </row>
        <row r="806">
          <cell r="B806"/>
          <cell r="C806"/>
          <cell r="D806"/>
          <cell r="E806"/>
          <cell r="G806"/>
          <cell r="H806"/>
        </row>
        <row r="807">
          <cell r="B807"/>
          <cell r="C807"/>
          <cell r="D807"/>
          <cell r="E807"/>
          <cell r="G807"/>
          <cell r="H807"/>
        </row>
        <row r="808">
          <cell r="B808"/>
          <cell r="C808"/>
          <cell r="D808"/>
          <cell r="E808"/>
          <cell r="G808"/>
          <cell r="H808"/>
        </row>
        <row r="809">
          <cell r="B809"/>
          <cell r="C809"/>
          <cell r="D809"/>
          <cell r="E809"/>
          <cell r="G809"/>
          <cell r="H809"/>
        </row>
        <row r="810">
          <cell r="B810"/>
          <cell r="C810"/>
          <cell r="D810"/>
          <cell r="E810"/>
          <cell r="G810"/>
          <cell r="H810"/>
        </row>
        <row r="811">
          <cell r="B811"/>
          <cell r="C811"/>
          <cell r="D811"/>
          <cell r="E811"/>
          <cell r="G811"/>
          <cell r="H811"/>
        </row>
        <row r="812">
          <cell r="B812"/>
          <cell r="C812"/>
          <cell r="D812"/>
          <cell r="E812"/>
          <cell r="G812"/>
          <cell r="H812"/>
        </row>
        <row r="813">
          <cell r="B813"/>
          <cell r="C813"/>
          <cell r="D813"/>
          <cell r="E813"/>
          <cell r="G813"/>
          <cell r="H813"/>
        </row>
        <row r="814">
          <cell r="B814"/>
          <cell r="C814"/>
          <cell r="D814"/>
          <cell r="E814"/>
          <cell r="G814"/>
          <cell r="H814"/>
        </row>
        <row r="815">
          <cell r="B815"/>
          <cell r="C815"/>
          <cell r="D815"/>
          <cell r="E815"/>
          <cell r="G815"/>
          <cell r="H815"/>
        </row>
        <row r="816">
          <cell r="B816"/>
          <cell r="C816"/>
          <cell r="D816"/>
          <cell r="E816"/>
          <cell r="G816"/>
          <cell r="H816"/>
        </row>
        <row r="817">
          <cell r="B817"/>
          <cell r="C817"/>
          <cell r="D817"/>
          <cell r="E817"/>
          <cell r="G817"/>
          <cell r="H817"/>
        </row>
        <row r="818">
          <cell r="B818"/>
          <cell r="C818"/>
          <cell r="D818"/>
          <cell r="E818"/>
          <cell r="G818"/>
          <cell r="H818"/>
        </row>
        <row r="819">
          <cell r="B819"/>
          <cell r="C819"/>
          <cell r="D819"/>
          <cell r="E819"/>
          <cell r="G819"/>
          <cell r="H819"/>
        </row>
        <row r="820">
          <cell r="B820"/>
          <cell r="C820"/>
          <cell r="D820"/>
          <cell r="E820"/>
          <cell r="G820"/>
          <cell r="H820"/>
        </row>
        <row r="821">
          <cell r="B821"/>
          <cell r="C821"/>
          <cell r="D821"/>
          <cell r="E821"/>
          <cell r="G821"/>
          <cell r="H821"/>
        </row>
        <row r="822">
          <cell r="B822"/>
          <cell r="C822"/>
          <cell r="D822"/>
          <cell r="E822"/>
          <cell r="G822"/>
          <cell r="H822"/>
        </row>
        <row r="823">
          <cell r="B823"/>
          <cell r="C823"/>
          <cell r="D823"/>
          <cell r="E823"/>
          <cell r="G823"/>
          <cell r="H823"/>
        </row>
        <row r="824">
          <cell r="B824"/>
          <cell r="C824"/>
          <cell r="D824"/>
          <cell r="E824"/>
          <cell r="G824"/>
          <cell r="H824"/>
        </row>
        <row r="825">
          <cell r="B825"/>
          <cell r="C825"/>
          <cell r="D825"/>
          <cell r="E825"/>
          <cell r="G825"/>
          <cell r="H825"/>
        </row>
        <row r="826">
          <cell r="B826"/>
          <cell r="C826"/>
          <cell r="D826"/>
          <cell r="E826"/>
          <cell r="G826"/>
          <cell r="H826"/>
        </row>
        <row r="827">
          <cell r="B827"/>
          <cell r="C827"/>
          <cell r="D827"/>
          <cell r="E827"/>
          <cell r="G827"/>
          <cell r="H827"/>
        </row>
        <row r="828">
          <cell r="B828"/>
          <cell r="C828"/>
          <cell r="D828"/>
          <cell r="E828"/>
          <cell r="G828"/>
          <cell r="H828"/>
        </row>
        <row r="829">
          <cell r="B829"/>
          <cell r="C829"/>
          <cell r="D829"/>
          <cell r="E829"/>
          <cell r="G829"/>
          <cell r="H829"/>
        </row>
        <row r="830">
          <cell r="B830"/>
          <cell r="C830"/>
          <cell r="D830"/>
          <cell r="E830"/>
          <cell r="G830"/>
          <cell r="H830"/>
        </row>
        <row r="831">
          <cell r="B831"/>
          <cell r="C831"/>
          <cell r="D831"/>
          <cell r="E831"/>
          <cell r="G831"/>
          <cell r="H831"/>
        </row>
        <row r="832">
          <cell r="B832"/>
          <cell r="C832"/>
          <cell r="D832"/>
          <cell r="E832"/>
          <cell r="G832"/>
          <cell r="H832"/>
        </row>
        <row r="833">
          <cell r="B833"/>
          <cell r="C833"/>
          <cell r="D833"/>
          <cell r="E833"/>
          <cell r="G833"/>
          <cell r="H833"/>
        </row>
        <row r="834">
          <cell r="B834"/>
          <cell r="C834"/>
          <cell r="D834"/>
          <cell r="E834"/>
          <cell r="G834"/>
          <cell r="H834"/>
        </row>
        <row r="835">
          <cell r="B835"/>
          <cell r="C835"/>
          <cell r="D835"/>
          <cell r="E835"/>
          <cell r="G835"/>
          <cell r="H835"/>
        </row>
        <row r="836">
          <cell r="B836"/>
          <cell r="C836"/>
          <cell r="D836"/>
          <cell r="E836"/>
          <cell r="G836"/>
          <cell r="H836"/>
        </row>
        <row r="837">
          <cell r="B837"/>
          <cell r="C837"/>
          <cell r="D837"/>
          <cell r="E837"/>
          <cell r="G837"/>
          <cell r="H837"/>
        </row>
        <row r="838">
          <cell r="B838"/>
          <cell r="C838"/>
          <cell r="D838"/>
          <cell r="E838"/>
          <cell r="G838"/>
          <cell r="H838"/>
        </row>
        <row r="839">
          <cell r="B839"/>
          <cell r="C839"/>
          <cell r="D839"/>
          <cell r="E839"/>
          <cell r="G839"/>
          <cell r="H839"/>
        </row>
        <row r="840">
          <cell r="B840"/>
          <cell r="C840"/>
          <cell r="D840"/>
          <cell r="E840"/>
          <cell r="G840"/>
          <cell r="H840"/>
        </row>
        <row r="841">
          <cell r="B841"/>
          <cell r="C841"/>
          <cell r="D841"/>
          <cell r="E841"/>
          <cell r="G841"/>
          <cell r="H841"/>
        </row>
        <row r="842">
          <cell r="B842"/>
          <cell r="C842"/>
          <cell r="D842"/>
          <cell r="E842"/>
          <cell r="G842"/>
          <cell r="H842"/>
        </row>
        <row r="843">
          <cell r="B843"/>
          <cell r="C843"/>
          <cell r="D843"/>
          <cell r="E843"/>
          <cell r="G843"/>
          <cell r="H843"/>
        </row>
        <row r="844">
          <cell r="B844"/>
          <cell r="C844"/>
          <cell r="D844"/>
          <cell r="E844"/>
          <cell r="G844"/>
          <cell r="H844"/>
        </row>
        <row r="845">
          <cell r="B845"/>
          <cell r="C845"/>
          <cell r="D845"/>
          <cell r="E845"/>
          <cell r="G845"/>
          <cell r="H845"/>
        </row>
        <row r="846">
          <cell r="B846"/>
          <cell r="C846"/>
          <cell r="D846"/>
          <cell r="E846"/>
          <cell r="G846"/>
          <cell r="H846"/>
        </row>
        <row r="847">
          <cell r="B847"/>
          <cell r="C847"/>
          <cell r="D847"/>
          <cell r="E847"/>
          <cell r="G847"/>
          <cell r="H847"/>
        </row>
        <row r="848">
          <cell r="B848"/>
          <cell r="C848"/>
          <cell r="D848"/>
          <cell r="E848"/>
          <cell r="G848"/>
          <cell r="H848"/>
        </row>
        <row r="849">
          <cell r="B849"/>
          <cell r="C849"/>
          <cell r="D849"/>
          <cell r="E849"/>
          <cell r="G849"/>
          <cell r="H849"/>
        </row>
        <row r="850">
          <cell r="B850"/>
          <cell r="C850"/>
          <cell r="D850"/>
          <cell r="E850"/>
          <cell r="G850"/>
          <cell r="H850"/>
        </row>
        <row r="851">
          <cell r="B851"/>
          <cell r="C851"/>
          <cell r="D851"/>
          <cell r="E851"/>
          <cell r="G851"/>
          <cell r="H851"/>
        </row>
        <row r="852">
          <cell r="B852"/>
          <cell r="C852"/>
          <cell r="D852"/>
          <cell r="E852"/>
          <cell r="G852"/>
          <cell r="H852"/>
        </row>
        <row r="853">
          <cell r="B853"/>
          <cell r="C853"/>
          <cell r="D853"/>
          <cell r="E853"/>
          <cell r="G853"/>
          <cell r="H853"/>
        </row>
        <row r="854">
          <cell r="B854"/>
          <cell r="C854"/>
          <cell r="D854"/>
          <cell r="E854"/>
          <cell r="G854"/>
          <cell r="H854"/>
        </row>
        <row r="855">
          <cell r="B855"/>
          <cell r="C855"/>
          <cell r="D855"/>
          <cell r="E855"/>
          <cell r="G855"/>
          <cell r="H855"/>
        </row>
        <row r="856">
          <cell r="B856"/>
          <cell r="C856"/>
          <cell r="D856"/>
          <cell r="E856"/>
          <cell r="G856"/>
          <cell r="H856"/>
        </row>
        <row r="857">
          <cell r="B857"/>
          <cell r="C857"/>
          <cell r="D857"/>
          <cell r="E857"/>
          <cell r="G857"/>
          <cell r="H857"/>
        </row>
        <row r="858">
          <cell r="B858"/>
          <cell r="C858"/>
          <cell r="D858"/>
          <cell r="E858"/>
          <cell r="G858"/>
          <cell r="H858"/>
        </row>
        <row r="859">
          <cell r="B859"/>
          <cell r="C859"/>
          <cell r="D859"/>
          <cell r="E859"/>
          <cell r="G859"/>
          <cell r="H859"/>
        </row>
        <row r="860">
          <cell r="B860"/>
          <cell r="C860"/>
          <cell r="D860"/>
          <cell r="E860"/>
          <cell r="G860"/>
          <cell r="H860"/>
        </row>
        <row r="861">
          <cell r="B861"/>
          <cell r="C861"/>
          <cell r="D861"/>
          <cell r="E861"/>
          <cell r="G861"/>
          <cell r="H861"/>
        </row>
        <row r="862">
          <cell r="B862"/>
          <cell r="C862"/>
          <cell r="D862"/>
          <cell r="E862"/>
          <cell r="G862"/>
          <cell r="H862"/>
        </row>
        <row r="863">
          <cell r="B863"/>
          <cell r="C863"/>
          <cell r="D863"/>
          <cell r="E863"/>
          <cell r="G863"/>
          <cell r="H863"/>
        </row>
        <row r="864">
          <cell r="B864"/>
          <cell r="C864"/>
          <cell r="D864"/>
          <cell r="E864"/>
          <cell r="G864"/>
          <cell r="H864"/>
        </row>
        <row r="865">
          <cell r="B865"/>
          <cell r="C865"/>
          <cell r="D865"/>
          <cell r="E865"/>
          <cell r="G865"/>
          <cell r="H865"/>
        </row>
        <row r="866">
          <cell r="B866"/>
          <cell r="C866"/>
          <cell r="D866"/>
          <cell r="E866"/>
          <cell r="G866"/>
          <cell r="H866"/>
        </row>
        <row r="867">
          <cell r="B867"/>
          <cell r="C867"/>
          <cell r="D867"/>
          <cell r="E867"/>
          <cell r="G867"/>
          <cell r="H867"/>
        </row>
        <row r="868">
          <cell r="B868"/>
          <cell r="C868"/>
          <cell r="D868"/>
          <cell r="E868"/>
          <cell r="G868"/>
          <cell r="H868"/>
        </row>
        <row r="869">
          <cell r="B869"/>
          <cell r="C869"/>
          <cell r="D869"/>
          <cell r="E869"/>
          <cell r="G869"/>
          <cell r="H869"/>
        </row>
        <row r="870">
          <cell r="B870"/>
          <cell r="C870"/>
          <cell r="D870"/>
          <cell r="E870"/>
          <cell r="G870"/>
          <cell r="H870"/>
        </row>
        <row r="871">
          <cell r="B871"/>
          <cell r="C871"/>
          <cell r="D871"/>
          <cell r="E871"/>
          <cell r="G871"/>
          <cell r="H871"/>
        </row>
        <row r="872">
          <cell r="B872"/>
          <cell r="C872"/>
          <cell r="D872"/>
          <cell r="E872"/>
          <cell r="G872"/>
          <cell r="H872"/>
        </row>
        <row r="873">
          <cell r="B873"/>
          <cell r="C873"/>
          <cell r="D873"/>
          <cell r="E873"/>
          <cell r="G873"/>
          <cell r="H873"/>
        </row>
        <row r="874">
          <cell r="B874"/>
          <cell r="C874"/>
          <cell r="D874"/>
          <cell r="E874"/>
          <cell r="G874"/>
          <cell r="H874"/>
        </row>
        <row r="875">
          <cell r="B875"/>
          <cell r="C875"/>
          <cell r="D875"/>
          <cell r="E875"/>
          <cell r="G875"/>
          <cell r="H875"/>
        </row>
        <row r="876">
          <cell r="B876"/>
          <cell r="C876"/>
          <cell r="D876"/>
          <cell r="E876"/>
          <cell r="G876"/>
          <cell r="H876"/>
        </row>
        <row r="877">
          <cell r="B877"/>
          <cell r="C877"/>
          <cell r="D877"/>
          <cell r="E877"/>
          <cell r="G877"/>
          <cell r="H877"/>
        </row>
        <row r="878">
          <cell r="B878"/>
          <cell r="C878"/>
          <cell r="D878"/>
          <cell r="E878"/>
          <cell r="G878"/>
          <cell r="H878"/>
        </row>
        <row r="879">
          <cell r="B879"/>
          <cell r="C879"/>
          <cell r="D879"/>
          <cell r="E879"/>
          <cell r="G879"/>
          <cell r="H879"/>
        </row>
        <row r="880">
          <cell r="B880"/>
          <cell r="C880"/>
          <cell r="D880"/>
          <cell r="E880"/>
          <cell r="G880"/>
          <cell r="H880"/>
        </row>
        <row r="881">
          <cell r="B881"/>
          <cell r="C881"/>
          <cell r="D881"/>
          <cell r="E881"/>
          <cell r="G881"/>
          <cell r="H881"/>
        </row>
        <row r="882">
          <cell r="B882"/>
          <cell r="C882"/>
          <cell r="D882"/>
          <cell r="E882"/>
          <cell r="G882"/>
          <cell r="H882"/>
        </row>
        <row r="883">
          <cell r="B883"/>
          <cell r="C883"/>
          <cell r="D883"/>
          <cell r="E883"/>
          <cell r="G883"/>
          <cell r="H883"/>
        </row>
        <row r="884">
          <cell r="B884"/>
          <cell r="C884"/>
          <cell r="D884"/>
          <cell r="E884"/>
          <cell r="G884"/>
          <cell r="H884"/>
        </row>
        <row r="885">
          <cell r="B885"/>
          <cell r="C885"/>
          <cell r="D885"/>
          <cell r="E885"/>
          <cell r="G885"/>
          <cell r="H885"/>
        </row>
        <row r="886">
          <cell r="B886"/>
          <cell r="C886"/>
          <cell r="D886"/>
          <cell r="E886"/>
          <cell r="G886"/>
          <cell r="H886"/>
        </row>
        <row r="887">
          <cell r="B887"/>
          <cell r="C887"/>
          <cell r="D887"/>
          <cell r="E887"/>
          <cell r="G887"/>
          <cell r="H887"/>
        </row>
        <row r="888">
          <cell r="B888"/>
          <cell r="C888"/>
          <cell r="D888"/>
          <cell r="E888"/>
          <cell r="G888"/>
          <cell r="H888"/>
        </row>
        <row r="889">
          <cell r="B889"/>
          <cell r="C889"/>
          <cell r="D889"/>
          <cell r="E889"/>
          <cell r="G889"/>
          <cell r="H889"/>
        </row>
        <row r="890">
          <cell r="B890"/>
          <cell r="C890"/>
          <cell r="D890"/>
          <cell r="E890"/>
          <cell r="G890"/>
          <cell r="H890"/>
        </row>
        <row r="891">
          <cell r="B891"/>
          <cell r="C891"/>
          <cell r="D891"/>
          <cell r="E891"/>
          <cell r="G891"/>
          <cell r="H891"/>
        </row>
        <row r="892">
          <cell r="B892"/>
          <cell r="C892"/>
          <cell r="D892"/>
          <cell r="E892"/>
          <cell r="G892"/>
          <cell r="H892"/>
        </row>
        <row r="893">
          <cell r="B893"/>
          <cell r="C893"/>
          <cell r="D893"/>
          <cell r="E893"/>
          <cell r="G893"/>
          <cell r="H893"/>
        </row>
        <row r="894">
          <cell r="B894"/>
          <cell r="C894"/>
          <cell r="D894"/>
          <cell r="E894"/>
          <cell r="G894"/>
          <cell r="H894"/>
        </row>
        <row r="895">
          <cell r="B895"/>
          <cell r="C895"/>
          <cell r="D895"/>
          <cell r="E895"/>
          <cell r="G895"/>
          <cell r="H895"/>
        </row>
        <row r="896">
          <cell r="B896"/>
          <cell r="C896"/>
          <cell r="D896"/>
          <cell r="E896"/>
          <cell r="G896"/>
          <cell r="H896"/>
        </row>
        <row r="897">
          <cell r="B897"/>
          <cell r="C897"/>
          <cell r="D897"/>
          <cell r="E897"/>
          <cell r="G897"/>
          <cell r="H897"/>
        </row>
        <row r="898">
          <cell r="B898"/>
          <cell r="C898"/>
          <cell r="D898"/>
          <cell r="E898"/>
          <cell r="G898"/>
          <cell r="H898"/>
        </row>
        <row r="899">
          <cell r="B899"/>
          <cell r="C899"/>
          <cell r="D899"/>
          <cell r="E899"/>
          <cell r="G899"/>
          <cell r="H899"/>
        </row>
        <row r="900">
          <cell r="B900"/>
          <cell r="C900"/>
          <cell r="D900"/>
          <cell r="E900"/>
          <cell r="G900"/>
          <cell r="H900"/>
        </row>
        <row r="901">
          <cell r="B901"/>
          <cell r="C901"/>
          <cell r="D901"/>
          <cell r="E901"/>
          <cell r="G901"/>
          <cell r="H901"/>
        </row>
        <row r="902">
          <cell r="B902"/>
          <cell r="C902"/>
          <cell r="D902"/>
          <cell r="E902"/>
          <cell r="G902"/>
          <cell r="H902"/>
        </row>
        <row r="903">
          <cell r="B903"/>
          <cell r="C903"/>
          <cell r="D903"/>
          <cell r="E903"/>
          <cell r="G903"/>
          <cell r="H903"/>
        </row>
        <row r="904">
          <cell r="B904"/>
          <cell r="C904"/>
          <cell r="D904"/>
          <cell r="E904"/>
          <cell r="G904"/>
          <cell r="H904"/>
        </row>
        <row r="905">
          <cell r="B905"/>
          <cell r="C905"/>
          <cell r="D905"/>
          <cell r="E905"/>
          <cell r="G905"/>
          <cell r="H905"/>
        </row>
        <row r="906">
          <cell r="B906"/>
          <cell r="C906"/>
          <cell r="D906"/>
          <cell r="E906"/>
          <cell r="G906"/>
          <cell r="H906"/>
        </row>
        <row r="907">
          <cell r="B907"/>
          <cell r="C907"/>
          <cell r="D907"/>
          <cell r="E907"/>
          <cell r="G907"/>
          <cell r="H907"/>
        </row>
        <row r="908">
          <cell r="B908"/>
          <cell r="C908"/>
          <cell r="D908"/>
          <cell r="E908"/>
          <cell r="G908"/>
          <cell r="H908"/>
        </row>
        <row r="909">
          <cell r="B909"/>
          <cell r="C909"/>
          <cell r="D909"/>
          <cell r="E909"/>
          <cell r="G909"/>
          <cell r="H909"/>
        </row>
        <row r="910">
          <cell r="B910"/>
          <cell r="C910"/>
          <cell r="D910"/>
          <cell r="E910"/>
          <cell r="G910"/>
          <cell r="H910"/>
        </row>
        <row r="911">
          <cell r="B911"/>
          <cell r="C911"/>
          <cell r="D911"/>
          <cell r="E911"/>
          <cell r="G911"/>
          <cell r="H911"/>
        </row>
        <row r="912">
          <cell r="B912"/>
          <cell r="C912"/>
          <cell r="D912"/>
          <cell r="E912"/>
          <cell r="G912"/>
          <cell r="H912"/>
        </row>
        <row r="913">
          <cell r="B913"/>
          <cell r="C913"/>
          <cell r="D913"/>
          <cell r="E913"/>
          <cell r="G913"/>
          <cell r="H913"/>
        </row>
        <row r="914">
          <cell r="B914"/>
          <cell r="C914"/>
          <cell r="D914"/>
          <cell r="E914"/>
          <cell r="G914"/>
          <cell r="H914"/>
        </row>
        <row r="915">
          <cell r="B915"/>
          <cell r="C915"/>
          <cell r="D915"/>
          <cell r="E915"/>
          <cell r="G915"/>
          <cell r="H915"/>
        </row>
        <row r="916">
          <cell r="B916"/>
          <cell r="C916"/>
          <cell r="D916"/>
          <cell r="E916"/>
          <cell r="G916"/>
          <cell r="H916"/>
        </row>
        <row r="917">
          <cell r="B917"/>
          <cell r="C917"/>
          <cell r="D917"/>
          <cell r="E917"/>
          <cell r="G917"/>
          <cell r="H917"/>
        </row>
        <row r="918">
          <cell r="B918"/>
          <cell r="C918"/>
          <cell r="D918"/>
          <cell r="E918"/>
          <cell r="G918"/>
          <cell r="H918"/>
        </row>
        <row r="919">
          <cell r="B919"/>
          <cell r="C919"/>
          <cell r="D919"/>
          <cell r="E919"/>
          <cell r="G919"/>
          <cell r="H919"/>
        </row>
        <row r="920">
          <cell r="B920"/>
          <cell r="C920"/>
          <cell r="D920"/>
          <cell r="E920"/>
          <cell r="G920"/>
          <cell r="H920"/>
        </row>
        <row r="921">
          <cell r="B921"/>
          <cell r="C921"/>
          <cell r="D921"/>
          <cell r="E921"/>
          <cell r="G921"/>
          <cell r="H921"/>
        </row>
        <row r="922">
          <cell r="B922"/>
          <cell r="C922"/>
          <cell r="D922"/>
          <cell r="E922"/>
          <cell r="G922"/>
          <cell r="H922"/>
        </row>
        <row r="923">
          <cell r="B923"/>
          <cell r="C923"/>
          <cell r="D923"/>
          <cell r="E923"/>
          <cell r="G923"/>
          <cell r="H923"/>
        </row>
        <row r="924">
          <cell r="B924"/>
          <cell r="C924"/>
          <cell r="D924"/>
          <cell r="E924"/>
          <cell r="G924"/>
          <cell r="H924"/>
        </row>
        <row r="925">
          <cell r="B925"/>
          <cell r="C925"/>
          <cell r="D925"/>
          <cell r="E925"/>
          <cell r="G925"/>
          <cell r="H925"/>
        </row>
        <row r="926">
          <cell r="B926"/>
          <cell r="C926"/>
          <cell r="D926"/>
          <cell r="E926"/>
          <cell r="G926"/>
          <cell r="H926"/>
        </row>
        <row r="927">
          <cell r="B927"/>
          <cell r="C927"/>
          <cell r="D927"/>
          <cell r="E927"/>
          <cell r="G927"/>
          <cell r="H927"/>
        </row>
        <row r="928">
          <cell r="B928"/>
          <cell r="C928"/>
          <cell r="D928"/>
          <cell r="E928"/>
          <cell r="G928"/>
          <cell r="H928"/>
        </row>
        <row r="929">
          <cell r="B929"/>
          <cell r="C929"/>
          <cell r="D929"/>
          <cell r="E929"/>
          <cell r="G929"/>
          <cell r="H929"/>
        </row>
        <row r="930">
          <cell r="B930"/>
          <cell r="C930"/>
          <cell r="D930"/>
          <cell r="E930"/>
          <cell r="G930"/>
          <cell r="H930"/>
        </row>
        <row r="931">
          <cell r="B931"/>
          <cell r="C931"/>
          <cell r="D931"/>
          <cell r="E931"/>
          <cell r="G931"/>
          <cell r="H931"/>
        </row>
        <row r="932">
          <cell r="B932"/>
          <cell r="C932"/>
          <cell r="D932"/>
          <cell r="E932"/>
          <cell r="G932"/>
          <cell r="H932"/>
        </row>
        <row r="933">
          <cell r="B933"/>
          <cell r="C933"/>
          <cell r="D933"/>
          <cell r="E933"/>
          <cell r="G933"/>
          <cell r="H933"/>
        </row>
        <row r="934">
          <cell r="B934"/>
          <cell r="C934"/>
          <cell r="D934"/>
          <cell r="E934"/>
          <cell r="G934"/>
          <cell r="H934"/>
        </row>
        <row r="935">
          <cell r="B935"/>
          <cell r="C935"/>
          <cell r="D935"/>
          <cell r="E935"/>
          <cell r="G935"/>
          <cell r="H935"/>
        </row>
        <row r="936">
          <cell r="B936"/>
          <cell r="C936"/>
          <cell r="D936"/>
          <cell r="E936"/>
          <cell r="G936"/>
          <cell r="H936"/>
        </row>
        <row r="937">
          <cell r="B937"/>
          <cell r="C937"/>
          <cell r="D937"/>
          <cell r="E937"/>
          <cell r="G937"/>
          <cell r="H937"/>
        </row>
        <row r="938">
          <cell r="B938"/>
          <cell r="C938"/>
          <cell r="D938"/>
          <cell r="E938"/>
          <cell r="G938"/>
          <cell r="H938"/>
        </row>
        <row r="939">
          <cell r="B939"/>
          <cell r="C939"/>
          <cell r="D939"/>
          <cell r="E939"/>
          <cell r="G939"/>
          <cell r="H939"/>
        </row>
        <row r="940">
          <cell r="B940"/>
          <cell r="C940"/>
          <cell r="D940"/>
          <cell r="E940"/>
          <cell r="G940"/>
          <cell r="H940"/>
        </row>
        <row r="941">
          <cell r="B941"/>
          <cell r="C941"/>
          <cell r="D941"/>
          <cell r="E941"/>
          <cell r="G941"/>
          <cell r="H941"/>
        </row>
        <row r="942">
          <cell r="B942"/>
          <cell r="C942"/>
          <cell r="D942"/>
          <cell r="E942"/>
          <cell r="G942"/>
          <cell r="H942"/>
        </row>
        <row r="943">
          <cell r="B943"/>
          <cell r="C943"/>
          <cell r="D943"/>
          <cell r="E943"/>
          <cell r="G943"/>
          <cell r="H943"/>
        </row>
        <row r="944">
          <cell r="B944"/>
          <cell r="C944"/>
          <cell r="D944"/>
          <cell r="E944"/>
          <cell r="G944"/>
          <cell r="H944"/>
        </row>
        <row r="945">
          <cell r="B945"/>
          <cell r="C945"/>
          <cell r="D945"/>
          <cell r="E945"/>
          <cell r="G945"/>
          <cell r="H945"/>
        </row>
        <row r="946">
          <cell r="B946"/>
          <cell r="C946"/>
          <cell r="D946"/>
          <cell r="E946"/>
          <cell r="G946"/>
          <cell r="H946"/>
        </row>
        <row r="947">
          <cell r="B947"/>
          <cell r="C947"/>
          <cell r="D947"/>
          <cell r="E947"/>
          <cell r="G947"/>
          <cell r="H947"/>
        </row>
        <row r="948">
          <cell r="B948"/>
          <cell r="C948"/>
          <cell r="D948"/>
          <cell r="E948"/>
          <cell r="G948"/>
          <cell r="H948"/>
        </row>
        <row r="949">
          <cell r="B949"/>
          <cell r="C949"/>
          <cell r="D949"/>
          <cell r="E949"/>
          <cell r="G949"/>
          <cell r="H949"/>
        </row>
        <row r="950">
          <cell r="B950"/>
          <cell r="C950"/>
          <cell r="D950"/>
          <cell r="E950"/>
          <cell r="G950"/>
          <cell r="H950"/>
        </row>
        <row r="951">
          <cell r="B951"/>
          <cell r="C951"/>
          <cell r="D951"/>
          <cell r="E951"/>
          <cell r="G951"/>
          <cell r="H951"/>
        </row>
        <row r="952">
          <cell r="B952"/>
          <cell r="C952"/>
          <cell r="D952"/>
          <cell r="E952"/>
          <cell r="G952"/>
          <cell r="H952"/>
        </row>
        <row r="953">
          <cell r="B953"/>
          <cell r="C953"/>
          <cell r="D953"/>
          <cell r="E953"/>
          <cell r="G953"/>
          <cell r="H953"/>
        </row>
        <row r="954">
          <cell r="B954"/>
          <cell r="C954"/>
          <cell r="D954"/>
          <cell r="E954"/>
          <cell r="G954"/>
          <cell r="H954"/>
        </row>
        <row r="955">
          <cell r="B955"/>
          <cell r="C955"/>
          <cell r="D955"/>
          <cell r="E955"/>
          <cell r="G955"/>
          <cell r="H955"/>
        </row>
        <row r="956">
          <cell r="B956"/>
          <cell r="C956"/>
          <cell r="D956"/>
          <cell r="E956"/>
          <cell r="G956"/>
          <cell r="H956"/>
        </row>
        <row r="957">
          <cell r="B957"/>
          <cell r="C957"/>
          <cell r="D957"/>
          <cell r="E957"/>
          <cell r="G957"/>
          <cell r="H957"/>
        </row>
        <row r="958">
          <cell r="B958"/>
          <cell r="C958"/>
          <cell r="D958"/>
          <cell r="E958"/>
          <cell r="G958"/>
          <cell r="H958"/>
        </row>
        <row r="959">
          <cell r="B959"/>
          <cell r="C959"/>
          <cell r="D959"/>
          <cell r="E959"/>
          <cell r="G959"/>
          <cell r="H959"/>
        </row>
        <row r="960">
          <cell r="B960"/>
          <cell r="C960"/>
          <cell r="D960"/>
          <cell r="E960"/>
          <cell r="G960"/>
          <cell r="H960"/>
        </row>
        <row r="961">
          <cell r="B961"/>
          <cell r="C961"/>
          <cell r="D961"/>
          <cell r="E961"/>
          <cell r="G961"/>
          <cell r="H961"/>
        </row>
        <row r="962">
          <cell r="B962"/>
          <cell r="C962"/>
          <cell r="D962"/>
          <cell r="E962"/>
          <cell r="G962"/>
          <cell r="H962"/>
        </row>
        <row r="963">
          <cell r="B963"/>
          <cell r="C963"/>
          <cell r="D963"/>
          <cell r="E963"/>
          <cell r="G963"/>
          <cell r="H963"/>
        </row>
        <row r="964">
          <cell r="B964"/>
          <cell r="C964"/>
          <cell r="D964"/>
          <cell r="E964"/>
          <cell r="G964"/>
          <cell r="H964"/>
        </row>
        <row r="965">
          <cell r="B965"/>
          <cell r="C965"/>
          <cell r="D965"/>
          <cell r="E965"/>
          <cell r="G965"/>
          <cell r="H965"/>
        </row>
        <row r="966">
          <cell r="B966"/>
          <cell r="C966"/>
          <cell r="D966"/>
          <cell r="E966"/>
          <cell r="G966"/>
          <cell r="H966"/>
        </row>
        <row r="967">
          <cell r="B967"/>
          <cell r="C967"/>
          <cell r="D967"/>
          <cell r="E967"/>
          <cell r="G967"/>
          <cell r="H967"/>
        </row>
        <row r="968">
          <cell r="B968"/>
          <cell r="C968"/>
          <cell r="D968"/>
          <cell r="E968"/>
          <cell r="G968"/>
          <cell r="H968"/>
        </row>
        <row r="969">
          <cell r="B969"/>
          <cell r="C969"/>
          <cell r="D969"/>
          <cell r="E969"/>
          <cell r="G969"/>
          <cell r="H969"/>
        </row>
        <row r="970">
          <cell r="B970"/>
          <cell r="C970"/>
          <cell r="D970"/>
          <cell r="E970"/>
          <cell r="G970"/>
          <cell r="H970"/>
        </row>
        <row r="971">
          <cell r="B971"/>
          <cell r="C971"/>
          <cell r="D971"/>
          <cell r="E971"/>
          <cell r="G971"/>
          <cell r="H971"/>
        </row>
        <row r="972">
          <cell r="B972"/>
          <cell r="C972"/>
          <cell r="D972"/>
          <cell r="E972"/>
          <cell r="G972"/>
          <cell r="H972"/>
        </row>
        <row r="973">
          <cell r="B973"/>
          <cell r="C973"/>
          <cell r="D973"/>
          <cell r="E973"/>
          <cell r="G973"/>
          <cell r="H973"/>
        </row>
        <row r="974">
          <cell r="B974"/>
          <cell r="C974"/>
          <cell r="D974"/>
          <cell r="E974"/>
          <cell r="G974"/>
          <cell r="H974"/>
        </row>
        <row r="975">
          <cell r="B975"/>
          <cell r="C975"/>
          <cell r="D975"/>
          <cell r="E975"/>
          <cell r="G975"/>
          <cell r="H975"/>
        </row>
        <row r="976">
          <cell r="B976"/>
          <cell r="C976"/>
          <cell r="D976"/>
          <cell r="E976"/>
          <cell r="G976"/>
          <cell r="H976"/>
        </row>
        <row r="977">
          <cell r="B977"/>
          <cell r="C977"/>
          <cell r="D977"/>
          <cell r="E977"/>
          <cell r="G977"/>
          <cell r="H977"/>
        </row>
        <row r="978">
          <cell r="B978"/>
          <cell r="C978"/>
          <cell r="D978"/>
          <cell r="E978"/>
          <cell r="G978"/>
          <cell r="H978"/>
        </row>
        <row r="979">
          <cell r="B979"/>
          <cell r="C979"/>
          <cell r="D979"/>
          <cell r="E979"/>
          <cell r="G979"/>
          <cell r="H979"/>
        </row>
        <row r="980">
          <cell r="B980"/>
          <cell r="C980"/>
          <cell r="D980"/>
          <cell r="E980"/>
          <cell r="G980"/>
          <cell r="H980"/>
        </row>
        <row r="981">
          <cell r="B981"/>
          <cell r="C981"/>
          <cell r="D981"/>
          <cell r="E981"/>
          <cell r="G981"/>
          <cell r="H981"/>
        </row>
        <row r="982">
          <cell r="B982"/>
          <cell r="C982"/>
          <cell r="D982"/>
          <cell r="E982"/>
          <cell r="G982"/>
          <cell r="H982"/>
        </row>
        <row r="983">
          <cell r="B983"/>
          <cell r="C983"/>
          <cell r="D983"/>
          <cell r="E983"/>
          <cell r="G983"/>
          <cell r="H983"/>
        </row>
        <row r="984">
          <cell r="B984"/>
          <cell r="C984"/>
          <cell r="D984"/>
          <cell r="E984"/>
          <cell r="G984"/>
          <cell r="H984"/>
        </row>
        <row r="985">
          <cell r="B985"/>
          <cell r="C985"/>
          <cell r="D985"/>
          <cell r="E985"/>
          <cell r="G985"/>
          <cell r="H985"/>
        </row>
        <row r="986">
          <cell r="B986"/>
          <cell r="C986"/>
          <cell r="D986"/>
          <cell r="E986"/>
          <cell r="G986"/>
          <cell r="H986"/>
        </row>
        <row r="987">
          <cell r="B987"/>
          <cell r="C987"/>
          <cell r="D987"/>
          <cell r="E987"/>
          <cell r="G987"/>
          <cell r="H987"/>
        </row>
        <row r="988">
          <cell r="B988"/>
          <cell r="C988"/>
          <cell r="D988"/>
          <cell r="E988"/>
          <cell r="G988"/>
          <cell r="H988"/>
        </row>
        <row r="989">
          <cell r="B989"/>
          <cell r="C989"/>
          <cell r="D989"/>
          <cell r="E989"/>
          <cell r="G989"/>
          <cell r="H989"/>
        </row>
        <row r="990">
          <cell r="B990"/>
          <cell r="C990"/>
          <cell r="D990"/>
          <cell r="E990"/>
          <cell r="G990"/>
          <cell r="H990"/>
        </row>
        <row r="991">
          <cell r="B991"/>
          <cell r="C991"/>
          <cell r="D991"/>
          <cell r="E991"/>
          <cell r="G991"/>
          <cell r="H991"/>
        </row>
        <row r="992">
          <cell r="B992"/>
          <cell r="C992"/>
          <cell r="D992"/>
          <cell r="E992"/>
          <cell r="G992"/>
          <cell r="H992"/>
        </row>
        <row r="993">
          <cell r="B993"/>
          <cell r="C993"/>
          <cell r="D993"/>
          <cell r="E993"/>
          <cell r="G993"/>
          <cell r="H993"/>
        </row>
        <row r="994">
          <cell r="B994"/>
          <cell r="C994"/>
          <cell r="D994"/>
          <cell r="E994"/>
          <cell r="G994"/>
          <cell r="H994"/>
        </row>
        <row r="995">
          <cell r="B995"/>
          <cell r="C995"/>
          <cell r="D995"/>
          <cell r="E995"/>
          <cell r="G995"/>
          <cell r="H995"/>
        </row>
        <row r="996">
          <cell r="B996"/>
          <cell r="C996"/>
          <cell r="D996"/>
          <cell r="E996"/>
          <cell r="G996"/>
          <cell r="H996"/>
        </row>
        <row r="997">
          <cell r="B997"/>
          <cell r="C997"/>
          <cell r="D997"/>
          <cell r="E997"/>
          <cell r="G997"/>
          <cell r="H997"/>
        </row>
        <row r="998">
          <cell r="B998"/>
          <cell r="C998"/>
          <cell r="D998"/>
          <cell r="E998"/>
          <cell r="G998"/>
          <cell r="H998"/>
        </row>
        <row r="999">
          <cell r="B999"/>
          <cell r="C999"/>
          <cell r="D999"/>
          <cell r="E999"/>
          <cell r="G999"/>
          <cell r="H999"/>
        </row>
        <row r="1000">
          <cell r="B1000"/>
          <cell r="C1000"/>
          <cell r="D1000"/>
          <cell r="E1000"/>
          <cell r="G1000"/>
          <cell r="H1000"/>
        </row>
        <row r="1001">
          <cell r="B1001"/>
          <cell r="C1001"/>
          <cell r="D1001"/>
          <cell r="E1001"/>
          <cell r="G1001"/>
          <cell r="H1001"/>
        </row>
        <row r="1002">
          <cell r="B1002"/>
          <cell r="C1002"/>
          <cell r="D1002"/>
          <cell r="E1002"/>
          <cell r="G1002"/>
          <cell r="H1002"/>
        </row>
        <row r="1003">
          <cell r="B1003"/>
          <cell r="C1003"/>
          <cell r="D1003"/>
          <cell r="E1003"/>
          <cell r="G1003"/>
          <cell r="H1003"/>
        </row>
        <row r="1004">
          <cell r="B1004"/>
          <cell r="C1004"/>
          <cell r="D1004"/>
          <cell r="E1004"/>
          <cell r="G1004"/>
          <cell r="H1004"/>
        </row>
        <row r="1005">
          <cell r="B1005"/>
          <cell r="C1005"/>
          <cell r="D1005"/>
          <cell r="E1005"/>
          <cell r="G1005"/>
          <cell r="H1005"/>
        </row>
        <row r="1006">
          <cell r="B1006"/>
          <cell r="C1006"/>
          <cell r="D1006"/>
          <cell r="E1006"/>
          <cell r="G1006"/>
          <cell r="H1006"/>
        </row>
        <row r="1007">
          <cell r="B1007"/>
          <cell r="C1007"/>
          <cell r="D1007"/>
          <cell r="E1007"/>
          <cell r="G1007"/>
          <cell r="H1007"/>
        </row>
        <row r="1008">
          <cell r="B1008"/>
          <cell r="C1008"/>
          <cell r="D1008"/>
          <cell r="E1008"/>
          <cell r="G1008"/>
          <cell r="H1008"/>
        </row>
        <row r="1009">
          <cell r="B1009"/>
          <cell r="C1009"/>
          <cell r="D1009"/>
          <cell r="E1009"/>
          <cell r="G1009"/>
          <cell r="H1009"/>
        </row>
        <row r="1010">
          <cell r="B1010"/>
          <cell r="C1010"/>
          <cell r="D1010"/>
          <cell r="E1010"/>
          <cell r="G1010"/>
          <cell r="H1010"/>
        </row>
        <row r="1011">
          <cell r="B1011"/>
          <cell r="C1011"/>
          <cell r="D1011"/>
          <cell r="E1011"/>
          <cell r="G1011"/>
          <cell r="H1011"/>
        </row>
        <row r="1012">
          <cell r="B1012"/>
          <cell r="C1012"/>
          <cell r="D1012"/>
          <cell r="E1012"/>
          <cell r="G1012"/>
          <cell r="H1012"/>
        </row>
        <row r="1013">
          <cell r="B1013"/>
          <cell r="C1013"/>
          <cell r="D1013"/>
          <cell r="E1013"/>
          <cell r="G1013"/>
          <cell r="H1013"/>
        </row>
        <row r="1014">
          <cell r="B1014"/>
          <cell r="C1014"/>
          <cell r="D1014"/>
          <cell r="E1014"/>
          <cell r="G1014"/>
          <cell r="H1014"/>
        </row>
        <row r="1015">
          <cell r="B1015"/>
          <cell r="C1015"/>
          <cell r="D1015"/>
          <cell r="E1015"/>
          <cell r="G1015"/>
          <cell r="H1015"/>
        </row>
        <row r="1016">
          <cell r="B1016"/>
          <cell r="C1016"/>
          <cell r="D1016"/>
          <cell r="E1016"/>
          <cell r="G1016"/>
          <cell r="H1016"/>
        </row>
        <row r="1017">
          <cell r="B1017"/>
          <cell r="C1017"/>
          <cell r="D1017"/>
          <cell r="E1017"/>
          <cell r="G1017"/>
          <cell r="H1017"/>
        </row>
        <row r="1018">
          <cell r="B1018"/>
          <cell r="C1018"/>
          <cell r="D1018"/>
          <cell r="E1018"/>
          <cell r="G1018"/>
          <cell r="H1018"/>
        </row>
        <row r="1019">
          <cell r="B1019"/>
          <cell r="C1019"/>
          <cell r="D1019"/>
          <cell r="E1019"/>
          <cell r="G1019"/>
          <cell r="H1019"/>
        </row>
        <row r="1020">
          <cell r="B1020"/>
          <cell r="C1020"/>
          <cell r="D1020"/>
          <cell r="E1020"/>
          <cell r="G1020"/>
          <cell r="H1020"/>
        </row>
        <row r="1021">
          <cell r="B1021"/>
          <cell r="C1021"/>
          <cell r="D1021"/>
          <cell r="E1021"/>
          <cell r="G1021"/>
          <cell r="H1021"/>
        </row>
        <row r="1022">
          <cell r="B1022"/>
          <cell r="C1022"/>
          <cell r="D1022"/>
          <cell r="E1022"/>
          <cell r="G1022"/>
          <cell r="H1022"/>
        </row>
        <row r="1023">
          <cell r="B1023"/>
          <cell r="C1023"/>
          <cell r="D1023"/>
          <cell r="E1023"/>
          <cell r="G1023"/>
          <cell r="H1023"/>
        </row>
        <row r="1024">
          <cell r="B1024"/>
          <cell r="C1024"/>
          <cell r="D1024"/>
          <cell r="E1024"/>
          <cell r="G1024"/>
          <cell r="H1024"/>
        </row>
        <row r="1025">
          <cell r="B1025"/>
          <cell r="C1025"/>
          <cell r="D1025"/>
          <cell r="E1025"/>
          <cell r="G1025"/>
          <cell r="H1025"/>
        </row>
        <row r="1026">
          <cell r="B1026"/>
          <cell r="C1026"/>
          <cell r="D1026"/>
          <cell r="E1026"/>
          <cell r="G1026"/>
          <cell r="H1026"/>
        </row>
        <row r="1027">
          <cell r="B1027"/>
          <cell r="C1027"/>
          <cell r="D1027"/>
          <cell r="E1027"/>
          <cell r="G1027"/>
          <cell r="H1027"/>
        </row>
        <row r="1028">
          <cell r="B1028"/>
          <cell r="C1028"/>
          <cell r="D1028"/>
          <cell r="E1028"/>
          <cell r="G1028"/>
          <cell r="H1028"/>
        </row>
        <row r="1029">
          <cell r="B1029"/>
          <cell r="C1029"/>
          <cell r="D1029"/>
          <cell r="E1029"/>
          <cell r="G1029"/>
          <cell r="H1029"/>
        </row>
        <row r="1030">
          <cell r="B1030"/>
          <cell r="C1030"/>
          <cell r="D1030"/>
          <cell r="E1030"/>
          <cell r="G1030"/>
          <cell r="H1030"/>
        </row>
        <row r="1031">
          <cell r="B1031"/>
          <cell r="C1031"/>
          <cell r="D1031"/>
          <cell r="E1031"/>
          <cell r="G1031"/>
          <cell r="H1031"/>
        </row>
        <row r="1032">
          <cell r="B1032"/>
          <cell r="C1032"/>
          <cell r="D1032"/>
          <cell r="E1032"/>
          <cell r="G1032"/>
          <cell r="H1032"/>
        </row>
        <row r="1033">
          <cell r="B1033"/>
          <cell r="C1033"/>
          <cell r="D1033"/>
          <cell r="E1033"/>
          <cell r="G1033"/>
          <cell r="H1033"/>
        </row>
        <row r="1034">
          <cell r="B1034"/>
          <cell r="C1034"/>
          <cell r="D1034"/>
          <cell r="E1034"/>
          <cell r="G1034"/>
          <cell r="H1034"/>
        </row>
        <row r="1035">
          <cell r="B1035"/>
          <cell r="C1035"/>
          <cell r="D1035"/>
          <cell r="E1035"/>
          <cell r="G1035"/>
          <cell r="H1035"/>
        </row>
        <row r="1036">
          <cell r="B1036"/>
          <cell r="C1036"/>
          <cell r="D1036"/>
          <cell r="E1036"/>
          <cell r="G1036"/>
          <cell r="H1036"/>
        </row>
        <row r="1037">
          <cell r="B1037"/>
          <cell r="C1037"/>
          <cell r="D1037"/>
          <cell r="E1037"/>
          <cell r="G1037"/>
          <cell r="H1037"/>
        </row>
        <row r="1038">
          <cell r="B1038"/>
          <cell r="C1038"/>
          <cell r="D1038"/>
          <cell r="E1038"/>
          <cell r="G1038"/>
          <cell r="H1038"/>
        </row>
        <row r="1039">
          <cell r="B1039"/>
          <cell r="C1039"/>
          <cell r="D1039"/>
          <cell r="E1039"/>
          <cell r="G1039"/>
          <cell r="H1039"/>
        </row>
        <row r="1040">
          <cell r="B1040"/>
          <cell r="C1040"/>
          <cell r="D1040"/>
          <cell r="E1040"/>
          <cell r="G1040"/>
          <cell r="H1040"/>
        </row>
        <row r="1041">
          <cell r="B1041"/>
          <cell r="C1041"/>
          <cell r="D1041"/>
          <cell r="E1041"/>
          <cell r="G1041"/>
          <cell r="H1041"/>
        </row>
        <row r="1042">
          <cell r="B1042"/>
          <cell r="C1042"/>
          <cell r="D1042"/>
          <cell r="E1042"/>
          <cell r="G1042"/>
          <cell r="H1042"/>
        </row>
        <row r="1043">
          <cell r="B1043"/>
          <cell r="C1043"/>
          <cell r="D1043"/>
          <cell r="E1043"/>
          <cell r="G1043"/>
          <cell r="H1043"/>
        </row>
        <row r="1044">
          <cell r="B1044"/>
          <cell r="C1044"/>
          <cell r="D1044"/>
          <cell r="E1044"/>
          <cell r="G1044"/>
          <cell r="H1044"/>
        </row>
        <row r="1045">
          <cell r="B1045"/>
          <cell r="C1045"/>
          <cell r="D1045"/>
          <cell r="E1045"/>
          <cell r="G1045"/>
          <cell r="H1045"/>
        </row>
        <row r="1046">
          <cell r="B1046"/>
          <cell r="C1046"/>
          <cell r="D1046"/>
          <cell r="E1046"/>
          <cell r="G1046"/>
          <cell r="H1046"/>
        </row>
        <row r="1047">
          <cell r="B1047"/>
          <cell r="C1047"/>
          <cell r="D1047"/>
          <cell r="E1047"/>
          <cell r="G1047"/>
          <cell r="H1047"/>
        </row>
        <row r="1048">
          <cell r="B1048"/>
          <cell r="C1048"/>
          <cell r="D1048"/>
          <cell r="E1048"/>
          <cell r="G1048"/>
          <cell r="H1048"/>
        </row>
        <row r="1049">
          <cell r="B1049"/>
          <cell r="C1049"/>
          <cell r="D1049"/>
          <cell r="E1049"/>
          <cell r="G1049"/>
          <cell r="H1049"/>
        </row>
        <row r="1050">
          <cell r="B1050"/>
          <cell r="C1050"/>
          <cell r="D1050"/>
          <cell r="E1050"/>
          <cell r="G1050"/>
          <cell r="H1050"/>
        </row>
        <row r="1051">
          <cell r="B1051"/>
          <cell r="C1051"/>
          <cell r="D1051"/>
          <cell r="E1051"/>
          <cell r="G1051"/>
          <cell r="H1051"/>
        </row>
        <row r="1052">
          <cell r="B1052"/>
          <cell r="C1052"/>
          <cell r="D1052"/>
          <cell r="E1052"/>
          <cell r="G1052"/>
          <cell r="H1052"/>
        </row>
        <row r="1053">
          <cell r="B1053"/>
          <cell r="C1053"/>
          <cell r="D1053"/>
          <cell r="E1053"/>
          <cell r="G1053"/>
          <cell r="H1053"/>
        </row>
        <row r="1054">
          <cell r="B1054"/>
          <cell r="C1054"/>
          <cell r="D1054"/>
          <cell r="E1054"/>
          <cell r="G1054"/>
          <cell r="H1054"/>
        </row>
        <row r="1055">
          <cell r="B1055"/>
          <cell r="C1055"/>
          <cell r="D1055"/>
          <cell r="E1055"/>
          <cell r="G1055"/>
          <cell r="H1055"/>
        </row>
        <row r="1056">
          <cell r="B1056"/>
          <cell r="C1056"/>
          <cell r="D1056"/>
          <cell r="E1056"/>
          <cell r="G1056"/>
          <cell r="H1056"/>
        </row>
        <row r="1057">
          <cell r="B1057"/>
          <cell r="C1057"/>
          <cell r="D1057"/>
          <cell r="E1057"/>
          <cell r="G1057"/>
          <cell r="H1057"/>
        </row>
        <row r="1058">
          <cell r="B1058"/>
          <cell r="C1058"/>
          <cell r="D1058"/>
          <cell r="E1058"/>
          <cell r="G1058"/>
          <cell r="H1058"/>
        </row>
        <row r="1059">
          <cell r="B1059"/>
          <cell r="C1059"/>
          <cell r="D1059"/>
          <cell r="E1059"/>
          <cell r="G1059"/>
          <cell r="H1059"/>
        </row>
        <row r="1060">
          <cell r="B1060"/>
          <cell r="C1060"/>
          <cell r="D1060"/>
          <cell r="E1060"/>
          <cell r="G1060"/>
          <cell r="H1060"/>
        </row>
        <row r="1061">
          <cell r="B1061"/>
          <cell r="C1061"/>
          <cell r="D1061"/>
          <cell r="E1061"/>
          <cell r="G1061"/>
          <cell r="H1061"/>
        </row>
        <row r="1062">
          <cell r="B1062"/>
          <cell r="C1062"/>
          <cell r="D1062"/>
          <cell r="E1062"/>
          <cell r="G1062"/>
          <cell r="H1062"/>
        </row>
        <row r="1063">
          <cell r="B1063"/>
          <cell r="C1063"/>
          <cell r="D1063"/>
          <cell r="E1063"/>
          <cell r="G1063"/>
          <cell r="H1063"/>
        </row>
        <row r="1064">
          <cell r="B1064"/>
          <cell r="C1064"/>
          <cell r="D1064"/>
          <cell r="E1064"/>
          <cell r="G1064"/>
          <cell r="H1064"/>
        </row>
        <row r="1065">
          <cell r="B1065"/>
          <cell r="C1065"/>
          <cell r="D1065"/>
          <cell r="E1065"/>
          <cell r="G1065"/>
          <cell r="H1065"/>
        </row>
        <row r="1066">
          <cell r="B1066"/>
          <cell r="C1066"/>
          <cell r="D1066"/>
          <cell r="E1066"/>
          <cell r="G1066"/>
          <cell r="H1066"/>
        </row>
        <row r="1067">
          <cell r="B1067"/>
          <cell r="C1067"/>
          <cell r="D1067"/>
          <cell r="E1067"/>
          <cell r="G1067"/>
          <cell r="H1067"/>
        </row>
        <row r="1068">
          <cell r="B1068"/>
          <cell r="C1068"/>
          <cell r="D1068"/>
          <cell r="E1068"/>
          <cell r="G1068"/>
          <cell r="H1068"/>
        </row>
        <row r="1069">
          <cell r="B1069"/>
          <cell r="C1069"/>
          <cell r="D1069"/>
          <cell r="E1069"/>
          <cell r="G1069"/>
          <cell r="H1069"/>
        </row>
        <row r="1070">
          <cell r="B1070"/>
          <cell r="C1070"/>
          <cell r="D1070"/>
          <cell r="E1070"/>
          <cell r="G1070"/>
          <cell r="H1070"/>
        </row>
        <row r="1071">
          <cell r="B1071"/>
          <cell r="C1071"/>
          <cell r="D1071"/>
          <cell r="E1071"/>
          <cell r="G1071"/>
          <cell r="H1071"/>
        </row>
        <row r="1072">
          <cell r="B1072"/>
          <cell r="C1072"/>
          <cell r="D1072"/>
          <cell r="E1072"/>
          <cell r="G1072"/>
          <cell r="H1072"/>
        </row>
        <row r="1073">
          <cell r="B1073"/>
          <cell r="C1073"/>
          <cell r="D1073"/>
          <cell r="E1073"/>
          <cell r="G1073"/>
          <cell r="H1073"/>
        </row>
        <row r="1074">
          <cell r="B1074"/>
          <cell r="C1074"/>
          <cell r="D1074"/>
          <cell r="E1074"/>
          <cell r="G1074"/>
          <cell r="H1074"/>
        </row>
        <row r="1075">
          <cell r="B1075"/>
          <cell r="C1075"/>
          <cell r="D1075"/>
          <cell r="E1075"/>
          <cell r="G1075"/>
          <cell r="H1075"/>
        </row>
        <row r="1076">
          <cell r="B1076"/>
          <cell r="C1076"/>
          <cell r="D1076"/>
          <cell r="E1076"/>
          <cell r="G1076"/>
          <cell r="H1076"/>
        </row>
        <row r="1077">
          <cell r="B1077"/>
          <cell r="C1077"/>
          <cell r="D1077"/>
          <cell r="E1077"/>
          <cell r="G1077"/>
          <cell r="H1077"/>
        </row>
        <row r="1078">
          <cell r="B1078"/>
          <cell r="C1078"/>
          <cell r="D1078"/>
          <cell r="E1078"/>
          <cell r="G1078"/>
          <cell r="H1078"/>
        </row>
        <row r="1079">
          <cell r="B1079"/>
          <cell r="C1079"/>
          <cell r="D1079"/>
          <cell r="E1079"/>
          <cell r="G1079"/>
          <cell r="H1079"/>
        </row>
        <row r="1080">
          <cell r="B1080"/>
          <cell r="C1080"/>
          <cell r="D1080"/>
          <cell r="E1080"/>
          <cell r="G1080"/>
          <cell r="H1080"/>
        </row>
        <row r="1081">
          <cell r="B1081"/>
          <cell r="C1081"/>
          <cell r="D1081"/>
          <cell r="E1081"/>
          <cell r="G1081"/>
          <cell r="H1081"/>
        </row>
        <row r="1082">
          <cell r="B1082"/>
          <cell r="C1082"/>
          <cell r="D1082"/>
          <cell r="E1082"/>
          <cell r="G1082"/>
          <cell r="H1082"/>
        </row>
        <row r="1083">
          <cell r="B1083"/>
          <cell r="C1083"/>
          <cell r="D1083"/>
          <cell r="E1083"/>
          <cell r="G1083"/>
          <cell r="H1083"/>
        </row>
        <row r="1084">
          <cell r="B1084"/>
          <cell r="C1084"/>
          <cell r="D1084"/>
          <cell r="E1084"/>
          <cell r="G1084"/>
          <cell r="H1084"/>
        </row>
        <row r="1085">
          <cell r="B1085"/>
          <cell r="C1085"/>
          <cell r="D1085"/>
          <cell r="E1085"/>
          <cell r="G1085"/>
          <cell r="H1085"/>
        </row>
        <row r="1086">
          <cell r="B1086"/>
          <cell r="C1086"/>
          <cell r="D1086"/>
          <cell r="E1086"/>
          <cell r="G1086"/>
          <cell r="H1086"/>
        </row>
        <row r="1087">
          <cell r="B1087"/>
          <cell r="C1087"/>
          <cell r="D1087"/>
          <cell r="E1087"/>
          <cell r="G1087"/>
          <cell r="H1087"/>
        </row>
        <row r="1088">
          <cell r="B1088"/>
          <cell r="C1088"/>
          <cell r="D1088"/>
          <cell r="E1088"/>
          <cell r="G1088"/>
          <cell r="H1088"/>
        </row>
        <row r="1089">
          <cell r="B1089"/>
          <cell r="C1089"/>
          <cell r="D1089"/>
          <cell r="E1089"/>
          <cell r="G1089"/>
          <cell r="H1089"/>
        </row>
        <row r="1090">
          <cell r="B1090"/>
          <cell r="C1090"/>
          <cell r="D1090"/>
          <cell r="E1090"/>
          <cell r="G1090"/>
          <cell r="H1090"/>
        </row>
        <row r="1091">
          <cell r="B1091"/>
          <cell r="C1091"/>
          <cell r="D1091"/>
          <cell r="E1091"/>
          <cell r="G1091"/>
          <cell r="H1091"/>
        </row>
        <row r="1092">
          <cell r="B1092"/>
          <cell r="C1092"/>
          <cell r="D1092"/>
          <cell r="E1092"/>
          <cell r="G1092"/>
          <cell r="H1092"/>
        </row>
        <row r="1093">
          <cell r="B1093"/>
          <cell r="C1093"/>
          <cell r="D1093"/>
          <cell r="E1093"/>
          <cell r="G1093"/>
          <cell r="H1093"/>
        </row>
        <row r="1094">
          <cell r="B1094"/>
          <cell r="C1094"/>
          <cell r="D1094"/>
          <cell r="E1094"/>
          <cell r="G1094"/>
          <cell r="H1094"/>
        </row>
        <row r="1095">
          <cell r="B1095"/>
          <cell r="C1095"/>
          <cell r="D1095"/>
          <cell r="E1095"/>
          <cell r="G1095"/>
          <cell r="H1095"/>
        </row>
        <row r="1096">
          <cell r="B1096"/>
          <cell r="C1096"/>
          <cell r="D1096"/>
          <cell r="E1096"/>
          <cell r="G1096"/>
          <cell r="H1096"/>
        </row>
        <row r="1097">
          <cell r="B1097"/>
          <cell r="C1097"/>
          <cell r="D1097"/>
          <cell r="E1097"/>
          <cell r="G1097"/>
          <cell r="H1097"/>
        </row>
        <row r="1098">
          <cell r="B1098"/>
          <cell r="C1098"/>
          <cell r="D1098"/>
          <cell r="E1098"/>
          <cell r="G1098"/>
          <cell r="H1098"/>
        </row>
        <row r="1099">
          <cell r="B1099"/>
          <cell r="C1099"/>
          <cell r="D1099"/>
          <cell r="E1099"/>
          <cell r="G1099"/>
          <cell r="H1099"/>
        </row>
        <row r="1100">
          <cell r="B1100"/>
          <cell r="C1100"/>
          <cell r="D1100"/>
          <cell r="E1100"/>
          <cell r="G1100"/>
          <cell r="H1100"/>
        </row>
        <row r="1101">
          <cell r="B1101"/>
          <cell r="C1101"/>
          <cell r="D1101"/>
          <cell r="E1101"/>
          <cell r="G1101"/>
          <cell r="H1101"/>
        </row>
        <row r="1102">
          <cell r="B1102"/>
          <cell r="C1102"/>
          <cell r="D1102"/>
          <cell r="E1102"/>
          <cell r="G1102"/>
          <cell r="H1102"/>
        </row>
        <row r="1103">
          <cell r="B1103"/>
          <cell r="C1103"/>
          <cell r="D1103"/>
          <cell r="E1103"/>
          <cell r="G1103"/>
          <cell r="H1103"/>
        </row>
        <row r="1104">
          <cell r="B1104"/>
          <cell r="C1104"/>
          <cell r="D1104"/>
          <cell r="E1104"/>
          <cell r="G1104"/>
          <cell r="H1104"/>
        </row>
        <row r="1105">
          <cell r="B1105"/>
          <cell r="C1105"/>
          <cell r="D1105"/>
          <cell r="E1105"/>
          <cell r="G1105"/>
          <cell r="H1105"/>
        </row>
        <row r="1106">
          <cell r="B1106"/>
          <cell r="C1106"/>
          <cell r="D1106"/>
          <cell r="E1106"/>
          <cell r="G1106"/>
          <cell r="H1106"/>
        </row>
        <row r="1107">
          <cell r="B1107"/>
          <cell r="C1107"/>
          <cell r="D1107"/>
          <cell r="E1107"/>
          <cell r="G1107"/>
          <cell r="H1107"/>
        </row>
        <row r="1108">
          <cell r="B1108"/>
          <cell r="C1108"/>
          <cell r="D1108"/>
          <cell r="E1108"/>
          <cell r="G1108"/>
          <cell r="H1108"/>
        </row>
        <row r="1109">
          <cell r="B1109"/>
          <cell r="C1109"/>
          <cell r="D1109"/>
          <cell r="E1109"/>
          <cell r="G1109"/>
          <cell r="H1109"/>
        </row>
        <row r="1110">
          <cell r="B1110"/>
          <cell r="C1110"/>
          <cell r="D1110"/>
          <cell r="E1110"/>
          <cell r="G1110"/>
          <cell r="H1110"/>
        </row>
        <row r="1111">
          <cell r="B1111"/>
          <cell r="C1111"/>
          <cell r="D1111"/>
          <cell r="E1111"/>
          <cell r="G1111"/>
          <cell r="H1111"/>
        </row>
        <row r="1112">
          <cell r="B1112"/>
          <cell r="C1112"/>
          <cell r="D1112"/>
          <cell r="E1112"/>
          <cell r="G1112"/>
          <cell r="H1112"/>
        </row>
        <row r="1113">
          <cell r="B1113"/>
          <cell r="C1113"/>
          <cell r="D1113"/>
          <cell r="E1113"/>
          <cell r="G1113"/>
          <cell r="H1113"/>
        </row>
        <row r="1114">
          <cell r="B1114"/>
          <cell r="C1114"/>
          <cell r="D1114"/>
          <cell r="E1114"/>
          <cell r="G1114"/>
          <cell r="H1114"/>
        </row>
        <row r="1115">
          <cell r="B1115"/>
          <cell r="C1115"/>
          <cell r="D1115"/>
          <cell r="E1115"/>
          <cell r="G1115"/>
          <cell r="H1115"/>
        </row>
        <row r="1116">
          <cell r="B1116"/>
          <cell r="C1116"/>
          <cell r="D1116"/>
          <cell r="E1116"/>
          <cell r="G1116"/>
          <cell r="H1116"/>
        </row>
        <row r="1117">
          <cell r="B1117"/>
          <cell r="C1117"/>
          <cell r="D1117"/>
          <cell r="E1117"/>
          <cell r="G1117"/>
          <cell r="H1117"/>
        </row>
        <row r="1118">
          <cell r="B1118"/>
          <cell r="C1118"/>
          <cell r="D1118"/>
          <cell r="E1118"/>
          <cell r="G1118"/>
          <cell r="H1118"/>
        </row>
        <row r="1119">
          <cell r="B1119"/>
          <cell r="C1119"/>
          <cell r="D1119"/>
          <cell r="E1119"/>
          <cell r="G1119"/>
          <cell r="H1119"/>
        </row>
        <row r="1120">
          <cell r="B1120"/>
          <cell r="C1120"/>
          <cell r="D1120"/>
          <cell r="E1120"/>
          <cell r="G1120"/>
          <cell r="H1120"/>
        </row>
        <row r="1121">
          <cell r="B1121"/>
          <cell r="C1121"/>
          <cell r="D1121"/>
          <cell r="E1121"/>
          <cell r="G1121"/>
          <cell r="H1121"/>
        </row>
        <row r="1122">
          <cell r="B1122"/>
          <cell r="C1122"/>
          <cell r="D1122"/>
          <cell r="E1122"/>
          <cell r="G1122"/>
          <cell r="H1122"/>
        </row>
        <row r="1123">
          <cell r="B1123"/>
          <cell r="C1123"/>
          <cell r="D1123"/>
          <cell r="E1123"/>
          <cell r="G1123"/>
          <cell r="H1123"/>
        </row>
        <row r="1124">
          <cell r="B1124"/>
          <cell r="C1124"/>
          <cell r="D1124"/>
          <cell r="E1124"/>
          <cell r="G1124"/>
          <cell r="H1124"/>
        </row>
        <row r="1125">
          <cell r="B1125"/>
          <cell r="C1125"/>
          <cell r="D1125"/>
          <cell r="E1125"/>
          <cell r="G1125"/>
          <cell r="H1125"/>
        </row>
        <row r="1126">
          <cell r="B1126"/>
          <cell r="C1126"/>
          <cell r="D1126"/>
          <cell r="E1126"/>
          <cell r="G1126"/>
          <cell r="H1126"/>
        </row>
        <row r="1127">
          <cell r="B1127"/>
          <cell r="C1127"/>
          <cell r="D1127"/>
          <cell r="E1127"/>
          <cell r="G1127"/>
          <cell r="H1127"/>
        </row>
        <row r="1128">
          <cell r="B1128"/>
          <cell r="C1128"/>
          <cell r="D1128"/>
          <cell r="E1128"/>
          <cell r="G1128"/>
          <cell r="H1128"/>
        </row>
        <row r="1129">
          <cell r="B1129"/>
          <cell r="C1129"/>
          <cell r="D1129"/>
          <cell r="E1129"/>
          <cell r="G1129"/>
          <cell r="H1129"/>
        </row>
        <row r="1130">
          <cell r="B1130"/>
          <cell r="C1130"/>
          <cell r="D1130"/>
          <cell r="E1130"/>
          <cell r="G1130"/>
          <cell r="H1130"/>
        </row>
        <row r="1131">
          <cell r="B1131"/>
          <cell r="C1131"/>
          <cell r="D1131"/>
          <cell r="E1131"/>
          <cell r="G1131"/>
          <cell r="H1131"/>
        </row>
        <row r="1132">
          <cell r="B1132"/>
          <cell r="C1132"/>
          <cell r="D1132"/>
          <cell r="E1132"/>
          <cell r="G1132"/>
          <cell r="H1132"/>
        </row>
        <row r="1133">
          <cell r="B1133"/>
          <cell r="C1133"/>
          <cell r="D1133"/>
          <cell r="E1133"/>
          <cell r="G1133"/>
          <cell r="H1133"/>
        </row>
        <row r="1134">
          <cell r="B1134"/>
          <cell r="C1134"/>
          <cell r="D1134"/>
          <cell r="E1134"/>
          <cell r="G1134"/>
          <cell r="H1134"/>
        </row>
        <row r="1135">
          <cell r="B1135"/>
          <cell r="C1135"/>
          <cell r="D1135"/>
          <cell r="E1135"/>
          <cell r="G1135"/>
          <cell r="H1135"/>
        </row>
        <row r="1136">
          <cell r="B1136"/>
          <cell r="C1136"/>
          <cell r="D1136"/>
          <cell r="E1136"/>
          <cell r="G1136"/>
          <cell r="H1136"/>
        </row>
        <row r="1137">
          <cell r="B1137"/>
          <cell r="C1137"/>
          <cell r="D1137"/>
          <cell r="E1137"/>
          <cell r="G1137"/>
          <cell r="H1137"/>
        </row>
        <row r="1138">
          <cell r="B1138"/>
          <cell r="C1138"/>
          <cell r="D1138"/>
          <cell r="E1138"/>
          <cell r="G1138"/>
          <cell r="H1138"/>
        </row>
        <row r="1139">
          <cell r="B1139"/>
          <cell r="C1139"/>
          <cell r="D1139"/>
          <cell r="E1139"/>
          <cell r="G1139"/>
          <cell r="H1139"/>
        </row>
        <row r="1140">
          <cell r="B1140"/>
          <cell r="C1140"/>
          <cell r="D1140"/>
          <cell r="E1140"/>
          <cell r="G1140"/>
          <cell r="H1140"/>
        </row>
        <row r="1141">
          <cell r="B1141"/>
          <cell r="C1141"/>
          <cell r="D1141"/>
          <cell r="E1141"/>
          <cell r="G1141"/>
          <cell r="H1141"/>
        </row>
        <row r="1142">
          <cell r="B1142"/>
          <cell r="C1142"/>
          <cell r="D1142"/>
          <cell r="E1142"/>
          <cell r="G1142"/>
          <cell r="H1142"/>
        </row>
        <row r="1143">
          <cell r="B1143"/>
          <cell r="C1143"/>
          <cell r="D1143"/>
          <cell r="E1143"/>
          <cell r="G1143"/>
          <cell r="H1143"/>
        </row>
        <row r="1144">
          <cell r="B1144"/>
          <cell r="C1144"/>
          <cell r="D1144"/>
          <cell r="E1144"/>
          <cell r="G1144"/>
          <cell r="H1144"/>
        </row>
        <row r="1145">
          <cell r="B1145"/>
          <cell r="C1145"/>
          <cell r="D1145"/>
          <cell r="E1145"/>
          <cell r="G1145"/>
          <cell r="H1145"/>
        </row>
        <row r="1146">
          <cell r="B1146"/>
          <cell r="C1146"/>
          <cell r="D1146"/>
          <cell r="E1146"/>
          <cell r="G1146"/>
          <cell r="H1146"/>
        </row>
        <row r="1147">
          <cell r="B1147"/>
          <cell r="C1147"/>
          <cell r="D1147"/>
          <cell r="E1147"/>
          <cell r="G1147"/>
          <cell r="H1147"/>
        </row>
        <row r="1148">
          <cell r="B1148"/>
          <cell r="C1148"/>
          <cell r="D1148"/>
          <cell r="E1148"/>
          <cell r="G1148"/>
          <cell r="H1148"/>
        </row>
        <row r="1149">
          <cell r="B1149"/>
          <cell r="C1149"/>
          <cell r="D1149"/>
          <cell r="E1149"/>
          <cell r="G1149"/>
          <cell r="H1149"/>
        </row>
        <row r="1150">
          <cell r="B1150"/>
          <cell r="C1150"/>
          <cell r="D1150"/>
          <cell r="E1150"/>
          <cell r="G1150"/>
          <cell r="H1150"/>
        </row>
        <row r="1151">
          <cell r="B1151"/>
          <cell r="C1151"/>
          <cell r="D1151"/>
          <cell r="E1151"/>
          <cell r="G1151"/>
          <cell r="H1151"/>
        </row>
        <row r="1152">
          <cell r="B1152"/>
          <cell r="C1152"/>
          <cell r="D1152"/>
          <cell r="E1152"/>
          <cell r="G1152"/>
          <cell r="H1152"/>
        </row>
        <row r="1153">
          <cell r="B1153"/>
          <cell r="C1153"/>
          <cell r="D1153"/>
          <cell r="E1153"/>
          <cell r="G1153"/>
          <cell r="H1153"/>
        </row>
        <row r="1154">
          <cell r="B1154"/>
          <cell r="C1154"/>
          <cell r="D1154"/>
          <cell r="E1154"/>
          <cell r="G1154"/>
          <cell r="H1154"/>
        </row>
        <row r="1155">
          <cell r="B1155"/>
          <cell r="C1155"/>
          <cell r="D1155"/>
          <cell r="E1155"/>
          <cell r="G1155"/>
          <cell r="H1155"/>
        </row>
        <row r="1156">
          <cell r="B1156"/>
          <cell r="C1156"/>
          <cell r="D1156"/>
          <cell r="E1156"/>
          <cell r="G1156"/>
          <cell r="H1156"/>
        </row>
        <row r="1157">
          <cell r="B1157"/>
          <cell r="C1157"/>
          <cell r="D1157"/>
          <cell r="E1157"/>
          <cell r="G1157"/>
          <cell r="H1157"/>
        </row>
        <row r="1158">
          <cell r="B1158"/>
          <cell r="C1158"/>
          <cell r="D1158"/>
          <cell r="E1158"/>
          <cell r="G1158"/>
          <cell r="H1158"/>
        </row>
        <row r="1159">
          <cell r="B1159"/>
          <cell r="C1159"/>
          <cell r="D1159"/>
          <cell r="E1159"/>
          <cell r="G1159"/>
          <cell r="H1159"/>
        </row>
        <row r="1160">
          <cell r="B1160"/>
          <cell r="C1160"/>
          <cell r="D1160"/>
          <cell r="E1160"/>
          <cell r="G1160"/>
          <cell r="H1160"/>
        </row>
        <row r="1161">
          <cell r="B1161"/>
          <cell r="C1161"/>
          <cell r="D1161"/>
          <cell r="E1161"/>
          <cell r="G1161"/>
          <cell r="H1161"/>
        </row>
        <row r="1162">
          <cell r="B1162"/>
          <cell r="C1162"/>
          <cell r="D1162"/>
          <cell r="E1162"/>
          <cell r="G1162"/>
          <cell r="H1162"/>
        </row>
        <row r="1163">
          <cell r="B1163"/>
          <cell r="C1163"/>
          <cell r="D1163"/>
          <cell r="E1163"/>
          <cell r="G1163"/>
          <cell r="H1163"/>
        </row>
        <row r="1164">
          <cell r="B1164"/>
          <cell r="C1164"/>
          <cell r="D1164"/>
          <cell r="E1164"/>
          <cell r="G1164"/>
          <cell r="H1164"/>
        </row>
        <row r="1165">
          <cell r="B1165"/>
          <cell r="C1165"/>
          <cell r="D1165"/>
          <cell r="E1165"/>
          <cell r="G1165"/>
          <cell r="H1165"/>
        </row>
        <row r="1166">
          <cell r="B1166"/>
          <cell r="C1166"/>
          <cell r="D1166"/>
          <cell r="E1166"/>
          <cell r="G1166"/>
          <cell r="H1166"/>
        </row>
        <row r="1167">
          <cell r="B1167"/>
          <cell r="C1167"/>
          <cell r="D1167"/>
          <cell r="E1167"/>
          <cell r="G1167"/>
          <cell r="H1167"/>
        </row>
        <row r="1168">
          <cell r="B1168"/>
          <cell r="C1168"/>
          <cell r="D1168"/>
          <cell r="E1168"/>
          <cell r="G1168"/>
          <cell r="H1168"/>
        </row>
        <row r="1169">
          <cell r="B1169"/>
          <cell r="C1169"/>
          <cell r="D1169"/>
          <cell r="E1169"/>
          <cell r="G1169"/>
          <cell r="H1169"/>
        </row>
        <row r="1170">
          <cell r="B1170"/>
          <cell r="C1170"/>
          <cell r="D1170"/>
          <cell r="E1170"/>
          <cell r="G1170"/>
          <cell r="H1170"/>
        </row>
        <row r="1171">
          <cell r="B1171"/>
          <cell r="C1171"/>
          <cell r="D1171"/>
          <cell r="E1171"/>
          <cell r="G1171"/>
          <cell r="H1171"/>
        </row>
        <row r="1172">
          <cell r="B1172"/>
          <cell r="C1172"/>
          <cell r="D1172"/>
          <cell r="E1172"/>
          <cell r="G1172"/>
          <cell r="H1172"/>
        </row>
        <row r="1173">
          <cell r="B1173"/>
          <cell r="C1173"/>
          <cell r="D1173"/>
          <cell r="E1173"/>
          <cell r="G1173"/>
          <cell r="H1173"/>
        </row>
        <row r="1174">
          <cell r="B1174"/>
          <cell r="C1174"/>
          <cell r="D1174"/>
          <cell r="E1174"/>
          <cell r="G1174"/>
          <cell r="H1174"/>
        </row>
        <row r="1175">
          <cell r="B1175"/>
          <cell r="C1175"/>
          <cell r="D1175"/>
          <cell r="E1175"/>
          <cell r="G1175"/>
          <cell r="H1175"/>
        </row>
        <row r="1176">
          <cell r="B1176"/>
          <cell r="C1176"/>
          <cell r="D1176"/>
          <cell r="E1176"/>
          <cell r="G1176"/>
          <cell r="H1176"/>
        </row>
        <row r="1177">
          <cell r="B1177"/>
          <cell r="C1177"/>
          <cell r="D1177"/>
          <cell r="E1177"/>
          <cell r="G1177"/>
          <cell r="H1177"/>
        </row>
        <row r="1178">
          <cell r="B1178"/>
          <cell r="C1178"/>
          <cell r="D1178"/>
          <cell r="E1178"/>
          <cell r="G1178"/>
          <cell r="H1178"/>
        </row>
        <row r="1179">
          <cell r="B1179"/>
          <cell r="C1179"/>
          <cell r="D1179"/>
          <cell r="E1179"/>
          <cell r="G1179"/>
          <cell r="H1179"/>
        </row>
        <row r="1180">
          <cell r="B1180"/>
          <cell r="C1180"/>
          <cell r="D1180"/>
          <cell r="E1180"/>
          <cell r="G1180"/>
          <cell r="H1180"/>
        </row>
        <row r="1181">
          <cell r="B1181"/>
          <cell r="C1181"/>
          <cell r="D1181"/>
          <cell r="E1181"/>
          <cell r="G1181"/>
          <cell r="H1181"/>
        </row>
        <row r="1182">
          <cell r="B1182"/>
          <cell r="C1182"/>
          <cell r="D1182"/>
          <cell r="E1182"/>
          <cell r="G1182"/>
          <cell r="H1182"/>
        </row>
        <row r="1183">
          <cell r="B1183"/>
          <cell r="C1183"/>
          <cell r="D1183"/>
          <cell r="E1183"/>
          <cell r="G1183"/>
          <cell r="H1183"/>
        </row>
        <row r="1184">
          <cell r="B1184"/>
          <cell r="C1184"/>
          <cell r="D1184"/>
          <cell r="E1184"/>
          <cell r="G1184"/>
          <cell r="H1184"/>
        </row>
        <row r="1185">
          <cell r="B1185"/>
          <cell r="C1185"/>
          <cell r="D1185"/>
          <cell r="E1185"/>
          <cell r="G1185"/>
          <cell r="H1185"/>
        </row>
        <row r="1186">
          <cell r="B1186"/>
          <cell r="C1186"/>
          <cell r="D1186"/>
          <cell r="E1186"/>
          <cell r="G1186"/>
          <cell r="H1186"/>
        </row>
        <row r="1187">
          <cell r="B1187"/>
          <cell r="C1187"/>
          <cell r="D1187"/>
          <cell r="E1187"/>
          <cell r="G1187"/>
          <cell r="H1187"/>
        </row>
        <row r="1188">
          <cell r="B1188"/>
          <cell r="C1188"/>
          <cell r="D1188"/>
          <cell r="E1188"/>
          <cell r="G1188"/>
          <cell r="H1188"/>
        </row>
        <row r="1189">
          <cell r="B1189"/>
          <cell r="C1189"/>
          <cell r="D1189"/>
          <cell r="E1189"/>
          <cell r="G1189"/>
          <cell r="H1189"/>
        </row>
        <row r="1190">
          <cell r="B1190"/>
          <cell r="C1190"/>
          <cell r="D1190"/>
          <cell r="E1190"/>
          <cell r="G1190"/>
          <cell r="H1190"/>
        </row>
        <row r="1191">
          <cell r="B1191"/>
          <cell r="C1191"/>
          <cell r="D1191"/>
          <cell r="E1191"/>
          <cell r="G1191"/>
          <cell r="H1191"/>
        </row>
        <row r="1192">
          <cell r="B1192"/>
          <cell r="C1192"/>
          <cell r="D1192"/>
          <cell r="E1192"/>
          <cell r="G1192"/>
          <cell r="H1192"/>
        </row>
        <row r="1193">
          <cell r="B1193"/>
          <cell r="C1193"/>
          <cell r="D1193"/>
          <cell r="E1193"/>
          <cell r="G1193"/>
          <cell r="H1193"/>
        </row>
        <row r="1194">
          <cell r="B1194"/>
          <cell r="C1194"/>
          <cell r="D1194"/>
          <cell r="E1194"/>
          <cell r="G1194"/>
          <cell r="H1194"/>
        </row>
        <row r="1195">
          <cell r="B1195"/>
          <cell r="C1195"/>
          <cell r="D1195"/>
          <cell r="E1195"/>
          <cell r="G1195"/>
          <cell r="H1195"/>
        </row>
        <row r="1196">
          <cell r="B1196"/>
          <cell r="C1196"/>
          <cell r="D1196"/>
          <cell r="E1196"/>
          <cell r="G1196"/>
          <cell r="H1196"/>
        </row>
        <row r="1197">
          <cell r="B1197"/>
          <cell r="C1197"/>
          <cell r="D1197"/>
          <cell r="E1197"/>
          <cell r="G1197"/>
          <cell r="H1197"/>
        </row>
        <row r="1198">
          <cell r="B1198"/>
          <cell r="C1198"/>
          <cell r="D1198"/>
          <cell r="E1198"/>
          <cell r="G1198"/>
          <cell r="H1198"/>
        </row>
        <row r="1199">
          <cell r="B1199"/>
          <cell r="C1199"/>
          <cell r="D1199"/>
          <cell r="E1199"/>
          <cell r="G1199"/>
          <cell r="H1199"/>
        </row>
        <row r="1200">
          <cell r="B1200"/>
          <cell r="C1200"/>
          <cell r="D1200"/>
          <cell r="E1200"/>
          <cell r="G1200"/>
          <cell r="H1200"/>
        </row>
        <row r="1201">
          <cell r="B1201"/>
          <cell r="C1201"/>
          <cell r="D1201"/>
          <cell r="E1201"/>
          <cell r="G1201"/>
          <cell r="H1201"/>
        </row>
        <row r="1202">
          <cell r="B1202"/>
          <cell r="C1202"/>
          <cell r="D1202"/>
          <cell r="E1202"/>
          <cell r="G1202"/>
          <cell r="H1202"/>
        </row>
        <row r="1203">
          <cell r="B1203"/>
          <cell r="C1203"/>
          <cell r="D1203"/>
          <cell r="E1203"/>
          <cell r="G1203"/>
          <cell r="H1203"/>
        </row>
        <row r="1204">
          <cell r="B1204"/>
          <cell r="C1204"/>
          <cell r="D1204"/>
          <cell r="E1204"/>
          <cell r="G1204"/>
          <cell r="H1204"/>
        </row>
        <row r="1205">
          <cell r="B1205"/>
          <cell r="C1205"/>
          <cell r="D1205"/>
          <cell r="E1205"/>
          <cell r="G1205"/>
          <cell r="H1205"/>
        </row>
        <row r="1206">
          <cell r="B1206"/>
          <cell r="C1206"/>
          <cell r="D1206"/>
          <cell r="E1206"/>
          <cell r="G1206"/>
          <cell r="H1206"/>
        </row>
        <row r="1207">
          <cell r="B1207"/>
          <cell r="C1207"/>
          <cell r="D1207"/>
          <cell r="E1207"/>
          <cell r="G1207"/>
          <cell r="H1207"/>
        </row>
        <row r="1208">
          <cell r="B1208"/>
          <cell r="C1208"/>
          <cell r="D1208"/>
          <cell r="E1208"/>
          <cell r="G1208"/>
          <cell r="H1208"/>
        </row>
        <row r="1209">
          <cell r="B1209"/>
          <cell r="C1209"/>
          <cell r="D1209"/>
          <cell r="E1209"/>
          <cell r="G1209"/>
          <cell r="H1209"/>
        </row>
        <row r="1210">
          <cell r="B1210"/>
          <cell r="C1210"/>
          <cell r="D1210"/>
          <cell r="E1210"/>
          <cell r="G1210"/>
          <cell r="H1210"/>
        </row>
        <row r="1211">
          <cell r="B1211"/>
          <cell r="C1211"/>
          <cell r="D1211"/>
          <cell r="E1211"/>
          <cell r="G1211"/>
          <cell r="H1211"/>
        </row>
        <row r="1212">
          <cell r="B1212"/>
          <cell r="C1212"/>
          <cell r="D1212"/>
          <cell r="E1212"/>
          <cell r="G1212"/>
          <cell r="H1212"/>
        </row>
        <row r="1213">
          <cell r="B1213"/>
          <cell r="C1213"/>
          <cell r="D1213"/>
          <cell r="E1213"/>
          <cell r="G1213"/>
          <cell r="H1213"/>
        </row>
        <row r="1214">
          <cell r="B1214"/>
          <cell r="C1214"/>
          <cell r="D1214"/>
          <cell r="E1214"/>
          <cell r="G1214"/>
          <cell r="H1214"/>
        </row>
        <row r="1215">
          <cell r="B1215"/>
          <cell r="C1215"/>
          <cell r="D1215"/>
          <cell r="E1215"/>
          <cell r="G1215"/>
          <cell r="H1215"/>
        </row>
        <row r="1216">
          <cell r="B1216"/>
          <cell r="C1216"/>
          <cell r="D1216"/>
          <cell r="E1216"/>
          <cell r="G1216"/>
          <cell r="H1216"/>
        </row>
        <row r="1217">
          <cell r="B1217"/>
          <cell r="C1217"/>
          <cell r="D1217"/>
          <cell r="E1217"/>
          <cell r="G1217"/>
          <cell r="H1217"/>
        </row>
        <row r="1218">
          <cell r="B1218"/>
          <cell r="C1218"/>
          <cell r="D1218"/>
          <cell r="E1218"/>
          <cell r="G1218"/>
          <cell r="H1218"/>
        </row>
        <row r="1219">
          <cell r="B1219"/>
          <cell r="C1219"/>
          <cell r="D1219"/>
          <cell r="E1219"/>
          <cell r="G1219"/>
          <cell r="H1219"/>
        </row>
        <row r="1220">
          <cell r="B1220"/>
          <cell r="C1220"/>
          <cell r="D1220"/>
          <cell r="E1220"/>
          <cell r="G1220"/>
          <cell r="H1220"/>
        </row>
        <row r="1221">
          <cell r="B1221"/>
          <cell r="C1221"/>
          <cell r="D1221"/>
          <cell r="E1221"/>
          <cell r="G1221"/>
          <cell r="H1221"/>
        </row>
        <row r="1222">
          <cell r="B1222"/>
          <cell r="C1222"/>
          <cell r="D1222"/>
          <cell r="E1222"/>
          <cell r="G1222"/>
          <cell r="H1222"/>
        </row>
        <row r="1223">
          <cell r="B1223"/>
          <cell r="C1223"/>
          <cell r="D1223"/>
          <cell r="E1223"/>
          <cell r="G1223"/>
          <cell r="H1223"/>
        </row>
        <row r="1224">
          <cell r="B1224"/>
          <cell r="C1224"/>
          <cell r="D1224"/>
          <cell r="E1224"/>
          <cell r="G1224"/>
          <cell r="H1224"/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Usuarios"/>
      <sheetName val="ESPEC_INF"/>
      <sheetName val="REPORT"/>
      <sheetName val="FORMATO"/>
      <sheetName val="STATUS_SEND_EMAIL"/>
      <sheetName val="REG_PROCESS"/>
      <sheetName val="REG_REQUEST"/>
      <sheetName val="REG_REQUEST_EDIT"/>
      <sheetName val="e76677"/>
    </sheetNames>
    <sheetDataSet>
      <sheetData sheetId="0">
        <row r="15">
          <cell r="J15" t="str">
            <v>Administrador</v>
          </cell>
        </row>
      </sheetData>
      <sheetData sheetId="1">
        <row r="7">
          <cell r="C7" t="str">
            <v>Administrador</v>
          </cell>
        </row>
        <row r="8">
          <cell r="C8" t="str">
            <v>Rossy Gallegos</v>
          </cell>
        </row>
        <row r="9">
          <cell r="C9" t="str">
            <v>Alex Ortiz</v>
          </cell>
        </row>
        <row r="10">
          <cell r="C10" t="str">
            <v>Tecnicos R.I.</v>
          </cell>
        </row>
        <row r="11">
          <cell r="C11" t="str">
            <v>Requisitores</v>
          </cell>
        </row>
      </sheetData>
      <sheetData sheetId="2">
        <row r="5">
          <cell r="C5" t="str">
            <v>A.CARAVEO</v>
          </cell>
        </row>
      </sheetData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TRIZ"/>
      <sheetName val="FORMATO"/>
      <sheetName val="Sheet1"/>
      <sheetName val="Sheet3"/>
      <sheetName val="Registro pruebas de metrologia "/>
      <sheetName val="ESPEC_INF"/>
    </sheetNames>
    <sheetDataSet>
      <sheetData sheetId="0">
        <row r="1">
          <cell r="A1"/>
          <cell r="B1"/>
          <cell r="C1"/>
          <cell r="D1"/>
          <cell r="E1"/>
          <cell r="F1"/>
          <cell r="G1"/>
          <cell r="H1"/>
          <cell r="I1"/>
          <cell r="J1"/>
          <cell r="K1"/>
          <cell r="L1"/>
          <cell r="M1"/>
          <cell r="N1"/>
        </row>
        <row r="2">
          <cell r="A2"/>
          <cell r="B2" t="str">
            <v xml:space="preserve">Internal </v>
          </cell>
          <cell r="C2"/>
          <cell r="D2"/>
          <cell r="E2"/>
          <cell r="F2"/>
          <cell r="G2"/>
          <cell r="H2"/>
          <cell r="I2"/>
          <cell r="J2"/>
          <cell r="K2" t="str">
            <v xml:space="preserve">R.I. INFORMACION </v>
          </cell>
          <cell r="L2"/>
          <cell r="M2"/>
          <cell r="N2"/>
        </row>
        <row r="3">
          <cell r="A3" t="str">
            <v>LOGO</v>
          </cell>
          <cell r="B3" t="str">
            <v>FECHA</v>
          </cell>
          <cell r="C3" t="str">
            <v>TURNO</v>
          </cell>
          <cell r="D3" t="str">
            <v>LINEA</v>
          </cell>
          <cell r="E3" t="str">
            <v xml:space="preserve">PROGRAMA/ TECNOLOGIA </v>
          </cell>
          <cell r="F3" t="str">
            <v>NUMERO DE PARTE</v>
          </cell>
          <cell r="G3" t="str">
            <v xml:space="preserve"> NUMERO DE LOTE</v>
          </cell>
          <cell r="H3" t="str">
            <v>DIMENSIONES REQUERIDAS</v>
          </cell>
          <cell r="I3" t="str">
            <v>CANTIDAD</v>
          </cell>
          <cell r="J3" t="str">
            <v>REQUISITOR</v>
          </cell>
          <cell r="K3" t="str">
            <v>FECHA TERMINACION DIA/MES</v>
          </cell>
          <cell r="L3" t="str">
            <v>TECNICO</v>
          </cell>
          <cell r="M3" t="str">
            <v xml:space="preserve"> PASS / NO PASS</v>
          </cell>
          <cell r="N3" t="str">
            <v xml:space="preserve">COMENTARIOS </v>
          </cell>
        </row>
        <row r="4">
          <cell r="A4">
            <v>20230001</v>
          </cell>
          <cell r="B4">
            <v>44929</v>
          </cell>
          <cell r="C4">
            <v>1</v>
          </cell>
          <cell r="D4" t="str">
            <v>N/A</v>
          </cell>
          <cell r="E4" t="str">
            <v>N/A</v>
          </cell>
          <cell r="F4" t="str">
            <v>34186255C</v>
          </cell>
          <cell r="G4" t="str">
            <v>N/A</v>
          </cell>
          <cell r="H4">
            <v>91</v>
          </cell>
          <cell r="I4">
            <v>3</v>
          </cell>
          <cell r="J4" t="str">
            <v>DANY RAMIREZ</v>
          </cell>
          <cell r="K4"/>
          <cell r="L4" t="str">
            <v>MAURICIO</v>
          </cell>
          <cell r="M4" t="str">
            <v>PASS</v>
          </cell>
          <cell r="N4" t="str">
            <v>RESIZING SAMPLES</v>
          </cell>
        </row>
        <row r="5">
          <cell r="A5">
            <v>20230002</v>
          </cell>
          <cell r="B5">
            <v>44929</v>
          </cell>
          <cell r="C5">
            <v>1</v>
          </cell>
          <cell r="D5" t="str">
            <v>N/A</v>
          </cell>
          <cell r="E5" t="str">
            <v>N/A</v>
          </cell>
          <cell r="F5" t="str">
            <v>34359795B</v>
          </cell>
          <cell r="G5">
            <v>20221209</v>
          </cell>
          <cell r="H5" t="str">
            <v xml:space="preserve">Conforme al rip </v>
          </cell>
          <cell r="I5" t="str">
            <v>5 pcs</v>
          </cell>
          <cell r="J5" t="str">
            <v>Nuevos programas</v>
          </cell>
          <cell r="K5">
            <v>44929</v>
          </cell>
          <cell r="L5" t="str">
            <v xml:space="preserve">Adela </v>
          </cell>
          <cell r="M5" t="str">
            <v>PASS</v>
          </cell>
          <cell r="N5" t="str">
            <v>N/A</v>
          </cell>
        </row>
        <row r="6">
          <cell r="A6">
            <v>20230003</v>
          </cell>
          <cell r="B6">
            <v>44929</v>
          </cell>
          <cell r="C6">
            <v>1</v>
          </cell>
          <cell r="D6" t="str">
            <v>709-A</v>
          </cell>
          <cell r="E6" t="str">
            <v>U-625</v>
          </cell>
          <cell r="F6" t="str">
            <v>34279935A</v>
          </cell>
          <cell r="G6" t="str">
            <v>N/A</v>
          </cell>
          <cell r="H6" t="str">
            <v>16,24</v>
          </cell>
          <cell r="I6" t="str">
            <v>6 PCS</v>
          </cell>
          <cell r="J6" t="str">
            <v>Yesenia Venegas</v>
          </cell>
          <cell r="K6">
            <v>44929</v>
          </cell>
          <cell r="L6" t="str">
            <v>Nohemi</v>
          </cell>
          <cell r="M6" t="str">
            <v>PASS</v>
          </cell>
          <cell r="N6"/>
        </row>
        <row r="7">
          <cell r="A7">
            <v>20230004</v>
          </cell>
          <cell r="B7">
            <v>44929</v>
          </cell>
          <cell r="C7">
            <v>1</v>
          </cell>
          <cell r="D7" t="str">
            <v>709-A</v>
          </cell>
          <cell r="E7" t="str">
            <v>U-625</v>
          </cell>
          <cell r="F7" t="str">
            <v>34279935A</v>
          </cell>
          <cell r="G7" t="str">
            <v>N/A</v>
          </cell>
          <cell r="H7" t="str">
            <v>11,9,4,13</v>
          </cell>
          <cell r="I7" t="str">
            <v>3 PCS</v>
          </cell>
          <cell r="J7" t="str">
            <v>Yesenia Venegas</v>
          </cell>
          <cell r="K7">
            <v>44929</v>
          </cell>
          <cell r="L7" t="str">
            <v>Nohemi</v>
          </cell>
          <cell r="M7" t="str">
            <v>PASS</v>
          </cell>
          <cell r="N7"/>
        </row>
        <row r="8">
          <cell r="A8">
            <v>20230005</v>
          </cell>
          <cell r="B8">
            <v>44929</v>
          </cell>
          <cell r="C8">
            <v>1</v>
          </cell>
          <cell r="D8" t="str">
            <v>N/A</v>
          </cell>
          <cell r="E8" t="str">
            <v>N/A</v>
          </cell>
          <cell r="F8" t="str">
            <v>34359796B</v>
          </cell>
          <cell r="G8">
            <v>20221209</v>
          </cell>
          <cell r="H8" t="str">
            <v xml:space="preserve">Conforme al rip </v>
          </cell>
          <cell r="I8" t="str">
            <v>5 pcs</v>
          </cell>
          <cell r="J8" t="str">
            <v>Nuevos programas</v>
          </cell>
          <cell r="K8">
            <v>44929</v>
          </cell>
          <cell r="L8" t="str">
            <v xml:space="preserve">Adela </v>
          </cell>
          <cell r="M8" t="str">
            <v>PASS</v>
          </cell>
          <cell r="N8" t="str">
            <v>N/A</v>
          </cell>
        </row>
        <row r="9">
          <cell r="A9">
            <v>20230006</v>
          </cell>
          <cell r="B9">
            <v>44929</v>
          </cell>
          <cell r="C9">
            <v>1</v>
          </cell>
          <cell r="D9" t="str">
            <v>720-1</v>
          </cell>
          <cell r="E9" t="str">
            <v>SPR8</v>
          </cell>
          <cell r="F9" t="str">
            <v>34324760D</v>
          </cell>
          <cell r="G9" t="str">
            <v>N/A</v>
          </cell>
          <cell r="H9" t="str">
            <v>CONCENTRICIDAD</v>
          </cell>
          <cell r="I9">
            <v>12</v>
          </cell>
          <cell r="J9" t="str">
            <v>EVELYN ESTUDILLO</v>
          </cell>
          <cell r="K9">
            <v>44929</v>
          </cell>
          <cell r="L9" t="str">
            <v>MAURICIO</v>
          </cell>
          <cell r="M9" t="str">
            <v>PASS</v>
          </cell>
          <cell r="N9" t="str">
            <v>CONCENTRICIDAD</v>
          </cell>
        </row>
        <row r="10">
          <cell r="A10">
            <v>20230007</v>
          </cell>
          <cell r="B10">
            <v>44929</v>
          </cell>
          <cell r="C10">
            <v>1</v>
          </cell>
          <cell r="D10" t="str">
            <v>720-4</v>
          </cell>
          <cell r="E10" t="str">
            <v>SPR8</v>
          </cell>
          <cell r="F10" t="str">
            <v>34361270A</v>
          </cell>
          <cell r="G10" t="str">
            <v>N/A</v>
          </cell>
          <cell r="H10" t="str">
            <v>CONCENTRICIDAD</v>
          </cell>
          <cell r="I10">
            <v>12</v>
          </cell>
          <cell r="J10" t="str">
            <v>EVELYN ESTUDILLO</v>
          </cell>
          <cell r="K10">
            <v>44929</v>
          </cell>
          <cell r="L10" t="str">
            <v>MAURICIO</v>
          </cell>
          <cell r="M10" t="str">
            <v>PASS</v>
          </cell>
          <cell r="N10" t="str">
            <v>CONCENTRICIDAD</v>
          </cell>
        </row>
        <row r="11">
          <cell r="A11">
            <v>20230008</v>
          </cell>
          <cell r="B11">
            <v>44929</v>
          </cell>
          <cell r="C11">
            <v>1</v>
          </cell>
          <cell r="D11" t="str">
            <v>720-5</v>
          </cell>
          <cell r="E11" t="str">
            <v>SPR8</v>
          </cell>
          <cell r="F11" t="str">
            <v>34324760D</v>
          </cell>
          <cell r="G11" t="str">
            <v>N/A</v>
          </cell>
          <cell r="H11" t="str">
            <v>CONCENTRICIDAD</v>
          </cell>
          <cell r="I11">
            <v>12</v>
          </cell>
          <cell r="J11" t="str">
            <v>EVELYN ESTUDILLO</v>
          </cell>
          <cell r="K11">
            <v>44929</v>
          </cell>
          <cell r="L11" t="str">
            <v>MAURICIO</v>
          </cell>
          <cell r="M11" t="str">
            <v>PASS</v>
          </cell>
          <cell r="N11" t="str">
            <v>CONCENTRICIDAD</v>
          </cell>
        </row>
        <row r="12">
          <cell r="A12">
            <v>20230009</v>
          </cell>
          <cell r="B12">
            <v>44929</v>
          </cell>
          <cell r="C12">
            <v>1</v>
          </cell>
          <cell r="D12" t="str">
            <v>720-2</v>
          </cell>
          <cell r="E12" t="str">
            <v>SPR8</v>
          </cell>
          <cell r="F12" t="str">
            <v>34235232G</v>
          </cell>
          <cell r="G12" t="str">
            <v>N/A</v>
          </cell>
          <cell r="H12" t="str">
            <v>CONCENTRICIDAD</v>
          </cell>
          <cell r="I12">
            <v>12</v>
          </cell>
          <cell r="J12" t="str">
            <v>EVELYN ESTUDILLO</v>
          </cell>
          <cell r="K12">
            <v>44929</v>
          </cell>
          <cell r="L12" t="str">
            <v>MAURICIO</v>
          </cell>
          <cell r="M12" t="str">
            <v>PASS</v>
          </cell>
          <cell r="N12" t="str">
            <v>CONCENTRICIDAD</v>
          </cell>
        </row>
        <row r="13">
          <cell r="A13">
            <v>20230010</v>
          </cell>
          <cell r="B13">
            <v>44929</v>
          </cell>
          <cell r="C13">
            <v>1</v>
          </cell>
          <cell r="D13" t="str">
            <v>720-1</v>
          </cell>
          <cell r="E13" t="str">
            <v>SPR8</v>
          </cell>
          <cell r="F13" t="str">
            <v>34324760D</v>
          </cell>
          <cell r="G13" t="str">
            <v>N/A</v>
          </cell>
          <cell r="H13" t="str">
            <v>CONCENTRICIDAD</v>
          </cell>
          <cell r="I13">
            <v>12</v>
          </cell>
          <cell r="J13" t="str">
            <v>EVELYN ESTUDILLO</v>
          </cell>
          <cell r="K13">
            <v>44929</v>
          </cell>
          <cell r="L13" t="str">
            <v>MAURICIO</v>
          </cell>
          <cell r="M13" t="str">
            <v>PASS</v>
          </cell>
          <cell r="N13" t="str">
            <v>CONCENTRICIDAD</v>
          </cell>
        </row>
        <row r="14">
          <cell r="A14">
            <v>20230011</v>
          </cell>
          <cell r="B14">
            <v>44929</v>
          </cell>
          <cell r="C14">
            <v>1</v>
          </cell>
          <cell r="D14" t="str">
            <v>720-4</v>
          </cell>
          <cell r="E14" t="str">
            <v>SPR8</v>
          </cell>
          <cell r="F14" t="str">
            <v>34361270A</v>
          </cell>
          <cell r="G14" t="str">
            <v>N/A</v>
          </cell>
          <cell r="H14" t="str">
            <v>CONCENTRICIDAD</v>
          </cell>
          <cell r="I14">
            <v>12</v>
          </cell>
          <cell r="J14" t="str">
            <v>EVELYN ESTUDILLO</v>
          </cell>
          <cell r="K14">
            <v>44929</v>
          </cell>
          <cell r="L14" t="str">
            <v>MAURICIO</v>
          </cell>
          <cell r="M14" t="str">
            <v>PASS</v>
          </cell>
          <cell r="N14" t="str">
            <v>CONCENTRICIDAD</v>
          </cell>
        </row>
        <row r="15">
          <cell r="A15">
            <v>20230012</v>
          </cell>
          <cell r="B15">
            <v>44929</v>
          </cell>
          <cell r="C15">
            <v>1</v>
          </cell>
          <cell r="D15" t="str">
            <v>720-5</v>
          </cell>
          <cell r="E15" t="str">
            <v>SPR8</v>
          </cell>
          <cell r="F15" t="str">
            <v>34324760D</v>
          </cell>
          <cell r="G15" t="str">
            <v>N/A</v>
          </cell>
          <cell r="H15" t="str">
            <v>CONCENTRICIDAD</v>
          </cell>
          <cell r="I15">
            <v>12</v>
          </cell>
          <cell r="J15" t="str">
            <v>EVELYN ESTUDILLO</v>
          </cell>
          <cell r="K15">
            <v>44929</v>
          </cell>
          <cell r="L15" t="str">
            <v>MAURICIO</v>
          </cell>
          <cell r="M15" t="str">
            <v>PASS</v>
          </cell>
          <cell r="N15" t="str">
            <v>CONCENTRICIDAD</v>
          </cell>
        </row>
        <row r="16">
          <cell r="A16">
            <v>20230013</v>
          </cell>
          <cell r="B16">
            <v>44929</v>
          </cell>
          <cell r="C16">
            <v>1</v>
          </cell>
          <cell r="D16" t="str">
            <v>720-2</v>
          </cell>
          <cell r="E16" t="str">
            <v>SPR8</v>
          </cell>
          <cell r="F16" t="str">
            <v>34235232G</v>
          </cell>
          <cell r="G16" t="str">
            <v>N/A</v>
          </cell>
          <cell r="H16" t="str">
            <v>CONCENTRICIDAD</v>
          </cell>
          <cell r="I16">
            <v>12</v>
          </cell>
          <cell r="J16" t="str">
            <v>EVELYN ESTUDILLO</v>
          </cell>
          <cell r="K16">
            <v>44929</v>
          </cell>
          <cell r="L16" t="str">
            <v>MAURICIO</v>
          </cell>
          <cell r="M16" t="str">
            <v>PASS</v>
          </cell>
          <cell r="N16" t="str">
            <v>CONCENTRICIDAD</v>
          </cell>
        </row>
        <row r="17">
          <cell r="A17">
            <v>20230014</v>
          </cell>
          <cell r="B17">
            <v>44929</v>
          </cell>
          <cell r="C17">
            <v>1</v>
          </cell>
          <cell r="D17">
            <v>305</v>
          </cell>
          <cell r="E17" t="str">
            <v>N/A</v>
          </cell>
          <cell r="F17" t="str">
            <v>DGW 3A</v>
          </cell>
          <cell r="G17" t="str">
            <v>N/A</v>
          </cell>
          <cell r="H17" t="str">
            <v>A,B</v>
          </cell>
          <cell r="I17">
            <v>2</v>
          </cell>
          <cell r="J17" t="str">
            <v>Jesus sampayo</v>
          </cell>
          <cell r="K17">
            <v>44929</v>
          </cell>
          <cell r="L17" t="str">
            <v>Gilberto</v>
          </cell>
          <cell r="M17" t="str">
            <v>NO PASS</v>
          </cell>
          <cell r="N17" t="str">
            <v>DWG GAUGE SLEEVE</v>
          </cell>
        </row>
        <row r="18">
          <cell r="A18">
            <v>20230015</v>
          </cell>
          <cell r="B18">
            <v>44929</v>
          </cell>
          <cell r="C18">
            <v>3</v>
          </cell>
          <cell r="D18" t="str">
            <v>720-1</v>
          </cell>
          <cell r="E18" t="str">
            <v>SPR8</v>
          </cell>
          <cell r="F18" t="str">
            <v>34296437C</v>
          </cell>
          <cell r="G18" t="str">
            <v>N/A</v>
          </cell>
          <cell r="H18" t="str">
            <v>CONCENTRICIDAD</v>
          </cell>
          <cell r="I18">
            <v>12</v>
          </cell>
          <cell r="J18" t="str">
            <v>AUGUSTO</v>
          </cell>
          <cell r="K18">
            <v>44929</v>
          </cell>
          <cell r="L18" t="str">
            <v>Eric</v>
          </cell>
          <cell r="M18" t="str">
            <v>PASS</v>
          </cell>
          <cell r="N18"/>
        </row>
        <row r="19">
          <cell r="A19">
            <v>20230016</v>
          </cell>
          <cell r="B19">
            <v>44929</v>
          </cell>
          <cell r="C19">
            <v>3</v>
          </cell>
          <cell r="D19" t="str">
            <v>720-2</v>
          </cell>
          <cell r="E19" t="str">
            <v>SPR8</v>
          </cell>
          <cell r="F19" t="str">
            <v>34235232G</v>
          </cell>
          <cell r="G19" t="str">
            <v>N/A</v>
          </cell>
          <cell r="H19" t="str">
            <v>CONCENTRICIDAD</v>
          </cell>
          <cell r="I19">
            <v>12</v>
          </cell>
          <cell r="J19" t="str">
            <v>AUGUSTO</v>
          </cell>
          <cell r="K19">
            <v>44929</v>
          </cell>
          <cell r="L19" t="str">
            <v>Eric</v>
          </cell>
          <cell r="M19" t="str">
            <v>PASS</v>
          </cell>
          <cell r="N19"/>
        </row>
        <row r="20">
          <cell r="A20">
            <v>20230017</v>
          </cell>
          <cell r="B20">
            <v>44929</v>
          </cell>
          <cell r="C20">
            <v>3</v>
          </cell>
          <cell r="D20" t="str">
            <v>720-5</v>
          </cell>
          <cell r="E20" t="str">
            <v>SPR8</v>
          </cell>
          <cell r="F20" t="str">
            <v>34324760D</v>
          </cell>
          <cell r="G20" t="str">
            <v>N/A</v>
          </cell>
          <cell r="H20" t="str">
            <v>CONCENTRICIDAD</v>
          </cell>
          <cell r="I20">
            <v>12</v>
          </cell>
          <cell r="J20" t="str">
            <v>AUGUSTO</v>
          </cell>
          <cell r="K20">
            <v>44929</v>
          </cell>
          <cell r="L20" t="str">
            <v>Eric</v>
          </cell>
          <cell r="M20" t="str">
            <v>PASS</v>
          </cell>
          <cell r="N20"/>
        </row>
        <row r="21">
          <cell r="A21">
            <v>20230018</v>
          </cell>
          <cell r="B21">
            <v>44929</v>
          </cell>
          <cell r="C21">
            <v>3</v>
          </cell>
          <cell r="D21" t="str">
            <v>720-1</v>
          </cell>
          <cell r="E21" t="str">
            <v>SPR8</v>
          </cell>
          <cell r="F21" t="str">
            <v>34296437C</v>
          </cell>
          <cell r="G21" t="str">
            <v>N/A</v>
          </cell>
          <cell r="H21" t="str">
            <v>CONCENTRICIDAD</v>
          </cell>
          <cell r="I21">
            <v>12</v>
          </cell>
          <cell r="J21" t="str">
            <v>AUGUSTO</v>
          </cell>
          <cell r="K21">
            <v>44929</v>
          </cell>
          <cell r="L21" t="str">
            <v>Eric</v>
          </cell>
          <cell r="M21" t="str">
            <v>PASS</v>
          </cell>
          <cell r="N21"/>
        </row>
        <row r="22">
          <cell r="A22">
            <v>20230019</v>
          </cell>
          <cell r="B22">
            <v>44929</v>
          </cell>
          <cell r="C22">
            <v>3</v>
          </cell>
          <cell r="D22" t="str">
            <v>720-2</v>
          </cell>
          <cell r="E22" t="str">
            <v>SPR8</v>
          </cell>
          <cell r="F22" t="str">
            <v>34235232G</v>
          </cell>
          <cell r="G22" t="str">
            <v>N/A</v>
          </cell>
          <cell r="H22" t="str">
            <v>CONCENTRICIDAD</v>
          </cell>
          <cell r="I22">
            <v>12</v>
          </cell>
          <cell r="J22" t="str">
            <v>AUGUSTO</v>
          </cell>
          <cell r="K22">
            <v>44929</v>
          </cell>
          <cell r="L22" t="str">
            <v>Eric</v>
          </cell>
          <cell r="M22" t="str">
            <v>PASS</v>
          </cell>
          <cell r="N22"/>
        </row>
        <row r="23">
          <cell r="A23">
            <v>20230020</v>
          </cell>
          <cell r="B23">
            <v>44929</v>
          </cell>
          <cell r="C23">
            <v>3</v>
          </cell>
          <cell r="D23" t="str">
            <v>720-5</v>
          </cell>
          <cell r="E23" t="str">
            <v>SPR8</v>
          </cell>
          <cell r="F23" t="str">
            <v>34324760D</v>
          </cell>
          <cell r="G23" t="str">
            <v>N/A</v>
          </cell>
          <cell r="H23" t="str">
            <v>CONCENTRICIDAD</v>
          </cell>
          <cell r="I23">
            <v>12</v>
          </cell>
          <cell r="J23" t="str">
            <v>AUGUSTO</v>
          </cell>
          <cell r="K23">
            <v>44929</v>
          </cell>
          <cell r="L23" t="str">
            <v>Eric</v>
          </cell>
          <cell r="M23" t="str">
            <v>PASS</v>
          </cell>
          <cell r="N23"/>
        </row>
        <row r="24">
          <cell r="A24">
            <v>20230021</v>
          </cell>
          <cell r="B24">
            <v>44929</v>
          </cell>
          <cell r="C24">
            <v>3</v>
          </cell>
          <cell r="D24" t="str">
            <v>720-4</v>
          </cell>
          <cell r="E24" t="str">
            <v>SPR8</v>
          </cell>
          <cell r="F24" t="str">
            <v>34361270A</v>
          </cell>
          <cell r="G24" t="str">
            <v>N/A</v>
          </cell>
          <cell r="H24" t="str">
            <v>CONCENTRICIDAD</v>
          </cell>
          <cell r="I24">
            <v>12</v>
          </cell>
          <cell r="J24" t="str">
            <v>AUGUSTO</v>
          </cell>
          <cell r="K24">
            <v>44929</v>
          </cell>
          <cell r="L24" t="str">
            <v>Ernesto</v>
          </cell>
          <cell r="M24" t="str">
            <v>PASS</v>
          </cell>
          <cell r="N24" t="str">
            <v>CONCENTRICIDAD</v>
          </cell>
        </row>
        <row r="25">
          <cell r="A25">
            <v>20230022</v>
          </cell>
          <cell r="B25">
            <v>44929</v>
          </cell>
          <cell r="C25">
            <v>3</v>
          </cell>
          <cell r="D25" t="str">
            <v>720-4</v>
          </cell>
          <cell r="E25" t="str">
            <v>SPR8</v>
          </cell>
          <cell r="F25" t="str">
            <v>34361270A</v>
          </cell>
          <cell r="G25" t="str">
            <v>N/A</v>
          </cell>
          <cell r="H25" t="str">
            <v>OVALIDAD</v>
          </cell>
          <cell r="I25">
            <v>12</v>
          </cell>
          <cell r="J25" t="str">
            <v>AUGUSTO</v>
          </cell>
          <cell r="K25">
            <v>44929</v>
          </cell>
          <cell r="L25" t="str">
            <v>Ernesto</v>
          </cell>
          <cell r="M25" t="str">
            <v>PASS</v>
          </cell>
          <cell r="N25" t="str">
            <v>OVALIDAD</v>
          </cell>
        </row>
        <row r="26">
          <cell r="A26">
            <v>20230023</v>
          </cell>
          <cell r="B26">
            <v>44929</v>
          </cell>
          <cell r="C26">
            <v>3</v>
          </cell>
          <cell r="D26" t="str">
            <v>720-6</v>
          </cell>
          <cell r="E26" t="str">
            <v>SPR8</v>
          </cell>
          <cell r="F26" t="str">
            <v>A020R6133</v>
          </cell>
          <cell r="G26" t="str">
            <v>N/A</v>
          </cell>
          <cell r="H26" t="str">
            <v>CONCENTRICIDAD</v>
          </cell>
          <cell r="I26">
            <v>12</v>
          </cell>
          <cell r="J26" t="str">
            <v>AUGUSTO</v>
          </cell>
          <cell r="K26">
            <v>44929</v>
          </cell>
          <cell r="L26" t="str">
            <v>Ernesto</v>
          </cell>
          <cell r="M26" t="str">
            <v>PASS</v>
          </cell>
          <cell r="N26" t="str">
            <v>CONCENTRICIDAD</v>
          </cell>
        </row>
        <row r="27">
          <cell r="A27">
            <v>20230024</v>
          </cell>
          <cell r="B27">
            <v>44929</v>
          </cell>
          <cell r="C27">
            <v>3</v>
          </cell>
          <cell r="D27" t="str">
            <v>720-6</v>
          </cell>
          <cell r="E27" t="str">
            <v>SPR8</v>
          </cell>
          <cell r="F27" t="str">
            <v>A020R613B</v>
          </cell>
          <cell r="G27" t="str">
            <v>N/A</v>
          </cell>
          <cell r="H27" t="str">
            <v>OVALIDAD</v>
          </cell>
          <cell r="I27">
            <v>12</v>
          </cell>
          <cell r="J27" t="str">
            <v>AUGUSTO</v>
          </cell>
          <cell r="K27">
            <v>44929</v>
          </cell>
          <cell r="L27" t="str">
            <v>Ernesto</v>
          </cell>
          <cell r="M27" t="str">
            <v>PASS</v>
          </cell>
          <cell r="N27" t="str">
            <v>OVALIDAD</v>
          </cell>
        </row>
        <row r="28">
          <cell r="A28">
            <v>20230025</v>
          </cell>
          <cell r="B28">
            <v>44930</v>
          </cell>
          <cell r="C28">
            <v>1</v>
          </cell>
          <cell r="D28" t="str">
            <v>716-2</v>
          </cell>
          <cell r="E28" t="str">
            <v>N/A</v>
          </cell>
          <cell r="F28" t="str">
            <v>GAUGE EST#5</v>
          </cell>
          <cell r="G28" t="str">
            <v>N/A</v>
          </cell>
          <cell r="H28" t="str">
            <v>DIS 56.9 ± 0.05</v>
          </cell>
          <cell r="I28">
            <v>1</v>
          </cell>
          <cell r="J28" t="str">
            <v>PAUL COUTTOLENC</v>
          </cell>
          <cell r="K28">
            <v>44930</v>
          </cell>
          <cell r="L28" t="str">
            <v>MAURICIO</v>
          </cell>
          <cell r="M28" t="str">
            <v>PASS</v>
          </cell>
          <cell r="N28" t="str">
            <v>PLANO MARCADO</v>
          </cell>
        </row>
        <row r="29">
          <cell r="A29">
            <v>20230026</v>
          </cell>
          <cell r="B29">
            <v>44930</v>
          </cell>
          <cell r="C29">
            <v>1</v>
          </cell>
          <cell r="D29" t="str">
            <v>181-1</v>
          </cell>
          <cell r="E29"/>
          <cell r="F29" t="str">
            <v>34254657B</v>
          </cell>
          <cell r="G29" t="str">
            <v>N/A</v>
          </cell>
          <cell r="H29">
            <v>15</v>
          </cell>
          <cell r="I29" t="str">
            <v>4 PCS</v>
          </cell>
          <cell r="J29" t="str">
            <v>Laura Castillo</v>
          </cell>
          <cell r="K29">
            <v>44930</v>
          </cell>
          <cell r="L29" t="str">
            <v>Nohemi</v>
          </cell>
          <cell r="M29" t="str">
            <v>PASS</v>
          </cell>
          <cell r="N29" t="str">
            <v>CH34216571 A16</v>
          </cell>
        </row>
        <row r="30">
          <cell r="A30">
            <v>20230027</v>
          </cell>
          <cell r="B30">
            <v>44930</v>
          </cell>
          <cell r="C30">
            <v>1</v>
          </cell>
          <cell r="D30" t="str">
            <v>714-2</v>
          </cell>
          <cell r="E30" t="str">
            <v>P703</v>
          </cell>
          <cell r="F30" t="str">
            <v>34358865D</v>
          </cell>
          <cell r="G30" t="str">
            <v>N/A</v>
          </cell>
          <cell r="H30" t="str">
            <v>15,16,17,19</v>
          </cell>
          <cell r="I30">
            <v>4</v>
          </cell>
          <cell r="J30" t="str">
            <v>Laura Castillo</v>
          </cell>
          <cell r="K30">
            <v>44930</v>
          </cell>
          <cell r="L30" t="str">
            <v>Nohemi</v>
          </cell>
          <cell r="M30" t="str">
            <v>PASS</v>
          </cell>
          <cell r="N30" t="str">
            <v>CH34259298 A06</v>
          </cell>
        </row>
        <row r="31">
          <cell r="A31">
            <v>20230028</v>
          </cell>
          <cell r="B31">
            <v>44930</v>
          </cell>
          <cell r="C31">
            <v>1</v>
          </cell>
          <cell r="D31">
            <v>462</v>
          </cell>
          <cell r="E31" t="str">
            <v>N/A</v>
          </cell>
          <cell r="F31" t="str">
            <v>DWG 3B</v>
          </cell>
          <cell r="G31" t="str">
            <v>N/A</v>
          </cell>
          <cell r="H31" t="str">
            <v>A,B</v>
          </cell>
          <cell r="I31">
            <v>1</v>
          </cell>
          <cell r="J31" t="str">
            <v>Jesus sampayo</v>
          </cell>
          <cell r="K31">
            <v>44930</v>
          </cell>
          <cell r="L31" t="str">
            <v>MAURICIO</v>
          </cell>
          <cell r="M31" t="str">
            <v>NO PASS</v>
          </cell>
          <cell r="N31" t="str">
            <v>DWG GAUGE CONECTOR</v>
          </cell>
        </row>
        <row r="32">
          <cell r="A32">
            <v>20230029</v>
          </cell>
          <cell r="B32">
            <v>44930</v>
          </cell>
          <cell r="C32">
            <v>1</v>
          </cell>
          <cell r="D32" t="str">
            <v>N/A</v>
          </cell>
          <cell r="E32" t="str">
            <v>N/A</v>
          </cell>
          <cell r="F32" t="str">
            <v>TURBINA</v>
          </cell>
          <cell r="G32" t="str">
            <v>N/A</v>
          </cell>
          <cell r="H32" t="str">
            <v>DIS 80.9 + 0.57 - 0.62</v>
          </cell>
          <cell r="I32">
            <v>2</v>
          </cell>
          <cell r="J32" t="str">
            <v>CRISTIAN ARNOLDO</v>
          </cell>
          <cell r="K32">
            <v>44930</v>
          </cell>
          <cell r="L32" t="str">
            <v>MAURICIO</v>
          </cell>
          <cell r="M32" t="str">
            <v>PASS</v>
          </cell>
          <cell r="N32" t="str">
            <v>PLANO MARCADO</v>
          </cell>
        </row>
        <row r="33">
          <cell r="A33">
            <v>20230030</v>
          </cell>
          <cell r="B33">
            <v>44930</v>
          </cell>
          <cell r="C33">
            <v>1</v>
          </cell>
          <cell r="D33" t="str">
            <v>N/A</v>
          </cell>
          <cell r="E33" t="str">
            <v>N/A</v>
          </cell>
          <cell r="F33" t="str">
            <v>TURBINA</v>
          </cell>
          <cell r="G33" t="str">
            <v>N/A</v>
          </cell>
          <cell r="H33" t="str">
            <v>DIS 88.61 + 0.10 - 0.05</v>
          </cell>
          <cell r="I33">
            <v>1</v>
          </cell>
          <cell r="J33" t="str">
            <v>CRISTIAN ARNOLDO</v>
          </cell>
          <cell r="K33">
            <v>44930</v>
          </cell>
          <cell r="L33" t="str">
            <v>MAURICIO</v>
          </cell>
          <cell r="M33" t="str">
            <v>PASS</v>
          </cell>
          <cell r="N33" t="str">
            <v>PLANO MARCADO</v>
          </cell>
        </row>
        <row r="34">
          <cell r="A34">
            <v>20230031</v>
          </cell>
          <cell r="B34">
            <v>44930</v>
          </cell>
          <cell r="C34">
            <v>1</v>
          </cell>
          <cell r="D34" t="str">
            <v>720-2</v>
          </cell>
          <cell r="E34" t="str">
            <v>P703</v>
          </cell>
          <cell r="F34" t="str">
            <v>34358865D</v>
          </cell>
          <cell r="G34" t="str">
            <v>N/A</v>
          </cell>
          <cell r="H34" t="str">
            <v>CONCENTRICIDAD</v>
          </cell>
          <cell r="I34" t="str">
            <v>6 PCS</v>
          </cell>
          <cell r="J34" t="str">
            <v>Laura Castillo</v>
          </cell>
          <cell r="K34">
            <v>44930</v>
          </cell>
          <cell r="L34" t="str">
            <v>Nohemi</v>
          </cell>
          <cell r="M34" t="str">
            <v>PASS</v>
          </cell>
          <cell r="N34" t="str">
            <v>CONCENTRICIDAD</v>
          </cell>
        </row>
        <row r="35">
          <cell r="A35">
            <v>20230032</v>
          </cell>
          <cell r="B35">
            <v>44930</v>
          </cell>
          <cell r="C35">
            <v>1</v>
          </cell>
          <cell r="D35" t="str">
            <v>720-2</v>
          </cell>
          <cell r="E35" t="str">
            <v>P703</v>
          </cell>
          <cell r="F35" t="str">
            <v>34358865D</v>
          </cell>
          <cell r="G35" t="str">
            <v>N/A</v>
          </cell>
          <cell r="H35" t="str">
            <v>OVALIDAD</v>
          </cell>
          <cell r="I35" t="str">
            <v>6 PCS</v>
          </cell>
          <cell r="J35" t="str">
            <v>Laura Castillo</v>
          </cell>
          <cell r="K35">
            <v>44930</v>
          </cell>
          <cell r="L35" t="str">
            <v>Nohemi</v>
          </cell>
          <cell r="M35" t="str">
            <v>PASS</v>
          </cell>
          <cell r="N35" t="str">
            <v>OVALIDAD</v>
          </cell>
        </row>
        <row r="36">
          <cell r="A36">
            <v>20230033</v>
          </cell>
          <cell r="B36">
            <v>44930</v>
          </cell>
          <cell r="C36">
            <v>1</v>
          </cell>
          <cell r="D36" t="str">
            <v>720-2</v>
          </cell>
          <cell r="E36" t="str">
            <v>SPR8</v>
          </cell>
          <cell r="F36" t="str">
            <v>34296441C</v>
          </cell>
          <cell r="G36" t="str">
            <v>N/A</v>
          </cell>
          <cell r="H36" t="str">
            <v>CONCENTRICIDAD</v>
          </cell>
          <cell r="I36">
            <v>12</v>
          </cell>
          <cell r="J36" t="str">
            <v>EVELYN ESTUDILLO</v>
          </cell>
          <cell r="K36">
            <v>44930</v>
          </cell>
          <cell r="L36" t="str">
            <v>MAURICIO</v>
          </cell>
          <cell r="M36" t="str">
            <v>PASS</v>
          </cell>
          <cell r="N36" t="str">
            <v>CONCENTRICIDAD</v>
          </cell>
        </row>
        <row r="37">
          <cell r="A37">
            <v>20230034</v>
          </cell>
          <cell r="B37">
            <v>44930</v>
          </cell>
          <cell r="C37">
            <v>1</v>
          </cell>
          <cell r="D37" t="str">
            <v>720-3</v>
          </cell>
          <cell r="E37" t="str">
            <v>SPR8</v>
          </cell>
          <cell r="F37" t="str">
            <v>34355195B</v>
          </cell>
          <cell r="G37" t="str">
            <v>N/A</v>
          </cell>
          <cell r="H37" t="str">
            <v>CONCENTRICIDAD</v>
          </cell>
          <cell r="I37">
            <v>12</v>
          </cell>
          <cell r="J37" t="str">
            <v>EVELYN ESTUDILLO</v>
          </cell>
          <cell r="K37">
            <v>44930</v>
          </cell>
          <cell r="L37" t="str">
            <v>MAURICIO</v>
          </cell>
          <cell r="M37" t="str">
            <v>PASS</v>
          </cell>
          <cell r="N37" t="str">
            <v>CONCENTRICIDAD</v>
          </cell>
        </row>
        <row r="38">
          <cell r="A38">
            <v>20230035</v>
          </cell>
          <cell r="B38">
            <v>44930</v>
          </cell>
          <cell r="C38">
            <v>1</v>
          </cell>
          <cell r="D38" t="str">
            <v>720-6</v>
          </cell>
          <cell r="E38" t="str">
            <v>SPR8</v>
          </cell>
          <cell r="F38" t="str">
            <v>A020R613B</v>
          </cell>
          <cell r="G38" t="str">
            <v>N/A</v>
          </cell>
          <cell r="H38" t="str">
            <v>CONCENTRICIDAD</v>
          </cell>
          <cell r="I38">
            <v>12</v>
          </cell>
          <cell r="J38" t="str">
            <v>EVELYN ESTUDILLO</v>
          </cell>
          <cell r="K38">
            <v>44930</v>
          </cell>
          <cell r="L38" t="str">
            <v>MAURICIO</v>
          </cell>
          <cell r="M38" t="str">
            <v>PASS</v>
          </cell>
          <cell r="N38" t="str">
            <v>CONCENTRICIDAD</v>
          </cell>
        </row>
        <row r="39">
          <cell r="A39">
            <v>20230036</v>
          </cell>
          <cell r="B39">
            <v>44930</v>
          </cell>
          <cell r="C39">
            <v>1</v>
          </cell>
          <cell r="D39" t="str">
            <v>720-1</v>
          </cell>
          <cell r="E39" t="str">
            <v>SPR8</v>
          </cell>
          <cell r="F39" t="str">
            <v>34324759E</v>
          </cell>
          <cell r="G39" t="str">
            <v>N/A</v>
          </cell>
          <cell r="H39" t="str">
            <v>CONCENTRICIDAD</v>
          </cell>
          <cell r="I39">
            <v>12</v>
          </cell>
          <cell r="J39" t="str">
            <v>EVELYN ESTUDILLO</v>
          </cell>
          <cell r="K39">
            <v>44930</v>
          </cell>
          <cell r="L39" t="str">
            <v>MAURICIO</v>
          </cell>
          <cell r="M39" t="str">
            <v>PASS</v>
          </cell>
          <cell r="N39" t="str">
            <v>CONCENTRICIDAD</v>
          </cell>
        </row>
        <row r="40">
          <cell r="A40">
            <v>20230037</v>
          </cell>
          <cell r="B40">
            <v>44930</v>
          </cell>
          <cell r="C40">
            <v>1</v>
          </cell>
          <cell r="D40" t="str">
            <v>720-5</v>
          </cell>
          <cell r="E40" t="str">
            <v>SPR8</v>
          </cell>
          <cell r="F40" t="str">
            <v>34324759E</v>
          </cell>
          <cell r="G40" t="str">
            <v>N/A</v>
          </cell>
          <cell r="H40" t="str">
            <v>CONCENTRICIDAD</v>
          </cell>
          <cell r="I40">
            <v>12</v>
          </cell>
          <cell r="J40" t="str">
            <v>EVELYN ESTUDILLO</v>
          </cell>
          <cell r="K40">
            <v>44930</v>
          </cell>
          <cell r="L40" t="str">
            <v>MAURICIO</v>
          </cell>
          <cell r="M40" t="str">
            <v>PASS</v>
          </cell>
          <cell r="N40" t="str">
            <v>CONCENTRICIDAD</v>
          </cell>
        </row>
        <row r="41">
          <cell r="A41">
            <v>20230038</v>
          </cell>
          <cell r="B41">
            <v>44930</v>
          </cell>
          <cell r="C41">
            <v>1</v>
          </cell>
          <cell r="D41" t="str">
            <v>720-4</v>
          </cell>
          <cell r="E41" t="str">
            <v>SPR8</v>
          </cell>
          <cell r="F41" t="str">
            <v>34361271A</v>
          </cell>
          <cell r="G41" t="str">
            <v>N/A</v>
          </cell>
          <cell r="H41" t="str">
            <v>CONCENTRICIDAD</v>
          </cell>
          <cell r="I41">
            <v>12</v>
          </cell>
          <cell r="J41" t="str">
            <v>EVELYN ESTUDILLO</v>
          </cell>
          <cell r="K41">
            <v>44930</v>
          </cell>
          <cell r="L41" t="str">
            <v>MAURICIO</v>
          </cell>
          <cell r="M41" t="str">
            <v>PASS</v>
          </cell>
          <cell r="N41" t="str">
            <v>CONCENTRICIDAD</v>
          </cell>
        </row>
        <row r="42">
          <cell r="A42">
            <v>20230039</v>
          </cell>
          <cell r="B42">
            <v>44930</v>
          </cell>
          <cell r="C42">
            <v>1</v>
          </cell>
          <cell r="D42" t="str">
            <v>720-2</v>
          </cell>
          <cell r="E42" t="str">
            <v>SPR8</v>
          </cell>
          <cell r="F42" t="str">
            <v>34296441C</v>
          </cell>
          <cell r="G42" t="str">
            <v>N/A</v>
          </cell>
          <cell r="H42" t="str">
            <v>OVALIDAD</v>
          </cell>
          <cell r="I42">
            <v>12</v>
          </cell>
          <cell r="J42" t="str">
            <v>EVELYN ESTUDILLO</v>
          </cell>
          <cell r="K42">
            <v>44930</v>
          </cell>
          <cell r="L42" t="str">
            <v>MAURICIO</v>
          </cell>
          <cell r="M42" t="str">
            <v>PASS</v>
          </cell>
          <cell r="N42" t="str">
            <v>OVALIDAD</v>
          </cell>
        </row>
        <row r="43">
          <cell r="A43">
            <v>20230040</v>
          </cell>
          <cell r="B43">
            <v>44930</v>
          </cell>
          <cell r="C43">
            <v>1</v>
          </cell>
          <cell r="D43" t="str">
            <v>720-3</v>
          </cell>
          <cell r="E43" t="str">
            <v>SPR8</v>
          </cell>
          <cell r="F43" t="str">
            <v>34355195B</v>
          </cell>
          <cell r="G43" t="str">
            <v>N/A</v>
          </cell>
          <cell r="H43" t="str">
            <v>OVALIDAD</v>
          </cell>
          <cell r="I43">
            <v>12</v>
          </cell>
          <cell r="J43" t="str">
            <v>EVELYN ESTUDILLO</v>
          </cell>
          <cell r="K43">
            <v>44930</v>
          </cell>
          <cell r="L43" t="str">
            <v>MAURICIO</v>
          </cell>
          <cell r="M43" t="str">
            <v>PASS</v>
          </cell>
          <cell r="N43" t="str">
            <v>OVALIDAD</v>
          </cell>
        </row>
        <row r="44">
          <cell r="A44">
            <v>20230041</v>
          </cell>
          <cell r="B44">
            <v>44930</v>
          </cell>
          <cell r="C44">
            <v>1</v>
          </cell>
          <cell r="D44" t="str">
            <v>720-6</v>
          </cell>
          <cell r="E44" t="str">
            <v>SPR8</v>
          </cell>
          <cell r="F44" t="str">
            <v>A020R613B</v>
          </cell>
          <cell r="G44" t="str">
            <v>N/A</v>
          </cell>
          <cell r="H44" t="str">
            <v>OVALIDAD</v>
          </cell>
          <cell r="I44">
            <v>12</v>
          </cell>
          <cell r="J44" t="str">
            <v>EVELYN ESTUDILLO</v>
          </cell>
          <cell r="K44">
            <v>44930</v>
          </cell>
          <cell r="L44" t="str">
            <v>MAURICIO</v>
          </cell>
          <cell r="M44" t="str">
            <v>PASS</v>
          </cell>
          <cell r="N44" t="str">
            <v>OVALIDAD</v>
          </cell>
        </row>
        <row r="45">
          <cell r="A45">
            <v>20230042</v>
          </cell>
          <cell r="B45">
            <v>44930</v>
          </cell>
          <cell r="C45">
            <v>1</v>
          </cell>
          <cell r="D45" t="str">
            <v>720-1</v>
          </cell>
          <cell r="E45" t="str">
            <v>SPR8</v>
          </cell>
          <cell r="F45" t="str">
            <v>34324759E</v>
          </cell>
          <cell r="G45" t="str">
            <v>N/A</v>
          </cell>
          <cell r="H45" t="str">
            <v>OVALIDAD</v>
          </cell>
          <cell r="I45">
            <v>12</v>
          </cell>
          <cell r="J45" t="str">
            <v>EVELYN ESTUDILLO</v>
          </cell>
          <cell r="K45">
            <v>44930</v>
          </cell>
          <cell r="L45" t="str">
            <v>MAURICIO</v>
          </cell>
          <cell r="M45" t="str">
            <v>PASS</v>
          </cell>
          <cell r="N45" t="str">
            <v>OVALIDAD</v>
          </cell>
        </row>
        <row r="46">
          <cell r="A46">
            <v>20230043</v>
          </cell>
          <cell r="B46">
            <v>44930</v>
          </cell>
          <cell r="C46">
            <v>1</v>
          </cell>
          <cell r="D46" t="str">
            <v>720-5</v>
          </cell>
          <cell r="E46" t="str">
            <v>SPR8</v>
          </cell>
          <cell r="F46" t="str">
            <v>34324759E</v>
          </cell>
          <cell r="G46" t="str">
            <v>N/A</v>
          </cell>
          <cell r="H46" t="str">
            <v>OVALIDAD</v>
          </cell>
          <cell r="I46">
            <v>12</v>
          </cell>
          <cell r="J46" t="str">
            <v>EVELYN ESTUDILLO</v>
          </cell>
          <cell r="K46">
            <v>44930</v>
          </cell>
          <cell r="L46" t="str">
            <v>MAURICIO</v>
          </cell>
          <cell r="M46" t="str">
            <v>PASS</v>
          </cell>
          <cell r="N46" t="str">
            <v>OVALIDAD</v>
          </cell>
        </row>
        <row r="47">
          <cell r="A47">
            <v>20230044</v>
          </cell>
          <cell r="B47">
            <v>44930</v>
          </cell>
          <cell r="C47">
            <v>1</v>
          </cell>
          <cell r="D47" t="str">
            <v>720-4</v>
          </cell>
          <cell r="E47" t="str">
            <v>SPR8</v>
          </cell>
          <cell r="F47" t="str">
            <v>34361271A</v>
          </cell>
          <cell r="G47" t="str">
            <v>N/A</v>
          </cell>
          <cell r="H47" t="str">
            <v>OVALIDAD</v>
          </cell>
          <cell r="I47">
            <v>12</v>
          </cell>
          <cell r="J47" t="str">
            <v>EVELYN ESTUDILLO</v>
          </cell>
          <cell r="K47">
            <v>44930</v>
          </cell>
          <cell r="L47" t="str">
            <v>MAURICIO</v>
          </cell>
          <cell r="M47" t="str">
            <v>PASS</v>
          </cell>
          <cell r="N47" t="str">
            <v>OVALIDAD</v>
          </cell>
        </row>
        <row r="48">
          <cell r="A48">
            <v>20230045</v>
          </cell>
          <cell r="B48">
            <v>44930</v>
          </cell>
          <cell r="C48">
            <v>1</v>
          </cell>
          <cell r="D48" t="str">
            <v>702-5</v>
          </cell>
          <cell r="E48" t="str">
            <v>SPR4</v>
          </cell>
          <cell r="F48" t="str">
            <v>34301420B</v>
          </cell>
          <cell r="G48" t="str">
            <v>N/A</v>
          </cell>
          <cell r="H48" t="str">
            <v>41,45,37,42</v>
          </cell>
          <cell r="I48" t="str">
            <v>30 PCS</v>
          </cell>
          <cell r="J48" t="str">
            <v>Gabriel Ramos</v>
          </cell>
          <cell r="K48">
            <v>44930</v>
          </cell>
          <cell r="L48" t="str">
            <v>Nohemi</v>
          </cell>
          <cell r="M48" t="str">
            <v>NO PASS</v>
          </cell>
          <cell r="N48"/>
        </row>
        <row r="49">
          <cell r="A49">
            <v>20230046</v>
          </cell>
          <cell r="B49">
            <v>44930</v>
          </cell>
          <cell r="C49">
            <v>1</v>
          </cell>
          <cell r="D49" t="str">
            <v>MIDLAND</v>
          </cell>
          <cell r="E49" t="str">
            <v>N/A</v>
          </cell>
          <cell r="F49" t="str">
            <v>A014N931B</v>
          </cell>
          <cell r="G49" t="str">
            <v>N/A</v>
          </cell>
          <cell r="H49">
            <v>431</v>
          </cell>
          <cell r="I49">
            <v>3</v>
          </cell>
          <cell r="J49" t="str">
            <v>NICOLAS MENDOZA</v>
          </cell>
          <cell r="K49">
            <v>44930</v>
          </cell>
          <cell r="L49" t="str">
            <v>MAURICIO</v>
          </cell>
          <cell r="M49" t="str">
            <v>NO PASS</v>
          </cell>
          <cell r="N49" t="str">
            <v>PLANO MARCADO</v>
          </cell>
        </row>
        <row r="50">
          <cell r="A50">
            <v>20230047</v>
          </cell>
          <cell r="B50">
            <v>44930</v>
          </cell>
          <cell r="C50">
            <v>3</v>
          </cell>
          <cell r="D50" t="str">
            <v>720-1</v>
          </cell>
          <cell r="E50" t="str">
            <v>SPR8</v>
          </cell>
          <cell r="F50" t="str">
            <v>34324759E</v>
          </cell>
          <cell r="G50" t="str">
            <v>N/A</v>
          </cell>
          <cell r="H50" t="str">
            <v>CONCENTRICIDAD</v>
          </cell>
          <cell r="I50">
            <v>12</v>
          </cell>
          <cell r="J50" t="str">
            <v>AUGUSTO</v>
          </cell>
          <cell r="K50">
            <v>44930</v>
          </cell>
          <cell r="L50" t="str">
            <v>ERIC</v>
          </cell>
          <cell r="M50" t="str">
            <v>PASS</v>
          </cell>
          <cell r="N50" t="str">
            <v>CONCENTRICIDAD</v>
          </cell>
        </row>
        <row r="51">
          <cell r="A51">
            <v>20230048</v>
          </cell>
          <cell r="B51">
            <v>44930</v>
          </cell>
          <cell r="C51">
            <v>3</v>
          </cell>
          <cell r="D51" t="str">
            <v>720-4</v>
          </cell>
          <cell r="E51" t="str">
            <v>SPR8</v>
          </cell>
          <cell r="F51" t="str">
            <v>34309474B</v>
          </cell>
          <cell r="G51" t="str">
            <v>N/A</v>
          </cell>
          <cell r="H51" t="str">
            <v>CONCENTRICIDAD</v>
          </cell>
          <cell r="I51">
            <v>12</v>
          </cell>
          <cell r="J51" t="str">
            <v>AUGUSTO</v>
          </cell>
          <cell r="K51">
            <v>44930</v>
          </cell>
          <cell r="L51" t="str">
            <v>ERIC</v>
          </cell>
          <cell r="M51" t="str">
            <v>PASS</v>
          </cell>
          <cell r="N51" t="str">
            <v>CONCENTRICIDAD</v>
          </cell>
        </row>
        <row r="52">
          <cell r="A52">
            <v>20230049</v>
          </cell>
          <cell r="B52">
            <v>44930</v>
          </cell>
          <cell r="C52">
            <v>3</v>
          </cell>
          <cell r="D52" t="str">
            <v>720-5</v>
          </cell>
          <cell r="E52" t="str">
            <v>SPR8</v>
          </cell>
          <cell r="F52" t="str">
            <v>34324759E</v>
          </cell>
          <cell r="G52" t="str">
            <v>N/A</v>
          </cell>
          <cell r="H52" t="str">
            <v>CONCENTRICIDAD</v>
          </cell>
          <cell r="I52">
            <v>12</v>
          </cell>
          <cell r="J52" t="str">
            <v>AUGUSTO</v>
          </cell>
          <cell r="K52">
            <v>44930</v>
          </cell>
          <cell r="L52" t="str">
            <v>ERIC</v>
          </cell>
          <cell r="M52" t="str">
            <v>PASS</v>
          </cell>
          <cell r="N52" t="str">
            <v>CONCENTRICIDAD</v>
          </cell>
        </row>
        <row r="53">
          <cell r="A53">
            <v>20230050</v>
          </cell>
          <cell r="B53">
            <v>44930</v>
          </cell>
          <cell r="C53">
            <v>3</v>
          </cell>
          <cell r="D53" t="str">
            <v>720-1</v>
          </cell>
          <cell r="E53" t="str">
            <v>SPR8</v>
          </cell>
          <cell r="F53" t="str">
            <v>34324759E</v>
          </cell>
          <cell r="G53" t="str">
            <v>N/A</v>
          </cell>
          <cell r="H53" t="str">
            <v>OVALIDAD</v>
          </cell>
          <cell r="I53">
            <v>12</v>
          </cell>
          <cell r="J53" t="str">
            <v>AUGUSTO</v>
          </cell>
          <cell r="K53">
            <v>44930</v>
          </cell>
          <cell r="L53" t="str">
            <v>ERIC</v>
          </cell>
          <cell r="M53" t="str">
            <v>PASS</v>
          </cell>
          <cell r="N53" t="str">
            <v>CONCENTRICIDAD</v>
          </cell>
        </row>
        <row r="54">
          <cell r="A54">
            <v>20230051</v>
          </cell>
          <cell r="B54">
            <v>44930</v>
          </cell>
          <cell r="C54">
            <v>3</v>
          </cell>
          <cell r="D54" t="str">
            <v>720-4</v>
          </cell>
          <cell r="E54" t="str">
            <v>SPR8</v>
          </cell>
          <cell r="F54" t="str">
            <v>34309474B</v>
          </cell>
          <cell r="G54" t="str">
            <v>N/A</v>
          </cell>
          <cell r="H54" t="str">
            <v>OVALIDAD</v>
          </cell>
          <cell r="I54">
            <v>12</v>
          </cell>
          <cell r="J54" t="str">
            <v>AUGUSTO</v>
          </cell>
          <cell r="K54">
            <v>44930</v>
          </cell>
          <cell r="L54" t="str">
            <v>ERIC</v>
          </cell>
          <cell r="M54" t="str">
            <v>PASS</v>
          </cell>
          <cell r="N54" t="str">
            <v>CONCENTRICIDAD</v>
          </cell>
        </row>
        <row r="55">
          <cell r="A55">
            <v>20230052</v>
          </cell>
          <cell r="B55">
            <v>44930</v>
          </cell>
          <cell r="C55">
            <v>3</v>
          </cell>
          <cell r="D55" t="str">
            <v>720-5</v>
          </cell>
          <cell r="E55" t="str">
            <v>SPR8</v>
          </cell>
          <cell r="F55" t="str">
            <v>34324759E</v>
          </cell>
          <cell r="G55" t="str">
            <v>N/A</v>
          </cell>
          <cell r="H55" t="str">
            <v>OVALIDAD</v>
          </cell>
          <cell r="I55">
            <v>12</v>
          </cell>
          <cell r="J55" t="str">
            <v>AUGUSTO</v>
          </cell>
          <cell r="K55">
            <v>44930</v>
          </cell>
          <cell r="L55" t="str">
            <v>ERIC</v>
          </cell>
          <cell r="M55" t="str">
            <v>PASS</v>
          </cell>
          <cell r="N55" t="str">
            <v>CONCENTRICIDAD</v>
          </cell>
        </row>
        <row r="56">
          <cell r="A56">
            <v>20230053</v>
          </cell>
          <cell r="B56">
            <v>44930</v>
          </cell>
          <cell r="C56">
            <v>3</v>
          </cell>
          <cell r="D56" t="str">
            <v>720-2</v>
          </cell>
          <cell r="E56" t="str">
            <v>SPR8</v>
          </cell>
          <cell r="F56" t="str">
            <v>34301470D</v>
          </cell>
          <cell r="G56" t="str">
            <v>N/A</v>
          </cell>
          <cell r="H56" t="str">
            <v>CONCENTRICIDAD</v>
          </cell>
          <cell r="I56">
            <v>6</v>
          </cell>
          <cell r="J56" t="str">
            <v>AUGUSTO</v>
          </cell>
          <cell r="K56">
            <v>44930</v>
          </cell>
          <cell r="L56" t="str">
            <v>Ernesto</v>
          </cell>
          <cell r="M56" t="str">
            <v>PASS</v>
          </cell>
          <cell r="N56" t="str">
            <v>CONCENTRICIDAD</v>
          </cell>
        </row>
        <row r="57">
          <cell r="A57">
            <v>20230054</v>
          </cell>
          <cell r="B57">
            <v>44930</v>
          </cell>
          <cell r="C57">
            <v>3</v>
          </cell>
          <cell r="D57" t="str">
            <v>720-2</v>
          </cell>
          <cell r="E57" t="str">
            <v>SPR8</v>
          </cell>
          <cell r="F57" t="str">
            <v>34301470D</v>
          </cell>
          <cell r="G57" t="str">
            <v>N/A</v>
          </cell>
          <cell r="H57" t="str">
            <v>OVALIDAD</v>
          </cell>
          <cell r="I57">
            <v>6</v>
          </cell>
          <cell r="J57" t="str">
            <v>AUGUSTO</v>
          </cell>
          <cell r="K57">
            <v>44930</v>
          </cell>
          <cell r="L57" t="str">
            <v>Ernesto</v>
          </cell>
          <cell r="M57" t="str">
            <v>PASS</v>
          </cell>
          <cell r="N57" t="str">
            <v>OVALIDAD</v>
          </cell>
        </row>
        <row r="58">
          <cell r="A58">
            <v>20230055</v>
          </cell>
          <cell r="B58">
            <v>44931</v>
          </cell>
          <cell r="C58">
            <v>1</v>
          </cell>
          <cell r="D58" t="str">
            <v>716-1</v>
          </cell>
          <cell r="E58" t="str">
            <v>SPR8</v>
          </cell>
          <cell r="F58" t="str">
            <v>34285575D</v>
          </cell>
          <cell r="G58" t="str">
            <v>N/A</v>
          </cell>
          <cell r="H58" t="str">
            <v>94,52,53,54,69,56</v>
          </cell>
          <cell r="I58" t="str">
            <v>4 PCS</v>
          </cell>
          <cell r="J58" t="str">
            <v>Laura Castillo</v>
          </cell>
          <cell r="K58">
            <v>44931</v>
          </cell>
          <cell r="L58" t="str">
            <v>Nohemi</v>
          </cell>
          <cell r="M58" t="str">
            <v>NO PASS</v>
          </cell>
          <cell r="N58" t="str">
            <v>A0033G4820 A-E</v>
          </cell>
        </row>
        <row r="59">
          <cell r="A59">
            <v>20230056</v>
          </cell>
          <cell r="B59">
            <v>44931</v>
          </cell>
          <cell r="C59">
            <v>1</v>
          </cell>
          <cell r="D59" t="str">
            <v>720-2</v>
          </cell>
          <cell r="E59" t="str">
            <v>SPR8</v>
          </cell>
          <cell r="F59" t="str">
            <v>34358865D</v>
          </cell>
          <cell r="G59" t="str">
            <v>N/A</v>
          </cell>
          <cell r="H59" t="str">
            <v>8,9,10,11,12,18,19,20,Z</v>
          </cell>
          <cell r="I59" t="str">
            <v>4 PCS</v>
          </cell>
          <cell r="J59" t="str">
            <v>Laura Castillo</v>
          </cell>
          <cell r="K59">
            <v>44931</v>
          </cell>
          <cell r="L59" t="str">
            <v>Nohemi</v>
          </cell>
          <cell r="M59" t="str">
            <v>NO PASS</v>
          </cell>
          <cell r="N59" t="str">
            <v>A0034E4937 A-E</v>
          </cell>
        </row>
        <row r="60">
          <cell r="A60">
            <v>20230057</v>
          </cell>
          <cell r="B60">
            <v>44931</v>
          </cell>
          <cell r="C60">
            <v>1</v>
          </cell>
          <cell r="D60" t="str">
            <v>N/A</v>
          </cell>
          <cell r="E60" t="str">
            <v>N/A</v>
          </cell>
          <cell r="F60" t="str">
            <v>34155938CSRG</v>
          </cell>
          <cell r="G60" t="str">
            <v>B21221SAM</v>
          </cell>
          <cell r="H60" t="str">
            <v xml:space="preserve">Conforme al rip </v>
          </cell>
          <cell r="I60" t="str">
            <v>5 pcs</v>
          </cell>
          <cell r="J60" t="str">
            <v>Nuevos programas</v>
          </cell>
          <cell r="K60">
            <v>44931</v>
          </cell>
          <cell r="L60" t="str">
            <v xml:space="preserve">Adela </v>
          </cell>
          <cell r="M60" t="str">
            <v>PASS</v>
          </cell>
          <cell r="N60" t="str">
            <v>N/A</v>
          </cell>
        </row>
        <row r="61">
          <cell r="A61">
            <v>20230058</v>
          </cell>
          <cell r="B61">
            <v>44931</v>
          </cell>
          <cell r="C61">
            <v>1</v>
          </cell>
          <cell r="D61" t="str">
            <v>714-6</v>
          </cell>
          <cell r="E61" t="str">
            <v>N/A</v>
          </cell>
          <cell r="F61" t="str">
            <v>A014W919A</v>
          </cell>
          <cell r="G61" t="str">
            <v>TC006</v>
          </cell>
          <cell r="H61" t="str">
            <v>QA 15 16 17 19</v>
          </cell>
          <cell r="I61">
            <v>8</v>
          </cell>
          <cell r="J61" t="str">
            <v>JORGE PULIDO</v>
          </cell>
          <cell r="K61">
            <v>44931</v>
          </cell>
          <cell r="L61" t="str">
            <v>MAURICIO</v>
          </cell>
          <cell r="M61" t="str">
            <v>PASS</v>
          </cell>
          <cell r="N61" t="str">
            <v>CH34259298 A06 Validar nuevos nidos de dobladora de base</v>
          </cell>
        </row>
        <row r="62">
          <cell r="A62">
            <v>20230059</v>
          </cell>
          <cell r="B62">
            <v>44931</v>
          </cell>
          <cell r="C62">
            <v>1</v>
          </cell>
          <cell r="D62" t="str">
            <v>720-2</v>
          </cell>
          <cell r="E62" t="str">
            <v>SPR8</v>
          </cell>
          <cell r="F62" t="str">
            <v>34296442C</v>
          </cell>
          <cell r="G62" t="str">
            <v>N/A</v>
          </cell>
          <cell r="H62" t="str">
            <v>CONCENTRICIDAD</v>
          </cell>
          <cell r="I62">
            <v>12</v>
          </cell>
          <cell r="J62" t="str">
            <v>EVELYN ESTUDILLO</v>
          </cell>
          <cell r="K62">
            <v>44931</v>
          </cell>
          <cell r="L62" t="str">
            <v>MAURICIO</v>
          </cell>
          <cell r="M62" t="str">
            <v>PASS</v>
          </cell>
          <cell r="N62" t="str">
            <v>CONCENTRICIDAD</v>
          </cell>
        </row>
        <row r="63">
          <cell r="A63">
            <v>20230060</v>
          </cell>
          <cell r="B63">
            <v>44931</v>
          </cell>
          <cell r="C63">
            <v>1</v>
          </cell>
          <cell r="D63" t="str">
            <v>720-1</v>
          </cell>
          <cell r="E63" t="str">
            <v>SPR8</v>
          </cell>
          <cell r="F63" t="str">
            <v>34296438C</v>
          </cell>
          <cell r="G63" t="str">
            <v>N/A</v>
          </cell>
          <cell r="H63" t="str">
            <v>CONCENTRICIDAD</v>
          </cell>
          <cell r="I63">
            <v>12</v>
          </cell>
          <cell r="J63" t="str">
            <v>EVELYN ESTUDILLO</v>
          </cell>
          <cell r="K63">
            <v>44931</v>
          </cell>
          <cell r="L63" t="str">
            <v>MAURICIO</v>
          </cell>
          <cell r="M63" t="str">
            <v>PASS</v>
          </cell>
          <cell r="N63" t="str">
            <v>CONCENTRICIDAD</v>
          </cell>
        </row>
        <row r="64">
          <cell r="A64">
            <v>20230061</v>
          </cell>
          <cell r="B64">
            <v>44931</v>
          </cell>
          <cell r="C64">
            <v>1</v>
          </cell>
          <cell r="D64" t="str">
            <v>720-5</v>
          </cell>
          <cell r="E64" t="str">
            <v>SPR8</v>
          </cell>
          <cell r="F64" t="str">
            <v>34324759E</v>
          </cell>
          <cell r="G64" t="str">
            <v>N/A</v>
          </cell>
          <cell r="H64" t="str">
            <v>CONCENTRICIDAD</v>
          </cell>
          <cell r="I64">
            <v>12</v>
          </cell>
          <cell r="J64" t="str">
            <v>EVELYN ESTUDILLO</v>
          </cell>
          <cell r="K64">
            <v>44931</v>
          </cell>
          <cell r="L64" t="str">
            <v>MAURICIO</v>
          </cell>
          <cell r="M64" t="str">
            <v>PASS</v>
          </cell>
          <cell r="N64" t="str">
            <v>CONCENTRICIDAD</v>
          </cell>
        </row>
        <row r="65">
          <cell r="A65">
            <v>20230062</v>
          </cell>
          <cell r="B65">
            <v>44931</v>
          </cell>
          <cell r="C65">
            <v>1</v>
          </cell>
          <cell r="D65" t="str">
            <v>720-4</v>
          </cell>
          <cell r="E65" t="str">
            <v>SPR8</v>
          </cell>
          <cell r="F65" t="str">
            <v>34309473B</v>
          </cell>
          <cell r="G65" t="str">
            <v>N/A</v>
          </cell>
          <cell r="H65" t="str">
            <v>CONCENTRICIDAD</v>
          </cell>
          <cell r="I65">
            <v>12</v>
          </cell>
          <cell r="J65" t="str">
            <v>EVELYN ESTUDILLO</v>
          </cell>
          <cell r="K65">
            <v>44931</v>
          </cell>
          <cell r="L65" t="str">
            <v>MAURICIO</v>
          </cell>
          <cell r="M65" t="str">
            <v>PASS</v>
          </cell>
          <cell r="N65" t="str">
            <v>CONCENTRICIDAD</v>
          </cell>
        </row>
        <row r="66">
          <cell r="A66">
            <v>20230063</v>
          </cell>
          <cell r="B66">
            <v>44931</v>
          </cell>
          <cell r="C66">
            <v>1</v>
          </cell>
          <cell r="D66" t="str">
            <v>720-2</v>
          </cell>
          <cell r="E66" t="str">
            <v>SPR8</v>
          </cell>
          <cell r="F66" t="str">
            <v>34296442C</v>
          </cell>
          <cell r="G66" t="str">
            <v>N/A</v>
          </cell>
          <cell r="H66" t="str">
            <v>OVALIDAD</v>
          </cell>
          <cell r="I66">
            <v>12</v>
          </cell>
          <cell r="J66" t="str">
            <v>EVELYN ESTUDILLO</v>
          </cell>
          <cell r="K66">
            <v>44931</v>
          </cell>
          <cell r="L66" t="str">
            <v>MAURICIO</v>
          </cell>
          <cell r="M66" t="str">
            <v>PASS</v>
          </cell>
          <cell r="N66" t="str">
            <v>CONCENTRICIDAD</v>
          </cell>
        </row>
        <row r="67">
          <cell r="A67">
            <v>20230064</v>
          </cell>
          <cell r="B67">
            <v>44931</v>
          </cell>
          <cell r="C67">
            <v>1</v>
          </cell>
          <cell r="D67" t="str">
            <v>720-1</v>
          </cell>
          <cell r="E67" t="str">
            <v>SPR8</v>
          </cell>
          <cell r="F67" t="str">
            <v>34296438C</v>
          </cell>
          <cell r="G67" t="str">
            <v>N/A</v>
          </cell>
          <cell r="H67" t="str">
            <v>OVALIDAD</v>
          </cell>
          <cell r="I67">
            <v>12</v>
          </cell>
          <cell r="J67" t="str">
            <v>EVELYN ESTUDILLO</v>
          </cell>
          <cell r="K67">
            <v>44931</v>
          </cell>
          <cell r="L67" t="str">
            <v>MAURICIO</v>
          </cell>
          <cell r="M67" t="str">
            <v>PASS</v>
          </cell>
          <cell r="N67" t="str">
            <v>CONCENTRICIDAD</v>
          </cell>
        </row>
        <row r="68">
          <cell r="A68">
            <v>20230065</v>
          </cell>
          <cell r="B68">
            <v>44931</v>
          </cell>
          <cell r="C68">
            <v>1</v>
          </cell>
          <cell r="D68" t="str">
            <v>720-5</v>
          </cell>
          <cell r="E68" t="str">
            <v>SPR8</v>
          </cell>
          <cell r="F68" t="str">
            <v>34324759E</v>
          </cell>
          <cell r="G68" t="str">
            <v>N/A</v>
          </cell>
          <cell r="H68" t="str">
            <v>OVALIDAD</v>
          </cell>
          <cell r="I68">
            <v>12</v>
          </cell>
          <cell r="J68" t="str">
            <v>EVELYN ESTUDILLO</v>
          </cell>
          <cell r="K68">
            <v>44931</v>
          </cell>
          <cell r="L68" t="str">
            <v>MAURICIO</v>
          </cell>
          <cell r="M68" t="str">
            <v>PASS</v>
          </cell>
          <cell r="N68" t="str">
            <v>CONCENTRICIDAD</v>
          </cell>
        </row>
        <row r="69">
          <cell r="A69">
            <v>20230066</v>
          </cell>
          <cell r="B69">
            <v>44931</v>
          </cell>
          <cell r="C69">
            <v>1</v>
          </cell>
          <cell r="D69" t="str">
            <v>720-4</v>
          </cell>
          <cell r="E69" t="str">
            <v>SPR8</v>
          </cell>
          <cell r="F69" t="str">
            <v>34309473B</v>
          </cell>
          <cell r="G69" t="str">
            <v>N/A</v>
          </cell>
          <cell r="H69" t="str">
            <v>OVALIDAD</v>
          </cell>
          <cell r="I69">
            <v>12</v>
          </cell>
          <cell r="J69" t="str">
            <v>EVELYN ESTUDILLO</v>
          </cell>
          <cell r="K69">
            <v>44931</v>
          </cell>
          <cell r="L69" t="str">
            <v>MAURICIO</v>
          </cell>
          <cell r="M69" t="str">
            <v>PASS</v>
          </cell>
          <cell r="N69" t="str">
            <v>CONCENTRICIDAD</v>
          </cell>
        </row>
        <row r="70">
          <cell r="A70">
            <v>20230067</v>
          </cell>
          <cell r="B70">
            <v>44931</v>
          </cell>
          <cell r="C70">
            <v>3</v>
          </cell>
          <cell r="D70" t="str">
            <v>720-4</v>
          </cell>
          <cell r="E70" t="str">
            <v>SPR8</v>
          </cell>
          <cell r="F70" t="str">
            <v>A023V833A</v>
          </cell>
          <cell r="G70" t="str">
            <v>N/A</v>
          </cell>
          <cell r="H70" t="str">
            <v>CONCENTRICIDAD</v>
          </cell>
          <cell r="I70">
            <v>12</v>
          </cell>
          <cell r="J70" t="str">
            <v>AUGUSTO</v>
          </cell>
          <cell r="K70">
            <v>44931</v>
          </cell>
          <cell r="L70" t="str">
            <v>Ernesto</v>
          </cell>
          <cell r="M70" t="str">
            <v>PASS</v>
          </cell>
          <cell r="N70" t="str">
            <v>CONCENTRICIDAD</v>
          </cell>
        </row>
        <row r="71">
          <cell r="A71">
            <v>20230068</v>
          </cell>
          <cell r="B71">
            <v>44931</v>
          </cell>
          <cell r="C71">
            <v>3</v>
          </cell>
          <cell r="D71" t="str">
            <v>720-4</v>
          </cell>
          <cell r="E71" t="str">
            <v>SPR8</v>
          </cell>
          <cell r="F71" t="str">
            <v>A023V833A</v>
          </cell>
          <cell r="G71" t="str">
            <v>N/A</v>
          </cell>
          <cell r="H71" t="str">
            <v>OVALIDAD</v>
          </cell>
          <cell r="I71">
            <v>12</v>
          </cell>
          <cell r="J71" t="str">
            <v>AUGUSTO</v>
          </cell>
          <cell r="K71">
            <v>44931</v>
          </cell>
          <cell r="L71" t="str">
            <v>Ernesto</v>
          </cell>
          <cell r="M71" t="str">
            <v>PASS</v>
          </cell>
          <cell r="N71" t="str">
            <v>OVALIDAD</v>
          </cell>
        </row>
        <row r="72">
          <cell r="A72">
            <v>20230069</v>
          </cell>
          <cell r="B72">
            <v>44931</v>
          </cell>
          <cell r="C72">
            <v>3</v>
          </cell>
          <cell r="D72" t="str">
            <v>702-5</v>
          </cell>
          <cell r="E72" t="str">
            <v>SPR4</v>
          </cell>
          <cell r="F72" t="str">
            <v>34301420B</v>
          </cell>
          <cell r="G72" t="str">
            <v>N/A</v>
          </cell>
          <cell r="H72" t="str">
            <v>QA 37,41,42,45</v>
          </cell>
          <cell r="I72" t="str">
            <v>30 PZAS</v>
          </cell>
          <cell r="J72" t="str">
            <v>Gabriel Ramos</v>
          </cell>
          <cell r="K72">
            <v>44931</v>
          </cell>
          <cell r="L72" t="str">
            <v>Abel</v>
          </cell>
          <cell r="M72" t="str">
            <v>NO PASS</v>
          </cell>
          <cell r="N72" t="str">
            <v>VALIDACION</v>
          </cell>
        </row>
        <row r="73">
          <cell r="A73">
            <v>20230070</v>
          </cell>
          <cell r="B73">
            <v>44931</v>
          </cell>
          <cell r="C73">
            <v>3</v>
          </cell>
          <cell r="D73" t="str">
            <v>720-1</v>
          </cell>
          <cell r="E73" t="str">
            <v>SPR8</v>
          </cell>
          <cell r="F73" t="str">
            <v>34296438C</v>
          </cell>
          <cell r="G73" t="str">
            <v>N/A</v>
          </cell>
          <cell r="H73" t="str">
            <v>CONCENTRICIDAD</v>
          </cell>
          <cell r="I73">
            <v>12</v>
          </cell>
          <cell r="J73" t="str">
            <v>AUGUSTO</v>
          </cell>
          <cell r="K73">
            <v>44931</v>
          </cell>
          <cell r="L73" t="str">
            <v>Eric</v>
          </cell>
          <cell r="M73" t="str">
            <v>PASS</v>
          </cell>
          <cell r="N73" t="str">
            <v>TUBOS</v>
          </cell>
        </row>
        <row r="74">
          <cell r="A74">
            <v>20230071</v>
          </cell>
          <cell r="B74">
            <v>44931</v>
          </cell>
          <cell r="C74">
            <v>3</v>
          </cell>
          <cell r="D74" t="str">
            <v>720-2</v>
          </cell>
          <cell r="E74" t="str">
            <v>SPR8</v>
          </cell>
          <cell r="F74" t="str">
            <v>34235232G</v>
          </cell>
          <cell r="G74" t="str">
            <v>N/A</v>
          </cell>
          <cell r="H74" t="str">
            <v>CONCENTRICIDAD</v>
          </cell>
          <cell r="I74">
            <v>12</v>
          </cell>
          <cell r="J74" t="str">
            <v>AUGUSTO</v>
          </cell>
          <cell r="K74">
            <v>44931</v>
          </cell>
          <cell r="L74" t="str">
            <v>Eric</v>
          </cell>
          <cell r="M74" t="str">
            <v>PASS</v>
          </cell>
          <cell r="N74" t="str">
            <v>TUBOS</v>
          </cell>
        </row>
        <row r="75">
          <cell r="A75">
            <v>20230072</v>
          </cell>
          <cell r="B75">
            <v>44931</v>
          </cell>
          <cell r="C75">
            <v>3</v>
          </cell>
          <cell r="D75" t="str">
            <v>720-3</v>
          </cell>
          <cell r="E75" t="str">
            <v>SPR8</v>
          </cell>
          <cell r="F75" t="str">
            <v>34355195B</v>
          </cell>
          <cell r="G75" t="str">
            <v>N/A</v>
          </cell>
          <cell r="H75" t="str">
            <v>CONCENTRICIDAD</v>
          </cell>
          <cell r="I75">
            <v>12</v>
          </cell>
          <cell r="J75" t="str">
            <v>AUGUSTO</v>
          </cell>
          <cell r="K75">
            <v>44931</v>
          </cell>
          <cell r="L75" t="str">
            <v>Eric</v>
          </cell>
          <cell r="M75" t="str">
            <v>PASS</v>
          </cell>
          <cell r="N75" t="str">
            <v>TUBOS</v>
          </cell>
        </row>
        <row r="76">
          <cell r="A76">
            <v>20230073</v>
          </cell>
          <cell r="B76">
            <v>44931</v>
          </cell>
          <cell r="C76">
            <v>3</v>
          </cell>
          <cell r="D76" t="str">
            <v>720-5</v>
          </cell>
          <cell r="E76" t="str">
            <v>SPR8</v>
          </cell>
          <cell r="F76" t="str">
            <v>34324759E</v>
          </cell>
          <cell r="G76" t="str">
            <v>N/A</v>
          </cell>
          <cell r="H76" t="str">
            <v>CONCENTRICIDAD</v>
          </cell>
          <cell r="I76">
            <v>12</v>
          </cell>
          <cell r="J76" t="str">
            <v>AUGUSTO</v>
          </cell>
          <cell r="K76">
            <v>44931</v>
          </cell>
          <cell r="L76" t="str">
            <v>Eric</v>
          </cell>
          <cell r="M76" t="str">
            <v>PASS</v>
          </cell>
          <cell r="N76" t="str">
            <v>TUBOS</v>
          </cell>
        </row>
        <row r="77">
          <cell r="A77">
            <v>20230074</v>
          </cell>
          <cell r="B77">
            <v>44931</v>
          </cell>
          <cell r="C77">
            <v>3</v>
          </cell>
          <cell r="D77" t="str">
            <v>720-1</v>
          </cell>
          <cell r="E77" t="str">
            <v>SPR8</v>
          </cell>
          <cell r="F77" t="str">
            <v>34296438C</v>
          </cell>
          <cell r="G77" t="str">
            <v>N/A</v>
          </cell>
          <cell r="H77" t="str">
            <v>OVALIDAD</v>
          </cell>
          <cell r="I77">
            <v>12</v>
          </cell>
          <cell r="J77" t="str">
            <v>AUGUSTO</v>
          </cell>
          <cell r="K77">
            <v>44931</v>
          </cell>
          <cell r="L77" t="str">
            <v>Eric</v>
          </cell>
          <cell r="M77" t="str">
            <v>PASS</v>
          </cell>
          <cell r="N77" t="str">
            <v>TUBOS</v>
          </cell>
        </row>
        <row r="78">
          <cell r="A78">
            <v>20230075</v>
          </cell>
          <cell r="B78">
            <v>44931</v>
          </cell>
          <cell r="C78">
            <v>3</v>
          </cell>
          <cell r="D78" t="str">
            <v>720-2</v>
          </cell>
          <cell r="E78" t="str">
            <v>SPR8</v>
          </cell>
          <cell r="F78" t="str">
            <v>34235232G</v>
          </cell>
          <cell r="G78" t="str">
            <v>N/A</v>
          </cell>
          <cell r="H78" t="str">
            <v>OVALIDAD</v>
          </cell>
          <cell r="I78">
            <v>12</v>
          </cell>
          <cell r="J78" t="str">
            <v>AUGUSTO</v>
          </cell>
          <cell r="K78">
            <v>44931</v>
          </cell>
          <cell r="L78" t="str">
            <v>Eric</v>
          </cell>
          <cell r="M78" t="str">
            <v>PASS</v>
          </cell>
          <cell r="N78" t="str">
            <v>TUBOS</v>
          </cell>
        </row>
        <row r="79">
          <cell r="A79">
            <v>20230076</v>
          </cell>
          <cell r="B79">
            <v>44931</v>
          </cell>
          <cell r="C79">
            <v>3</v>
          </cell>
          <cell r="D79" t="str">
            <v>720-3</v>
          </cell>
          <cell r="E79" t="str">
            <v>SPR8</v>
          </cell>
          <cell r="F79" t="str">
            <v>34355195B</v>
          </cell>
          <cell r="G79" t="str">
            <v>N/A</v>
          </cell>
          <cell r="H79" t="str">
            <v>OVALIDAD</v>
          </cell>
          <cell r="I79">
            <v>12</v>
          </cell>
          <cell r="J79" t="str">
            <v>AUGUSTO</v>
          </cell>
          <cell r="K79">
            <v>44931</v>
          </cell>
          <cell r="L79" t="str">
            <v>Eric</v>
          </cell>
          <cell r="M79" t="str">
            <v>PASS</v>
          </cell>
          <cell r="N79" t="str">
            <v>TUBOS</v>
          </cell>
        </row>
        <row r="80">
          <cell r="A80">
            <v>20230077</v>
          </cell>
          <cell r="B80">
            <v>44931</v>
          </cell>
          <cell r="C80">
            <v>3</v>
          </cell>
          <cell r="D80" t="str">
            <v>720-5</v>
          </cell>
          <cell r="E80" t="str">
            <v>SPR8</v>
          </cell>
          <cell r="F80" t="str">
            <v>34324759E</v>
          </cell>
          <cell r="G80" t="str">
            <v>N/A</v>
          </cell>
          <cell r="H80" t="str">
            <v>OVALIDAD</v>
          </cell>
          <cell r="I80">
            <v>12</v>
          </cell>
          <cell r="J80" t="str">
            <v>AUGUSTO</v>
          </cell>
          <cell r="K80">
            <v>44931</v>
          </cell>
          <cell r="L80" t="str">
            <v>Eric</v>
          </cell>
          <cell r="M80" t="str">
            <v>PASS</v>
          </cell>
          <cell r="N80" t="str">
            <v>TUBOS</v>
          </cell>
        </row>
        <row r="81">
          <cell r="A81">
            <v>20230078</v>
          </cell>
          <cell r="B81">
            <v>44932</v>
          </cell>
          <cell r="C81">
            <v>3</v>
          </cell>
          <cell r="D81" t="str">
            <v>720-2</v>
          </cell>
          <cell r="E81" t="str">
            <v>SPR8</v>
          </cell>
          <cell r="F81" t="str">
            <v>34235231G</v>
          </cell>
          <cell r="G81" t="str">
            <v>N/A</v>
          </cell>
          <cell r="H81" t="str">
            <v>CONCENTRICIDAD</v>
          </cell>
          <cell r="I81">
            <v>12</v>
          </cell>
          <cell r="J81" t="str">
            <v>AUGUSTO</v>
          </cell>
          <cell r="K81">
            <v>44932</v>
          </cell>
          <cell r="L81" t="str">
            <v>ERIC</v>
          </cell>
          <cell r="M81" t="str">
            <v>PASS</v>
          </cell>
          <cell r="N81" t="str">
            <v>TUBOS</v>
          </cell>
        </row>
        <row r="82">
          <cell r="A82">
            <v>20230079</v>
          </cell>
          <cell r="B82">
            <v>44932</v>
          </cell>
          <cell r="C82">
            <v>3</v>
          </cell>
          <cell r="D82" t="str">
            <v>720-2</v>
          </cell>
          <cell r="E82" t="str">
            <v>SPR8</v>
          </cell>
          <cell r="F82" t="str">
            <v>34235231G</v>
          </cell>
          <cell r="G82" t="str">
            <v>N/A</v>
          </cell>
          <cell r="H82" t="str">
            <v>OVALIDAD</v>
          </cell>
          <cell r="I82">
            <v>12</v>
          </cell>
          <cell r="J82" t="str">
            <v>AUGUSTO</v>
          </cell>
          <cell r="K82">
            <v>44932</v>
          </cell>
          <cell r="L82" t="str">
            <v>ERIC</v>
          </cell>
          <cell r="M82" t="str">
            <v>PASS</v>
          </cell>
          <cell r="N82" t="str">
            <v>TUBOS</v>
          </cell>
        </row>
        <row r="83">
          <cell r="A83">
            <v>20230080</v>
          </cell>
          <cell r="B83">
            <v>44932</v>
          </cell>
          <cell r="C83">
            <v>1</v>
          </cell>
          <cell r="D83" t="str">
            <v>SANDHAR</v>
          </cell>
          <cell r="E83" t="str">
            <v>N/A</v>
          </cell>
          <cell r="F83" t="str">
            <v>33050992B</v>
          </cell>
          <cell r="G83">
            <v>21209080</v>
          </cell>
          <cell r="H83" t="str">
            <v>QA 14</v>
          </cell>
          <cell r="I83">
            <v>3</v>
          </cell>
          <cell r="J83" t="str">
            <v>Gabriel Ramos</v>
          </cell>
          <cell r="K83">
            <v>44932</v>
          </cell>
          <cell r="L83" t="str">
            <v>MAURICIO</v>
          </cell>
          <cell r="M83" t="str">
            <v>NO PASS</v>
          </cell>
          <cell r="N83" t="str">
            <v>SANDHAR</v>
          </cell>
        </row>
        <row r="84">
          <cell r="A84">
            <v>20230081</v>
          </cell>
          <cell r="B84">
            <v>44932</v>
          </cell>
          <cell r="C84">
            <v>1</v>
          </cell>
          <cell r="D84">
            <v>462</v>
          </cell>
          <cell r="E84" t="str">
            <v>N/A</v>
          </cell>
          <cell r="F84" t="str">
            <v>DWG 3B</v>
          </cell>
          <cell r="G84" t="str">
            <v>N/A</v>
          </cell>
          <cell r="H84" t="str">
            <v>A,B</v>
          </cell>
          <cell r="I84">
            <v>1</v>
          </cell>
          <cell r="J84" t="str">
            <v>Jesus sampayo</v>
          </cell>
          <cell r="K84">
            <v>44932</v>
          </cell>
          <cell r="L84" t="str">
            <v>MAURICIO</v>
          </cell>
          <cell r="M84" t="str">
            <v>NO PASS</v>
          </cell>
          <cell r="N84" t="str">
            <v>DWG GAUGE CONECTOR</v>
          </cell>
        </row>
        <row r="85">
          <cell r="A85">
            <v>20230082</v>
          </cell>
          <cell r="B85">
            <v>44932</v>
          </cell>
          <cell r="C85">
            <v>1</v>
          </cell>
          <cell r="D85" t="str">
            <v>N/A</v>
          </cell>
          <cell r="E85" t="str">
            <v>BMW</v>
          </cell>
          <cell r="F85" t="str">
            <v>ZF-07978V-211261</v>
          </cell>
          <cell r="G85" t="str">
            <v>N/A</v>
          </cell>
          <cell r="H85" t="str">
            <v>DIS 109.02 ± 0.25</v>
          </cell>
          <cell r="I85">
            <v>1</v>
          </cell>
          <cell r="J85" t="str">
            <v>CRISTIAN ARNOLDO</v>
          </cell>
          <cell r="K85">
            <v>44932</v>
          </cell>
          <cell r="L85" t="str">
            <v>MAURICIO</v>
          </cell>
          <cell r="M85" t="str">
            <v>NO PASS</v>
          </cell>
          <cell r="N85" t="str">
            <v>GAGE TIP TO TIP</v>
          </cell>
        </row>
        <row r="86">
          <cell r="A86">
            <v>20230083</v>
          </cell>
          <cell r="B86">
            <v>44932</v>
          </cell>
          <cell r="C86">
            <v>1</v>
          </cell>
          <cell r="D86" t="str">
            <v>708-B</v>
          </cell>
          <cell r="E86" t="str">
            <v>U611</v>
          </cell>
          <cell r="F86" t="str">
            <v>34292968A</v>
          </cell>
          <cell r="G86" t="str">
            <v>N/A</v>
          </cell>
          <cell r="H86" t="str">
            <v>27,23,24,6</v>
          </cell>
          <cell r="I86" t="str">
            <v>2 PCS</v>
          </cell>
          <cell r="J86" t="str">
            <v>Javier Bautista</v>
          </cell>
          <cell r="K86">
            <v>44932</v>
          </cell>
          <cell r="L86" t="str">
            <v>Nohemi</v>
          </cell>
          <cell r="M86" t="str">
            <v>PASS</v>
          </cell>
          <cell r="N86" t="str">
            <v>BPW 22-343003B</v>
          </cell>
        </row>
        <row r="87">
          <cell r="A87">
            <v>20230084</v>
          </cell>
          <cell r="B87">
            <v>44932</v>
          </cell>
          <cell r="C87">
            <v>1</v>
          </cell>
          <cell r="D87" t="str">
            <v>709-B</v>
          </cell>
          <cell r="E87" t="str">
            <v>AUDI</v>
          </cell>
          <cell r="F87" t="str">
            <v>A025Y200A</v>
          </cell>
          <cell r="G87" t="str">
            <v>N/A</v>
          </cell>
          <cell r="H87" t="str">
            <v>34,46,47,67</v>
          </cell>
          <cell r="I87" t="str">
            <v>2 PCS</v>
          </cell>
          <cell r="J87" t="str">
            <v>Javier Bautista</v>
          </cell>
          <cell r="K87">
            <v>44932</v>
          </cell>
          <cell r="L87" t="str">
            <v>Nohemi</v>
          </cell>
          <cell r="M87" t="str">
            <v>PASS</v>
          </cell>
          <cell r="N87"/>
        </row>
        <row r="88">
          <cell r="A88">
            <v>20230085</v>
          </cell>
          <cell r="B88">
            <v>44932</v>
          </cell>
          <cell r="C88">
            <v>1</v>
          </cell>
          <cell r="D88" t="str">
            <v>720-1</v>
          </cell>
          <cell r="E88" t="str">
            <v>SPR8</v>
          </cell>
          <cell r="F88" t="str">
            <v>34346842C</v>
          </cell>
          <cell r="G88" t="str">
            <v>N/A</v>
          </cell>
          <cell r="H88" t="str">
            <v>CONCENTRICIDAD</v>
          </cell>
          <cell r="I88">
            <v>12</v>
          </cell>
          <cell r="J88" t="str">
            <v>EVELYN ESTUDILLO</v>
          </cell>
          <cell r="K88">
            <v>44932</v>
          </cell>
          <cell r="L88" t="str">
            <v>MAURICIO</v>
          </cell>
          <cell r="M88" t="str">
            <v>PASS</v>
          </cell>
          <cell r="N88" t="str">
            <v>CONCENTRICIDAD</v>
          </cell>
        </row>
        <row r="89">
          <cell r="A89">
            <v>20230086</v>
          </cell>
          <cell r="B89">
            <v>44932</v>
          </cell>
          <cell r="C89">
            <v>1</v>
          </cell>
          <cell r="D89" t="str">
            <v>720-5</v>
          </cell>
          <cell r="E89" t="str">
            <v>SPR8</v>
          </cell>
          <cell r="F89" t="str">
            <v>34324760D</v>
          </cell>
          <cell r="G89" t="str">
            <v>N/A</v>
          </cell>
          <cell r="H89" t="str">
            <v>CONCENTRICIDAD</v>
          </cell>
          <cell r="I89">
            <v>12</v>
          </cell>
          <cell r="J89" t="str">
            <v>EVELYN ESTUDILLO</v>
          </cell>
          <cell r="K89">
            <v>44932</v>
          </cell>
          <cell r="L89" t="str">
            <v>MAURICIO</v>
          </cell>
          <cell r="M89" t="str">
            <v>PASS</v>
          </cell>
          <cell r="N89" t="str">
            <v>CONCENTRICIDAD</v>
          </cell>
        </row>
        <row r="90">
          <cell r="A90">
            <v>20230087</v>
          </cell>
          <cell r="B90">
            <v>44932</v>
          </cell>
          <cell r="C90">
            <v>1</v>
          </cell>
          <cell r="D90" t="str">
            <v>720-3</v>
          </cell>
          <cell r="E90" t="str">
            <v>SPR8</v>
          </cell>
          <cell r="F90" t="str">
            <v>34235234G</v>
          </cell>
          <cell r="G90" t="str">
            <v>N/A</v>
          </cell>
          <cell r="H90" t="str">
            <v>CONCENTRICIDAD</v>
          </cell>
          <cell r="I90">
            <v>12</v>
          </cell>
          <cell r="J90" t="str">
            <v>EVELYN ESTUDILLO</v>
          </cell>
          <cell r="K90">
            <v>44932</v>
          </cell>
          <cell r="L90" t="str">
            <v>MAURICIO</v>
          </cell>
          <cell r="M90" t="str">
            <v>PASS</v>
          </cell>
          <cell r="N90" t="str">
            <v>CONCENTRICIDAD</v>
          </cell>
        </row>
        <row r="91">
          <cell r="A91">
            <v>20230088</v>
          </cell>
          <cell r="B91">
            <v>44932</v>
          </cell>
          <cell r="C91">
            <v>1</v>
          </cell>
          <cell r="D91" t="str">
            <v>720-1</v>
          </cell>
          <cell r="E91" t="str">
            <v>SPR8</v>
          </cell>
          <cell r="F91" t="str">
            <v>34346842C</v>
          </cell>
          <cell r="G91" t="str">
            <v>N/A</v>
          </cell>
          <cell r="H91" t="str">
            <v>OVALIDAD</v>
          </cell>
          <cell r="I91">
            <v>12</v>
          </cell>
          <cell r="J91" t="str">
            <v>EVELYN ESTUDILLO</v>
          </cell>
          <cell r="K91">
            <v>44932</v>
          </cell>
          <cell r="L91" t="str">
            <v>MAURICIO</v>
          </cell>
          <cell r="M91" t="str">
            <v>PASS</v>
          </cell>
          <cell r="N91" t="str">
            <v>OVALIDAD</v>
          </cell>
        </row>
        <row r="92">
          <cell r="A92">
            <v>20230089</v>
          </cell>
          <cell r="B92">
            <v>44932</v>
          </cell>
          <cell r="C92">
            <v>1</v>
          </cell>
          <cell r="D92" t="str">
            <v>720-5</v>
          </cell>
          <cell r="E92" t="str">
            <v>SPR8</v>
          </cell>
          <cell r="F92" t="str">
            <v>34324760D</v>
          </cell>
          <cell r="G92" t="str">
            <v>N/A</v>
          </cell>
          <cell r="H92" t="str">
            <v>OVALIDAD</v>
          </cell>
          <cell r="I92">
            <v>12</v>
          </cell>
          <cell r="J92" t="str">
            <v>EVELYN ESTUDILLO</v>
          </cell>
          <cell r="K92">
            <v>44932</v>
          </cell>
          <cell r="L92" t="str">
            <v>MAURICIO</v>
          </cell>
          <cell r="M92" t="str">
            <v>PASS</v>
          </cell>
          <cell r="N92" t="str">
            <v>OVALIDAD</v>
          </cell>
        </row>
        <row r="93">
          <cell r="A93">
            <v>20230090</v>
          </cell>
          <cell r="B93">
            <v>44932</v>
          </cell>
          <cell r="C93">
            <v>1</v>
          </cell>
          <cell r="D93" t="str">
            <v>720-3</v>
          </cell>
          <cell r="E93" t="str">
            <v>SPR8</v>
          </cell>
          <cell r="F93" t="str">
            <v>34235234G</v>
          </cell>
          <cell r="G93" t="str">
            <v>N/A</v>
          </cell>
          <cell r="H93" t="str">
            <v>OVALIDAD</v>
          </cell>
          <cell r="I93">
            <v>12</v>
          </cell>
          <cell r="J93" t="str">
            <v>EVELYN ESTUDILLO</v>
          </cell>
          <cell r="K93">
            <v>44932</v>
          </cell>
          <cell r="L93" t="str">
            <v>MAURICIO</v>
          </cell>
          <cell r="M93" t="str">
            <v>PASS</v>
          </cell>
          <cell r="N93" t="str">
            <v>OVALIDAD</v>
          </cell>
        </row>
        <row r="94">
          <cell r="A94">
            <v>20230091</v>
          </cell>
          <cell r="B94">
            <v>44932</v>
          </cell>
          <cell r="C94">
            <v>2</v>
          </cell>
          <cell r="D94" t="str">
            <v>720-2</v>
          </cell>
          <cell r="E94" t="str">
            <v>SPR8</v>
          </cell>
          <cell r="F94" t="str">
            <v>34235232G</v>
          </cell>
          <cell r="G94" t="str">
            <v>N/A</v>
          </cell>
          <cell r="H94" t="str">
            <v>CONCENTRICIDAD</v>
          </cell>
          <cell r="I94"/>
          <cell r="J94" t="str">
            <v>AUGUSTO</v>
          </cell>
          <cell r="K94">
            <v>44932</v>
          </cell>
          <cell r="L94" t="str">
            <v>Jose</v>
          </cell>
          <cell r="M94" t="str">
            <v>PASS</v>
          </cell>
          <cell r="N94" t="str">
            <v>CONCENTRICIDAD</v>
          </cell>
        </row>
        <row r="95">
          <cell r="A95">
            <v>20230092</v>
          </cell>
          <cell r="B95">
            <v>44932</v>
          </cell>
          <cell r="C95">
            <v>2</v>
          </cell>
          <cell r="D95" t="str">
            <v>720-2</v>
          </cell>
          <cell r="E95" t="str">
            <v>SPR8</v>
          </cell>
          <cell r="F95" t="str">
            <v>34235232G</v>
          </cell>
          <cell r="G95" t="str">
            <v>N/A</v>
          </cell>
          <cell r="H95" t="str">
            <v>OVALIDAD</v>
          </cell>
          <cell r="I95"/>
          <cell r="J95" t="str">
            <v>AUGUSTO</v>
          </cell>
          <cell r="K95">
            <v>44932</v>
          </cell>
          <cell r="L95" t="str">
            <v>Jose</v>
          </cell>
          <cell r="M95" t="str">
            <v>PASS</v>
          </cell>
          <cell r="N95" t="str">
            <v>OVALIDAD</v>
          </cell>
        </row>
        <row r="96">
          <cell r="A96">
            <v>20230093</v>
          </cell>
          <cell r="B96">
            <v>44932</v>
          </cell>
          <cell r="C96">
            <v>3</v>
          </cell>
          <cell r="D96" t="str">
            <v>720-1</v>
          </cell>
          <cell r="E96" t="str">
            <v>SPR8</v>
          </cell>
          <cell r="F96" t="str">
            <v>34324760D</v>
          </cell>
          <cell r="G96" t="str">
            <v>N/A</v>
          </cell>
          <cell r="H96" t="str">
            <v>CONCENTRICIDAD</v>
          </cell>
          <cell r="I96">
            <v>6</v>
          </cell>
          <cell r="J96" t="str">
            <v>AUGUSTO</v>
          </cell>
          <cell r="K96">
            <v>44932</v>
          </cell>
          <cell r="L96" t="str">
            <v>ERIC</v>
          </cell>
          <cell r="M96" t="str">
            <v>PASS</v>
          </cell>
          <cell r="N96" t="str">
            <v>CONCENTRICIDAD</v>
          </cell>
        </row>
        <row r="97">
          <cell r="A97">
            <v>20230094</v>
          </cell>
          <cell r="B97">
            <v>44932</v>
          </cell>
          <cell r="C97">
            <v>3</v>
          </cell>
          <cell r="D97" t="str">
            <v>720-1</v>
          </cell>
          <cell r="E97" t="str">
            <v>SPR8</v>
          </cell>
          <cell r="F97" t="str">
            <v>34324760D</v>
          </cell>
          <cell r="G97" t="str">
            <v>N/A</v>
          </cell>
          <cell r="H97" t="str">
            <v>OVALIDAD</v>
          </cell>
          <cell r="I97">
            <v>6</v>
          </cell>
          <cell r="J97" t="str">
            <v>AUGUSTO</v>
          </cell>
          <cell r="K97">
            <v>44932</v>
          </cell>
          <cell r="L97" t="str">
            <v>ERIC</v>
          </cell>
          <cell r="M97" t="str">
            <v>PASS</v>
          </cell>
          <cell r="N97" t="str">
            <v>OVALIDAD</v>
          </cell>
        </row>
        <row r="98">
          <cell r="A98">
            <v>20230095</v>
          </cell>
          <cell r="B98">
            <v>44932</v>
          </cell>
          <cell r="C98">
            <v>3</v>
          </cell>
          <cell r="D98" t="str">
            <v>702-5</v>
          </cell>
          <cell r="E98"/>
          <cell r="F98" t="str">
            <v>34301420B</v>
          </cell>
          <cell r="G98" t="str">
            <v>N/A</v>
          </cell>
          <cell r="H98" t="str">
            <v>QA#37,41,42,45</v>
          </cell>
          <cell r="I98">
            <v>30</v>
          </cell>
          <cell r="J98" t="str">
            <v>ANA</v>
          </cell>
          <cell r="K98">
            <v>44932</v>
          </cell>
          <cell r="L98" t="str">
            <v>Ernesto</v>
          </cell>
          <cell r="M98" t="str">
            <v>PASS</v>
          </cell>
          <cell r="N98" t="str">
            <v>QA#37,41,42,45</v>
          </cell>
        </row>
        <row r="99">
          <cell r="A99">
            <v>20230096</v>
          </cell>
          <cell r="B99">
            <v>44933</v>
          </cell>
          <cell r="C99">
            <v>1</v>
          </cell>
          <cell r="D99" t="str">
            <v>N/A</v>
          </cell>
          <cell r="E99" t="str">
            <v>N/A</v>
          </cell>
          <cell r="F99" t="str">
            <v>34111961ADSF</v>
          </cell>
          <cell r="G99">
            <v>12222022</v>
          </cell>
          <cell r="H99" t="str">
            <v xml:space="preserve">Conforme al rip </v>
          </cell>
          <cell r="I99" t="str">
            <v>5 pcs</v>
          </cell>
          <cell r="J99" t="str">
            <v>Nuevos programas</v>
          </cell>
          <cell r="K99">
            <v>44933</v>
          </cell>
          <cell r="L99" t="str">
            <v xml:space="preserve">Adela </v>
          </cell>
          <cell r="M99" t="str">
            <v>NO PASS</v>
          </cell>
          <cell r="N99" t="str">
            <v>N/A</v>
          </cell>
        </row>
        <row r="100">
          <cell r="A100">
            <v>20230097</v>
          </cell>
          <cell r="B100">
            <v>44933</v>
          </cell>
          <cell r="C100">
            <v>1</v>
          </cell>
          <cell r="D100" t="str">
            <v>PROTO GAGE</v>
          </cell>
          <cell r="E100" t="str">
            <v>N/A</v>
          </cell>
          <cell r="F100" t="str">
            <v>34282568B</v>
          </cell>
          <cell r="G100">
            <v>502</v>
          </cell>
          <cell r="H100">
            <v>65</v>
          </cell>
          <cell r="I100">
            <v>60</v>
          </cell>
          <cell r="J100" t="str">
            <v>VICTOR MIRANDA</v>
          </cell>
          <cell r="K100">
            <v>44933</v>
          </cell>
          <cell r="L100" t="str">
            <v>MAURICIO</v>
          </cell>
          <cell r="M100" t="str">
            <v>NO PASS</v>
          </cell>
          <cell r="N100" t="str">
            <v>PLANO MARCADO</v>
          </cell>
        </row>
        <row r="101">
          <cell r="A101">
            <v>20230098</v>
          </cell>
          <cell r="B101">
            <v>44935</v>
          </cell>
          <cell r="C101">
            <v>1</v>
          </cell>
          <cell r="D101" t="str">
            <v>n/a</v>
          </cell>
          <cell r="E101" t="str">
            <v>n/a</v>
          </cell>
          <cell r="F101" t="str">
            <v>34111961AGMB</v>
          </cell>
          <cell r="G101">
            <v>12222022</v>
          </cell>
          <cell r="H101" t="str">
            <v xml:space="preserve">Conforme al rip </v>
          </cell>
          <cell r="I101" t="str">
            <v>5 pcs</v>
          </cell>
          <cell r="J101" t="str">
            <v>Nuevos programas</v>
          </cell>
          <cell r="K101">
            <v>44935</v>
          </cell>
          <cell r="L101" t="str">
            <v xml:space="preserve">Adela </v>
          </cell>
          <cell r="M101" t="str">
            <v>NO PASS</v>
          </cell>
          <cell r="N101" t="str">
            <v>N/A</v>
          </cell>
        </row>
        <row r="102">
          <cell r="A102">
            <v>20230099</v>
          </cell>
          <cell r="B102">
            <v>44935</v>
          </cell>
          <cell r="C102">
            <v>1</v>
          </cell>
          <cell r="D102" t="str">
            <v>714-6</v>
          </cell>
          <cell r="E102" t="str">
            <v>SPR8</v>
          </cell>
          <cell r="F102" t="str">
            <v>A022L891A</v>
          </cell>
          <cell r="G102" t="str">
            <v>N/A</v>
          </cell>
          <cell r="H102" t="str">
            <v>11,12,13,15</v>
          </cell>
          <cell r="I102" t="str">
            <v>4 PCS</v>
          </cell>
          <cell r="J102" t="str">
            <v>Laura Castillo</v>
          </cell>
          <cell r="K102">
            <v>44935</v>
          </cell>
          <cell r="L102" t="str">
            <v>Nohemi</v>
          </cell>
          <cell r="M102" t="str">
            <v>PASS</v>
          </cell>
          <cell r="N102"/>
        </row>
        <row r="103">
          <cell r="A103">
            <v>20230100</v>
          </cell>
          <cell r="B103">
            <v>44935</v>
          </cell>
          <cell r="C103">
            <v>1</v>
          </cell>
          <cell r="D103" t="str">
            <v>702-5</v>
          </cell>
          <cell r="E103" t="str">
            <v>SPR4</v>
          </cell>
          <cell r="F103" t="str">
            <v>34301420B</v>
          </cell>
          <cell r="G103" t="str">
            <v>N/A</v>
          </cell>
          <cell r="H103" t="str">
            <v>37,41,42,45</v>
          </cell>
          <cell r="I103" t="str">
            <v>30 PCS</v>
          </cell>
          <cell r="J103" t="str">
            <v>Gabriel Ramos</v>
          </cell>
          <cell r="K103">
            <v>44935</v>
          </cell>
          <cell r="L103" t="str">
            <v>Nohemi</v>
          </cell>
          <cell r="M103" t="str">
            <v>NO PASS</v>
          </cell>
          <cell r="N103"/>
        </row>
        <row r="104">
          <cell r="A104">
            <v>20230101</v>
          </cell>
          <cell r="B104">
            <v>44935</v>
          </cell>
          <cell r="C104">
            <v>1</v>
          </cell>
          <cell r="D104" t="str">
            <v>720-6</v>
          </cell>
          <cell r="E104" t="str">
            <v>T1XX</v>
          </cell>
          <cell r="F104" t="str">
            <v>A023T781A</v>
          </cell>
          <cell r="G104" t="str">
            <v>N/A</v>
          </cell>
          <cell r="H104" t="str">
            <v>Z ( 0° ± 10°)</v>
          </cell>
          <cell r="I104">
            <v>1</v>
          </cell>
          <cell r="J104" t="str">
            <v>Laura Castillo</v>
          </cell>
          <cell r="K104">
            <v>44935</v>
          </cell>
          <cell r="L104" t="str">
            <v>MAURICIO</v>
          </cell>
          <cell r="M104" t="str">
            <v>PASS</v>
          </cell>
          <cell r="N104" t="str">
            <v>A0053W1860A-A</v>
          </cell>
        </row>
        <row r="105">
          <cell r="A105">
            <v>20230102</v>
          </cell>
          <cell r="B105">
            <v>44935</v>
          </cell>
          <cell r="C105">
            <v>1</v>
          </cell>
          <cell r="D105" t="str">
            <v>N/A</v>
          </cell>
          <cell r="E105" t="str">
            <v>N/A</v>
          </cell>
          <cell r="F105" t="str">
            <v>34138931B</v>
          </cell>
          <cell r="G105">
            <v>75</v>
          </cell>
          <cell r="H105" t="str">
            <v xml:space="preserve">Conforme al rip </v>
          </cell>
          <cell r="I105" t="str">
            <v>5 pcs</v>
          </cell>
          <cell r="J105" t="str">
            <v>Nuevos programas</v>
          </cell>
          <cell r="K105">
            <v>44935</v>
          </cell>
          <cell r="L105" t="str">
            <v xml:space="preserve">Adela </v>
          </cell>
          <cell r="M105" t="str">
            <v>PASS</v>
          </cell>
          <cell r="N105" t="str">
            <v>N/A</v>
          </cell>
        </row>
        <row r="106">
          <cell r="A106">
            <v>20230103</v>
          </cell>
          <cell r="B106">
            <v>44935</v>
          </cell>
          <cell r="C106">
            <v>1</v>
          </cell>
          <cell r="D106" t="str">
            <v>720-2</v>
          </cell>
          <cell r="E106" t="str">
            <v>SPR8</v>
          </cell>
          <cell r="F106" t="str">
            <v>34235233G</v>
          </cell>
          <cell r="G106" t="str">
            <v>N/A</v>
          </cell>
          <cell r="H106" t="str">
            <v>CONCENTRICIDAD</v>
          </cell>
          <cell r="I106">
            <v>12</v>
          </cell>
          <cell r="J106" t="str">
            <v>EVELYN ESTUDILLO</v>
          </cell>
          <cell r="K106">
            <v>44935</v>
          </cell>
          <cell r="L106" t="str">
            <v>MAURICIO</v>
          </cell>
          <cell r="M106" t="str">
            <v>PASS</v>
          </cell>
          <cell r="N106" t="str">
            <v>CONCENTRICIDAD</v>
          </cell>
        </row>
        <row r="107">
          <cell r="A107">
            <v>20230104</v>
          </cell>
          <cell r="B107">
            <v>44935</v>
          </cell>
          <cell r="C107">
            <v>1</v>
          </cell>
          <cell r="D107" t="str">
            <v>720-5</v>
          </cell>
          <cell r="E107" t="str">
            <v>SPR8</v>
          </cell>
          <cell r="F107" t="str">
            <v>34324759E</v>
          </cell>
          <cell r="G107" t="str">
            <v>N/A</v>
          </cell>
          <cell r="H107" t="str">
            <v>CONCENTRICIDAD</v>
          </cell>
          <cell r="I107">
            <v>12</v>
          </cell>
          <cell r="J107" t="str">
            <v>EVELYN ESTUDILLO</v>
          </cell>
          <cell r="K107">
            <v>44935</v>
          </cell>
          <cell r="L107" t="str">
            <v>MAURICIO</v>
          </cell>
          <cell r="M107" t="str">
            <v>PASS</v>
          </cell>
          <cell r="N107" t="str">
            <v>CONCENTRICIDAD</v>
          </cell>
        </row>
        <row r="108">
          <cell r="A108">
            <v>20230105</v>
          </cell>
          <cell r="B108">
            <v>44935</v>
          </cell>
          <cell r="C108">
            <v>1</v>
          </cell>
          <cell r="D108" t="str">
            <v>720-3</v>
          </cell>
          <cell r="E108" t="str">
            <v>SPR8</v>
          </cell>
          <cell r="F108" t="str">
            <v>34235234G</v>
          </cell>
          <cell r="G108" t="str">
            <v>N/A</v>
          </cell>
          <cell r="H108" t="str">
            <v>CONCENTRICIDAD</v>
          </cell>
          <cell r="I108">
            <v>12</v>
          </cell>
          <cell r="J108" t="str">
            <v>EVELYN ESTUDILLO</v>
          </cell>
          <cell r="K108">
            <v>44935</v>
          </cell>
          <cell r="L108" t="str">
            <v>MAURICIO</v>
          </cell>
          <cell r="M108" t="str">
            <v>PASS</v>
          </cell>
          <cell r="N108" t="str">
            <v>CONCENTRICIDAD</v>
          </cell>
        </row>
        <row r="109">
          <cell r="A109">
            <v>20230106</v>
          </cell>
          <cell r="B109">
            <v>44935</v>
          </cell>
          <cell r="C109">
            <v>1</v>
          </cell>
          <cell r="D109" t="str">
            <v>720-1</v>
          </cell>
          <cell r="E109" t="str">
            <v>SPR8</v>
          </cell>
          <cell r="F109" t="str">
            <v>34324760D</v>
          </cell>
          <cell r="G109" t="str">
            <v>N/A</v>
          </cell>
          <cell r="H109" t="str">
            <v>CONCENTRICIDAD</v>
          </cell>
          <cell r="I109">
            <v>12</v>
          </cell>
          <cell r="J109" t="str">
            <v>EVELYN ESTUDILLO</v>
          </cell>
          <cell r="K109">
            <v>44935</v>
          </cell>
          <cell r="L109" t="str">
            <v>MAURICIO</v>
          </cell>
          <cell r="M109" t="str">
            <v>PASS</v>
          </cell>
          <cell r="N109" t="str">
            <v>CONCENTRICIDAD</v>
          </cell>
        </row>
        <row r="110">
          <cell r="A110">
            <v>20230107</v>
          </cell>
          <cell r="B110">
            <v>44935</v>
          </cell>
          <cell r="C110">
            <v>1</v>
          </cell>
          <cell r="D110" t="str">
            <v>720-4</v>
          </cell>
          <cell r="E110" t="str">
            <v>SPR8</v>
          </cell>
          <cell r="F110" t="str">
            <v>34361271A</v>
          </cell>
          <cell r="G110" t="str">
            <v>N/A</v>
          </cell>
          <cell r="H110" t="str">
            <v>OVALIDAD CONCENTRICIDAD</v>
          </cell>
          <cell r="I110">
            <v>12</v>
          </cell>
          <cell r="J110" t="str">
            <v>EVELYN ESTUDILLO</v>
          </cell>
          <cell r="K110">
            <v>44935</v>
          </cell>
          <cell r="L110" t="str">
            <v>MAURICIO</v>
          </cell>
          <cell r="M110" t="str">
            <v>PASS</v>
          </cell>
          <cell r="N110" t="str">
            <v>VALIDACION CONCENTRICIDAD</v>
          </cell>
        </row>
        <row r="111">
          <cell r="A111">
            <v>20230108</v>
          </cell>
          <cell r="B111">
            <v>44935</v>
          </cell>
          <cell r="C111">
            <v>1</v>
          </cell>
          <cell r="D111" t="str">
            <v>720-2</v>
          </cell>
          <cell r="E111" t="str">
            <v>SPR8</v>
          </cell>
          <cell r="F111" t="str">
            <v>34235233G</v>
          </cell>
          <cell r="G111" t="str">
            <v>N/A</v>
          </cell>
          <cell r="H111" t="str">
            <v>OVALIDAD</v>
          </cell>
          <cell r="I111">
            <v>12</v>
          </cell>
          <cell r="J111" t="str">
            <v>EVELYN ESTUDILLO</v>
          </cell>
          <cell r="K111">
            <v>44935</v>
          </cell>
          <cell r="L111" t="str">
            <v>MAURICIO</v>
          </cell>
          <cell r="M111" t="str">
            <v>PASS</v>
          </cell>
          <cell r="N111" t="str">
            <v>OVALIDAD</v>
          </cell>
        </row>
        <row r="112">
          <cell r="A112">
            <v>20230109</v>
          </cell>
          <cell r="B112">
            <v>44935</v>
          </cell>
          <cell r="C112">
            <v>1</v>
          </cell>
          <cell r="D112" t="str">
            <v>720-5</v>
          </cell>
          <cell r="E112" t="str">
            <v>SPR8</v>
          </cell>
          <cell r="F112" t="str">
            <v>34324759E</v>
          </cell>
          <cell r="G112" t="str">
            <v>N/A</v>
          </cell>
          <cell r="H112" t="str">
            <v>OVALIDAD</v>
          </cell>
          <cell r="I112">
            <v>12</v>
          </cell>
          <cell r="J112" t="str">
            <v>EVELYN ESTUDILLO</v>
          </cell>
          <cell r="K112">
            <v>44935</v>
          </cell>
          <cell r="L112" t="str">
            <v>MAURICIO</v>
          </cell>
          <cell r="M112" t="str">
            <v>PASS</v>
          </cell>
          <cell r="N112" t="str">
            <v>OVALIDAD</v>
          </cell>
        </row>
        <row r="113">
          <cell r="A113">
            <v>20230110</v>
          </cell>
          <cell r="B113">
            <v>44935</v>
          </cell>
          <cell r="C113">
            <v>1</v>
          </cell>
          <cell r="D113" t="str">
            <v>720-3</v>
          </cell>
          <cell r="E113" t="str">
            <v>SPR8</v>
          </cell>
          <cell r="F113" t="str">
            <v>34235234G</v>
          </cell>
          <cell r="G113" t="str">
            <v>N/A</v>
          </cell>
          <cell r="H113" t="str">
            <v>OVALIDAD</v>
          </cell>
          <cell r="I113">
            <v>12</v>
          </cell>
          <cell r="J113" t="str">
            <v>EVELYN ESTUDILLO</v>
          </cell>
          <cell r="K113">
            <v>44935</v>
          </cell>
          <cell r="L113" t="str">
            <v>MAURICIO</v>
          </cell>
          <cell r="M113" t="str">
            <v>PASS</v>
          </cell>
          <cell r="N113" t="str">
            <v>OVALIDAD</v>
          </cell>
        </row>
        <row r="114">
          <cell r="A114">
            <v>20230111</v>
          </cell>
          <cell r="B114">
            <v>44935</v>
          </cell>
          <cell r="C114">
            <v>1</v>
          </cell>
          <cell r="D114" t="str">
            <v>720-1</v>
          </cell>
          <cell r="E114" t="str">
            <v>SPR8</v>
          </cell>
          <cell r="F114" t="str">
            <v>34324760D</v>
          </cell>
          <cell r="G114" t="str">
            <v>N/A</v>
          </cell>
          <cell r="H114" t="str">
            <v>OVALIDAD</v>
          </cell>
          <cell r="I114">
            <v>12</v>
          </cell>
          <cell r="J114" t="str">
            <v>EVELYN ESTUDILLO</v>
          </cell>
          <cell r="K114">
            <v>44935</v>
          </cell>
          <cell r="L114" t="str">
            <v>MAURICIO</v>
          </cell>
          <cell r="M114" t="str">
            <v>PASS</v>
          </cell>
          <cell r="N114" t="str">
            <v>OVALIDAD</v>
          </cell>
        </row>
        <row r="115">
          <cell r="A115">
            <v>20230112</v>
          </cell>
          <cell r="B115">
            <v>44935</v>
          </cell>
          <cell r="C115">
            <v>1</v>
          </cell>
          <cell r="D115" t="str">
            <v>720-4</v>
          </cell>
          <cell r="E115" t="str">
            <v>SPR8</v>
          </cell>
          <cell r="F115" t="str">
            <v>34361271A</v>
          </cell>
          <cell r="G115" t="str">
            <v>N/A</v>
          </cell>
          <cell r="H115" t="str">
            <v>VALIDACION OVALIDAD</v>
          </cell>
          <cell r="I115">
            <v>12</v>
          </cell>
          <cell r="J115" t="str">
            <v>EVELYN ESTUDILLO</v>
          </cell>
          <cell r="K115">
            <v>44935</v>
          </cell>
          <cell r="L115" t="str">
            <v>MAURICIO</v>
          </cell>
          <cell r="M115" t="str">
            <v>PASS</v>
          </cell>
          <cell r="N115" t="str">
            <v>VALIDACION OVALIDAD</v>
          </cell>
        </row>
        <row r="116">
          <cell r="A116">
            <v>20230113</v>
          </cell>
          <cell r="B116">
            <v>44935</v>
          </cell>
          <cell r="C116">
            <v>1</v>
          </cell>
          <cell r="D116" t="str">
            <v>716-3</v>
          </cell>
          <cell r="E116" t="str">
            <v>SPR8</v>
          </cell>
          <cell r="F116" t="str">
            <v>34285576C</v>
          </cell>
          <cell r="G116" t="str">
            <v>N/A</v>
          </cell>
          <cell r="H116" t="str">
            <v>3,8,76,103</v>
          </cell>
          <cell r="I116" t="str">
            <v>7 PCS</v>
          </cell>
          <cell r="J116" t="str">
            <v>Laura Castillo</v>
          </cell>
          <cell r="K116">
            <v>44935</v>
          </cell>
          <cell r="L116" t="str">
            <v>Nohemi</v>
          </cell>
          <cell r="M116" t="str">
            <v>NO PASS</v>
          </cell>
          <cell r="N116" t="str">
            <v>Proveedor, cavidades y lotes especificos</v>
          </cell>
        </row>
        <row r="117">
          <cell r="A117">
            <v>20230114</v>
          </cell>
          <cell r="B117">
            <v>44935</v>
          </cell>
          <cell r="C117">
            <v>3</v>
          </cell>
          <cell r="D117" t="str">
            <v>720-1</v>
          </cell>
          <cell r="E117" t="str">
            <v>SPR8</v>
          </cell>
          <cell r="F117" t="str">
            <v>34324760D</v>
          </cell>
          <cell r="G117" t="str">
            <v>N/A</v>
          </cell>
          <cell r="H117" t="str">
            <v>CONCENTRICIDAD</v>
          </cell>
          <cell r="I117">
            <v>12</v>
          </cell>
          <cell r="J117" t="str">
            <v>AUGUSTO</v>
          </cell>
          <cell r="K117">
            <v>44935</v>
          </cell>
          <cell r="L117" t="str">
            <v>Ernesto</v>
          </cell>
          <cell r="M117" t="str">
            <v>PASS</v>
          </cell>
          <cell r="N117" t="str">
            <v>CONCENTRICIDAD</v>
          </cell>
        </row>
        <row r="118">
          <cell r="A118">
            <v>20230115</v>
          </cell>
          <cell r="B118">
            <v>44935</v>
          </cell>
          <cell r="C118">
            <v>3</v>
          </cell>
          <cell r="D118" t="str">
            <v>720-1</v>
          </cell>
          <cell r="E118" t="str">
            <v>SPR8</v>
          </cell>
          <cell r="F118" t="str">
            <v>34324760D</v>
          </cell>
          <cell r="G118" t="str">
            <v>N/A</v>
          </cell>
          <cell r="H118" t="str">
            <v>OVALIDAD</v>
          </cell>
          <cell r="I118">
            <v>12</v>
          </cell>
          <cell r="J118" t="str">
            <v>AUGUSTO</v>
          </cell>
          <cell r="K118">
            <v>44935</v>
          </cell>
          <cell r="L118" t="str">
            <v>Ernesto</v>
          </cell>
          <cell r="M118" t="str">
            <v>PASS</v>
          </cell>
          <cell r="N118" t="str">
            <v>OVALIDAD</v>
          </cell>
        </row>
        <row r="119">
          <cell r="A119">
            <v>20230116</v>
          </cell>
          <cell r="B119">
            <v>44935</v>
          </cell>
          <cell r="C119">
            <v>3</v>
          </cell>
          <cell r="D119" t="str">
            <v>720-2</v>
          </cell>
          <cell r="E119" t="str">
            <v>SPR8</v>
          </cell>
          <cell r="F119" t="str">
            <v>34235232G</v>
          </cell>
          <cell r="G119" t="str">
            <v>N/A</v>
          </cell>
          <cell r="H119" t="str">
            <v>CONCENTRICIDAD</v>
          </cell>
          <cell r="I119">
            <v>12</v>
          </cell>
          <cell r="J119" t="str">
            <v>AUGUSTO</v>
          </cell>
          <cell r="K119">
            <v>44935</v>
          </cell>
          <cell r="L119" t="str">
            <v>Ernesto</v>
          </cell>
          <cell r="M119" t="str">
            <v>PASS</v>
          </cell>
          <cell r="N119" t="str">
            <v>CONCENTRICIDAD</v>
          </cell>
        </row>
        <row r="120">
          <cell r="A120">
            <v>20230117</v>
          </cell>
          <cell r="B120">
            <v>44935</v>
          </cell>
          <cell r="C120">
            <v>3</v>
          </cell>
          <cell r="D120" t="str">
            <v>720-2</v>
          </cell>
          <cell r="E120" t="str">
            <v>SPR8</v>
          </cell>
          <cell r="F120" t="str">
            <v>34235232G</v>
          </cell>
          <cell r="G120" t="str">
            <v>N/A</v>
          </cell>
          <cell r="H120" t="str">
            <v>OVALIDAD</v>
          </cell>
          <cell r="I120">
            <v>12</v>
          </cell>
          <cell r="J120" t="str">
            <v>AUGUSTO</v>
          </cell>
          <cell r="K120">
            <v>44935</v>
          </cell>
          <cell r="L120" t="str">
            <v>Ernesto</v>
          </cell>
          <cell r="M120" t="str">
            <v>PASS</v>
          </cell>
          <cell r="N120" t="str">
            <v>OVALIDAD</v>
          </cell>
        </row>
        <row r="121">
          <cell r="A121">
            <v>20230118</v>
          </cell>
          <cell r="B121">
            <v>44935</v>
          </cell>
          <cell r="C121">
            <v>3</v>
          </cell>
          <cell r="D121" t="str">
            <v>720-3</v>
          </cell>
          <cell r="E121" t="str">
            <v>SPR8</v>
          </cell>
          <cell r="F121" t="str">
            <v>34235234G</v>
          </cell>
          <cell r="G121" t="str">
            <v>N/A</v>
          </cell>
          <cell r="H121" t="str">
            <v>CONCENTRICIDAD</v>
          </cell>
          <cell r="I121">
            <v>12</v>
          </cell>
          <cell r="J121" t="str">
            <v>AUGUSTO</v>
          </cell>
          <cell r="K121">
            <v>44935</v>
          </cell>
          <cell r="L121" t="str">
            <v>Ernesto</v>
          </cell>
          <cell r="M121" t="str">
            <v>PASS</v>
          </cell>
          <cell r="N121" t="str">
            <v>CONCENTRICIDAD</v>
          </cell>
        </row>
        <row r="122">
          <cell r="A122">
            <v>20230119</v>
          </cell>
          <cell r="B122">
            <v>44935</v>
          </cell>
          <cell r="C122">
            <v>3</v>
          </cell>
          <cell r="D122" t="str">
            <v>720-3</v>
          </cell>
          <cell r="E122" t="str">
            <v>SPR8</v>
          </cell>
          <cell r="F122" t="str">
            <v>34235234G</v>
          </cell>
          <cell r="G122" t="str">
            <v>N/A</v>
          </cell>
          <cell r="H122" t="str">
            <v>OVALIDAD</v>
          </cell>
          <cell r="I122">
            <v>12</v>
          </cell>
          <cell r="J122" t="str">
            <v>AUGUSTO</v>
          </cell>
          <cell r="K122">
            <v>44935</v>
          </cell>
          <cell r="L122" t="str">
            <v>Ernesto</v>
          </cell>
          <cell r="M122" t="str">
            <v>PASS</v>
          </cell>
          <cell r="N122" t="str">
            <v>OVALIDAD</v>
          </cell>
        </row>
        <row r="123">
          <cell r="A123">
            <v>20230120</v>
          </cell>
          <cell r="B123">
            <v>44935</v>
          </cell>
          <cell r="C123">
            <v>3</v>
          </cell>
          <cell r="D123" t="str">
            <v>720-5</v>
          </cell>
          <cell r="E123" t="str">
            <v>SPR8</v>
          </cell>
          <cell r="F123" t="str">
            <v>34324759E</v>
          </cell>
          <cell r="G123" t="str">
            <v>N/A</v>
          </cell>
          <cell r="H123" t="str">
            <v>CONCENTRICIDAD</v>
          </cell>
          <cell r="I123">
            <v>12</v>
          </cell>
          <cell r="J123" t="str">
            <v>AUGUSTO</v>
          </cell>
          <cell r="K123">
            <v>44935</v>
          </cell>
          <cell r="L123" t="str">
            <v>Ernesto</v>
          </cell>
          <cell r="M123" t="str">
            <v>PASS</v>
          </cell>
          <cell r="N123" t="str">
            <v>CONCENTRICIDAD</v>
          </cell>
        </row>
        <row r="124">
          <cell r="A124">
            <v>20230121</v>
          </cell>
          <cell r="B124">
            <v>44935</v>
          </cell>
          <cell r="C124">
            <v>3</v>
          </cell>
          <cell r="D124" t="str">
            <v>720-5</v>
          </cell>
          <cell r="E124" t="str">
            <v>SPR8</v>
          </cell>
          <cell r="F124" t="str">
            <v>34324759E</v>
          </cell>
          <cell r="G124" t="str">
            <v>N/A</v>
          </cell>
          <cell r="H124" t="str">
            <v>OVALIDAD</v>
          </cell>
          <cell r="I124">
            <v>12</v>
          </cell>
          <cell r="J124" t="str">
            <v>AUGUSTO</v>
          </cell>
          <cell r="K124">
            <v>44935</v>
          </cell>
          <cell r="L124" t="str">
            <v>Ernesto</v>
          </cell>
          <cell r="M124" t="str">
            <v>PASS</v>
          </cell>
          <cell r="N124" t="str">
            <v>OVALIDAD</v>
          </cell>
        </row>
        <row r="125">
          <cell r="A125">
            <v>20230122</v>
          </cell>
          <cell r="B125">
            <v>44935</v>
          </cell>
          <cell r="C125">
            <v>3</v>
          </cell>
          <cell r="D125" t="str">
            <v>720-6</v>
          </cell>
          <cell r="E125" t="str">
            <v>SPR8</v>
          </cell>
          <cell r="F125" t="str">
            <v>A020R620A</v>
          </cell>
          <cell r="G125" t="str">
            <v>N/A</v>
          </cell>
          <cell r="H125" t="str">
            <v>CONCENTRICIDAD</v>
          </cell>
          <cell r="I125">
            <v>12</v>
          </cell>
          <cell r="J125" t="str">
            <v>AUGUSTO</v>
          </cell>
          <cell r="K125">
            <v>44935</v>
          </cell>
          <cell r="L125" t="str">
            <v>Ernesto</v>
          </cell>
          <cell r="M125" t="str">
            <v>PASS</v>
          </cell>
          <cell r="N125" t="str">
            <v>CONCENTRICIDAD</v>
          </cell>
        </row>
        <row r="126">
          <cell r="A126">
            <v>20230123</v>
          </cell>
          <cell r="B126">
            <v>44935</v>
          </cell>
          <cell r="C126">
            <v>3</v>
          </cell>
          <cell r="D126" t="str">
            <v>720-6</v>
          </cell>
          <cell r="E126" t="str">
            <v>SPR8</v>
          </cell>
          <cell r="F126" t="str">
            <v>A020R620A</v>
          </cell>
          <cell r="G126" t="str">
            <v>N/A</v>
          </cell>
          <cell r="H126" t="str">
            <v>OVALIDAD</v>
          </cell>
          <cell r="I126">
            <v>12</v>
          </cell>
          <cell r="J126" t="str">
            <v>AUGUSTO</v>
          </cell>
          <cell r="K126">
            <v>44935</v>
          </cell>
          <cell r="L126" t="str">
            <v>Ernesto</v>
          </cell>
          <cell r="M126" t="str">
            <v>PASS</v>
          </cell>
          <cell r="N126" t="str">
            <v>OVALIDAD</v>
          </cell>
        </row>
        <row r="127">
          <cell r="A127">
            <v>20230124</v>
          </cell>
          <cell r="B127">
            <v>44935</v>
          </cell>
          <cell r="C127">
            <v>1</v>
          </cell>
          <cell r="D127" t="str">
            <v>N/A</v>
          </cell>
          <cell r="E127" t="str">
            <v>N/A</v>
          </cell>
          <cell r="F127" t="str">
            <v>34242909A</v>
          </cell>
          <cell r="G127">
            <v>2234034811</v>
          </cell>
          <cell r="H127" t="str">
            <v>22 23 24</v>
          </cell>
          <cell r="I127">
            <v>8</v>
          </cell>
          <cell r="J127" t="str">
            <v>Jesus sampayo</v>
          </cell>
          <cell r="K127">
            <v>44936</v>
          </cell>
          <cell r="L127" t="str">
            <v>MAURICIO</v>
          </cell>
          <cell r="M127" t="str">
            <v>PASS</v>
          </cell>
          <cell r="N127" t="str">
            <v>PLANO MARCADO</v>
          </cell>
        </row>
        <row r="128">
          <cell r="A128">
            <v>20230125</v>
          </cell>
          <cell r="B128">
            <v>44936</v>
          </cell>
          <cell r="C128">
            <v>1</v>
          </cell>
          <cell r="D128" t="str">
            <v>GETAC</v>
          </cell>
          <cell r="E128" t="str">
            <v>N/A</v>
          </cell>
          <cell r="F128" t="str">
            <v>34185550F</v>
          </cell>
          <cell r="G128" t="str">
            <v>N/A</v>
          </cell>
          <cell r="H128">
            <v>250</v>
          </cell>
          <cell r="I128">
            <v>2</v>
          </cell>
          <cell r="J128" t="str">
            <v>NICOLAS MENDOZA</v>
          </cell>
          <cell r="K128">
            <v>44936</v>
          </cell>
          <cell r="L128" t="str">
            <v>MAURICIO</v>
          </cell>
          <cell r="M128" t="str">
            <v>NO PASS</v>
          </cell>
          <cell r="N128" t="str">
            <v>PLANO MARCADO</v>
          </cell>
        </row>
        <row r="129">
          <cell r="A129">
            <v>20230126</v>
          </cell>
          <cell r="B129">
            <v>44936</v>
          </cell>
          <cell r="C129">
            <v>1</v>
          </cell>
          <cell r="D129">
            <v>462</v>
          </cell>
          <cell r="E129" t="str">
            <v>N/A</v>
          </cell>
          <cell r="F129" t="str">
            <v>DWG 3B</v>
          </cell>
          <cell r="G129" t="str">
            <v>N/A</v>
          </cell>
          <cell r="H129" t="str">
            <v>A,B</v>
          </cell>
          <cell r="I129">
            <v>1</v>
          </cell>
          <cell r="J129" t="str">
            <v>Jesus sampayo</v>
          </cell>
          <cell r="K129">
            <v>44936</v>
          </cell>
          <cell r="L129" t="str">
            <v>MAURICIO</v>
          </cell>
          <cell r="M129" t="str">
            <v>NO PASS</v>
          </cell>
          <cell r="N129" t="str">
            <v>PLANO MARCADO</v>
          </cell>
        </row>
        <row r="130">
          <cell r="A130">
            <v>20230127</v>
          </cell>
          <cell r="B130">
            <v>44936</v>
          </cell>
          <cell r="C130">
            <v>1</v>
          </cell>
          <cell r="D130" t="str">
            <v>N/A</v>
          </cell>
          <cell r="E130" t="str">
            <v>N/A</v>
          </cell>
          <cell r="F130" t="str">
            <v>34338096A</v>
          </cell>
          <cell r="G130">
            <v>4</v>
          </cell>
          <cell r="H130" t="str">
            <v xml:space="preserve">Conforme al rip </v>
          </cell>
          <cell r="I130" t="str">
            <v>5 pcs</v>
          </cell>
          <cell r="J130" t="str">
            <v>Nuevos programas</v>
          </cell>
          <cell r="K130">
            <v>44936</v>
          </cell>
          <cell r="L130" t="str">
            <v xml:space="preserve">Adela </v>
          </cell>
          <cell r="M130" t="str">
            <v>PASS</v>
          </cell>
          <cell r="N130" t="str">
            <v>N/A</v>
          </cell>
        </row>
        <row r="131">
          <cell r="A131">
            <v>20230128</v>
          </cell>
          <cell r="B131">
            <v>44936</v>
          </cell>
          <cell r="C131">
            <v>1</v>
          </cell>
          <cell r="D131" t="str">
            <v>720-1</v>
          </cell>
          <cell r="E131" t="str">
            <v>SPR8</v>
          </cell>
          <cell r="F131" t="str">
            <v>34296437C</v>
          </cell>
          <cell r="G131" t="str">
            <v>N/A</v>
          </cell>
          <cell r="H131" t="str">
            <v>CONCENTRICIDAD</v>
          </cell>
          <cell r="I131">
            <v>12</v>
          </cell>
          <cell r="J131" t="str">
            <v>EVELYN ESTUDILLO</v>
          </cell>
          <cell r="K131">
            <v>44936</v>
          </cell>
          <cell r="L131" t="str">
            <v>MAURICIO</v>
          </cell>
          <cell r="M131" t="str">
            <v>PASS</v>
          </cell>
          <cell r="N131" t="str">
            <v>CONCENTRICIDAD</v>
          </cell>
        </row>
        <row r="132">
          <cell r="A132">
            <v>20230129</v>
          </cell>
          <cell r="B132">
            <v>44936</v>
          </cell>
          <cell r="C132">
            <v>1</v>
          </cell>
          <cell r="D132" t="str">
            <v>720-5</v>
          </cell>
          <cell r="E132" t="str">
            <v>SPR8</v>
          </cell>
          <cell r="F132" t="str">
            <v>34324760D</v>
          </cell>
          <cell r="G132" t="str">
            <v>N/A</v>
          </cell>
          <cell r="H132" t="str">
            <v>CONCENTRICIDAD</v>
          </cell>
          <cell r="I132">
            <v>12</v>
          </cell>
          <cell r="J132" t="str">
            <v>EVELYN ESTUDILLO</v>
          </cell>
          <cell r="K132">
            <v>44936</v>
          </cell>
          <cell r="L132" t="str">
            <v>MAURICIO</v>
          </cell>
          <cell r="M132" t="str">
            <v>PASS</v>
          </cell>
          <cell r="N132" t="str">
            <v>CONCENTRICIDAD</v>
          </cell>
        </row>
        <row r="133">
          <cell r="A133">
            <v>20230130</v>
          </cell>
          <cell r="B133">
            <v>44936</v>
          </cell>
          <cell r="C133">
            <v>1</v>
          </cell>
          <cell r="D133" t="str">
            <v>720-3</v>
          </cell>
          <cell r="E133" t="str">
            <v>SPR8</v>
          </cell>
          <cell r="F133" t="str">
            <v>34235233G</v>
          </cell>
          <cell r="G133" t="str">
            <v>N/A</v>
          </cell>
          <cell r="H133" t="str">
            <v>CONCENTRICIDAD</v>
          </cell>
          <cell r="I133">
            <v>12</v>
          </cell>
          <cell r="J133" t="str">
            <v>EVELYN ESTUDILLO</v>
          </cell>
          <cell r="K133">
            <v>44936</v>
          </cell>
          <cell r="L133" t="str">
            <v>MAURICIO</v>
          </cell>
          <cell r="M133" t="str">
            <v>PASS</v>
          </cell>
          <cell r="N133" t="str">
            <v>CONCENTRICIDAD</v>
          </cell>
        </row>
        <row r="134">
          <cell r="A134">
            <v>20230131</v>
          </cell>
          <cell r="B134">
            <v>44936</v>
          </cell>
          <cell r="C134">
            <v>1</v>
          </cell>
          <cell r="D134" t="str">
            <v>720-6</v>
          </cell>
          <cell r="E134" t="str">
            <v>SPR8</v>
          </cell>
          <cell r="F134" t="str">
            <v>A020R620A</v>
          </cell>
          <cell r="G134" t="str">
            <v>N/A</v>
          </cell>
          <cell r="H134" t="str">
            <v>CONCENTRICIDAD</v>
          </cell>
          <cell r="I134">
            <v>12</v>
          </cell>
          <cell r="J134" t="str">
            <v>EVELYN ESTUDILLO</v>
          </cell>
          <cell r="K134">
            <v>44936</v>
          </cell>
          <cell r="L134" t="str">
            <v>MAURICIO</v>
          </cell>
          <cell r="M134" t="str">
            <v>PASS</v>
          </cell>
          <cell r="N134" t="str">
            <v>CONCENTRICIDAD</v>
          </cell>
        </row>
        <row r="135">
          <cell r="A135">
            <v>20230132</v>
          </cell>
          <cell r="B135">
            <v>44936</v>
          </cell>
          <cell r="C135">
            <v>1</v>
          </cell>
          <cell r="D135" t="str">
            <v>720-2</v>
          </cell>
          <cell r="E135" t="str">
            <v>SPR8</v>
          </cell>
          <cell r="F135" t="str">
            <v>34296441C</v>
          </cell>
          <cell r="G135" t="str">
            <v>N/A</v>
          </cell>
          <cell r="H135" t="str">
            <v>CONCENTRICIDAD</v>
          </cell>
          <cell r="I135">
            <v>12</v>
          </cell>
          <cell r="J135" t="str">
            <v>EVELYN ESTUDILLO</v>
          </cell>
          <cell r="K135">
            <v>44936</v>
          </cell>
          <cell r="L135" t="str">
            <v>MAURICIO</v>
          </cell>
          <cell r="M135" t="str">
            <v>PASS</v>
          </cell>
          <cell r="N135" t="str">
            <v>CONCENTRICIDAD</v>
          </cell>
        </row>
        <row r="136">
          <cell r="A136">
            <v>20230133</v>
          </cell>
          <cell r="B136">
            <v>44936</v>
          </cell>
          <cell r="C136">
            <v>1</v>
          </cell>
          <cell r="D136" t="str">
            <v>720-4</v>
          </cell>
          <cell r="E136" t="str">
            <v>SPR8</v>
          </cell>
          <cell r="F136" t="str">
            <v>34309474B</v>
          </cell>
          <cell r="G136" t="str">
            <v>N/A</v>
          </cell>
          <cell r="H136" t="str">
            <v>CONCENTRICIDAD</v>
          </cell>
          <cell r="I136">
            <v>12</v>
          </cell>
          <cell r="J136" t="str">
            <v>EVELYN ESTUDILLO</v>
          </cell>
          <cell r="K136">
            <v>44936</v>
          </cell>
          <cell r="L136" t="str">
            <v>MAURICIO</v>
          </cell>
          <cell r="M136" t="str">
            <v>PASS</v>
          </cell>
          <cell r="N136" t="str">
            <v>CONCENTRICIDAD</v>
          </cell>
        </row>
        <row r="137">
          <cell r="A137">
            <v>20230134</v>
          </cell>
          <cell r="B137">
            <v>44936</v>
          </cell>
          <cell r="C137">
            <v>1</v>
          </cell>
          <cell r="D137" t="str">
            <v>720-1</v>
          </cell>
          <cell r="E137" t="str">
            <v>SPR8</v>
          </cell>
          <cell r="F137" t="str">
            <v>34296437C</v>
          </cell>
          <cell r="G137" t="str">
            <v>N/A</v>
          </cell>
          <cell r="H137" t="str">
            <v>OVALIDAD</v>
          </cell>
          <cell r="I137">
            <v>12</v>
          </cell>
          <cell r="J137" t="str">
            <v>EVELYN ESTUDILLO</v>
          </cell>
          <cell r="K137">
            <v>44936</v>
          </cell>
          <cell r="L137" t="str">
            <v>MAURICIO</v>
          </cell>
          <cell r="M137" t="str">
            <v>PASS</v>
          </cell>
          <cell r="N137" t="str">
            <v>OVALIDAD</v>
          </cell>
        </row>
        <row r="138">
          <cell r="A138">
            <v>20230135</v>
          </cell>
          <cell r="B138">
            <v>44936</v>
          </cell>
          <cell r="C138">
            <v>1</v>
          </cell>
          <cell r="D138" t="str">
            <v>720-5</v>
          </cell>
          <cell r="E138" t="str">
            <v>SPR8</v>
          </cell>
          <cell r="F138" t="str">
            <v>34324760D</v>
          </cell>
          <cell r="G138" t="str">
            <v>N/A</v>
          </cell>
          <cell r="H138" t="str">
            <v>OVALIDAD</v>
          </cell>
          <cell r="I138">
            <v>12</v>
          </cell>
          <cell r="J138" t="str">
            <v>EVELYN ESTUDILLO</v>
          </cell>
          <cell r="K138">
            <v>44936</v>
          </cell>
          <cell r="L138" t="str">
            <v>MAURICIO</v>
          </cell>
          <cell r="M138" t="str">
            <v>PASS</v>
          </cell>
          <cell r="N138" t="str">
            <v>OVALIDAD</v>
          </cell>
        </row>
        <row r="139">
          <cell r="A139">
            <v>20230136</v>
          </cell>
          <cell r="B139">
            <v>44936</v>
          </cell>
          <cell r="C139">
            <v>1</v>
          </cell>
          <cell r="D139" t="str">
            <v>720-3</v>
          </cell>
          <cell r="E139" t="str">
            <v>SPR8</v>
          </cell>
          <cell r="F139" t="str">
            <v>34235233G</v>
          </cell>
          <cell r="G139" t="str">
            <v>N/A</v>
          </cell>
          <cell r="H139" t="str">
            <v>OVALIDAD</v>
          </cell>
          <cell r="I139">
            <v>12</v>
          </cell>
          <cell r="J139" t="str">
            <v>EVELYN ESTUDILLO</v>
          </cell>
          <cell r="K139">
            <v>44936</v>
          </cell>
          <cell r="L139" t="str">
            <v>MAURICIO</v>
          </cell>
          <cell r="M139" t="str">
            <v>PASS</v>
          </cell>
          <cell r="N139" t="str">
            <v>OVALIDAD</v>
          </cell>
        </row>
        <row r="140">
          <cell r="A140">
            <v>20230137</v>
          </cell>
          <cell r="B140">
            <v>44936</v>
          </cell>
          <cell r="C140">
            <v>1</v>
          </cell>
          <cell r="D140" t="str">
            <v>720-6</v>
          </cell>
          <cell r="E140" t="str">
            <v>SPR8</v>
          </cell>
          <cell r="F140" t="str">
            <v>A020R620A</v>
          </cell>
          <cell r="G140" t="str">
            <v>N/A</v>
          </cell>
          <cell r="H140" t="str">
            <v>OVALIDAD</v>
          </cell>
          <cell r="I140">
            <v>12</v>
          </cell>
          <cell r="J140" t="str">
            <v>EVELYN ESTUDILLO</v>
          </cell>
          <cell r="K140">
            <v>44936</v>
          </cell>
          <cell r="L140" t="str">
            <v>MAURICIO</v>
          </cell>
          <cell r="M140" t="str">
            <v>PASS</v>
          </cell>
          <cell r="N140" t="str">
            <v>OVALIDAD</v>
          </cell>
        </row>
        <row r="141">
          <cell r="A141">
            <v>20230138</v>
          </cell>
          <cell r="B141">
            <v>44936</v>
          </cell>
          <cell r="C141">
            <v>1</v>
          </cell>
          <cell r="D141" t="str">
            <v>720-2</v>
          </cell>
          <cell r="E141" t="str">
            <v>SPR8</v>
          </cell>
          <cell r="F141" t="str">
            <v>34296441C</v>
          </cell>
          <cell r="G141" t="str">
            <v>N/A</v>
          </cell>
          <cell r="H141" t="str">
            <v>OVALIDAD</v>
          </cell>
          <cell r="I141">
            <v>12</v>
          </cell>
          <cell r="J141" t="str">
            <v>EVELYN ESTUDILLO</v>
          </cell>
          <cell r="K141">
            <v>44936</v>
          </cell>
          <cell r="L141" t="str">
            <v>MAURICIO</v>
          </cell>
          <cell r="M141" t="str">
            <v>PASS</v>
          </cell>
          <cell r="N141" t="str">
            <v>OVALIDAD</v>
          </cell>
        </row>
        <row r="142">
          <cell r="A142">
            <v>20230139</v>
          </cell>
          <cell r="B142">
            <v>44936</v>
          </cell>
          <cell r="C142">
            <v>1</v>
          </cell>
          <cell r="D142" t="str">
            <v>720-4</v>
          </cell>
          <cell r="E142" t="str">
            <v>SPR8</v>
          </cell>
          <cell r="F142" t="str">
            <v>34309474B</v>
          </cell>
          <cell r="G142" t="str">
            <v>N/A</v>
          </cell>
          <cell r="H142" t="str">
            <v>OVALIDAD</v>
          </cell>
          <cell r="I142">
            <v>12</v>
          </cell>
          <cell r="J142" t="str">
            <v>EVELYN ESTUDILLO</v>
          </cell>
          <cell r="K142">
            <v>44936</v>
          </cell>
          <cell r="L142" t="str">
            <v>MAURICIO</v>
          </cell>
          <cell r="M142" t="str">
            <v>PASS</v>
          </cell>
          <cell r="N142" t="str">
            <v>OVALIDAD</v>
          </cell>
        </row>
        <row r="143">
          <cell r="A143">
            <v>20230140</v>
          </cell>
          <cell r="B143">
            <v>44936</v>
          </cell>
          <cell r="C143">
            <v>1</v>
          </cell>
          <cell r="D143" t="str">
            <v>720-6</v>
          </cell>
          <cell r="E143" t="str">
            <v>T1XX</v>
          </cell>
          <cell r="F143" t="str">
            <v>A020R613B</v>
          </cell>
          <cell r="G143" t="str">
            <v>N/A</v>
          </cell>
          <cell r="H143" t="str">
            <v>CONCENTRICIDAD</v>
          </cell>
          <cell r="I143" t="str">
            <v>6 PCS</v>
          </cell>
          <cell r="J143" t="str">
            <v>Laura Castillo</v>
          </cell>
          <cell r="K143">
            <v>44936</v>
          </cell>
          <cell r="L143" t="str">
            <v>Nohemi</v>
          </cell>
          <cell r="M143" t="str">
            <v>PASS</v>
          </cell>
          <cell r="N143" t="str">
            <v>CONCENTRICIDAD</v>
          </cell>
        </row>
        <row r="144">
          <cell r="A144">
            <v>20230141</v>
          </cell>
          <cell r="B144">
            <v>44936</v>
          </cell>
          <cell r="C144">
            <v>1</v>
          </cell>
          <cell r="D144" t="str">
            <v>720-6</v>
          </cell>
          <cell r="E144" t="str">
            <v>T1XX</v>
          </cell>
          <cell r="F144" t="str">
            <v>A020R613B</v>
          </cell>
          <cell r="G144" t="str">
            <v>N/A</v>
          </cell>
          <cell r="H144" t="str">
            <v>OVALIDAD</v>
          </cell>
          <cell r="I144" t="str">
            <v>6 PCS</v>
          </cell>
          <cell r="J144" t="str">
            <v>Laura Castillo</v>
          </cell>
          <cell r="K144">
            <v>44936</v>
          </cell>
          <cell r="L144" t="str">
            <v>Nohemi</v>
          </cell>
          <cell r="M144" t="str">
            <v>PASS</v>
          </cell>
          <cell r="N144" t="str">
            <v>OVALIDAD</v>
          </cell>
        </row>
        <row r="145">
          <cell r="A145">
            <v>20230142</v>
          </cell>
          <cell r="B145">
            <v>44936</v>
          </cell>
          <cell r="C145">
            <v>1</v>
          </cell>
          <cell r="D145" t="str">
            <v>N/A</v>
          </cell>
          <cell r="E145" t="str">
            <v>N/A</v>
          </cell>
          <cell r="F145" t="str">
            <v>34248660A</v>
          </cell>
          <cell r="G145">
            <v>4</v>
          </cell>
          <cell r="H145" t="str">
            <v xml:space="preserve">Conforme al rip </v>
          </cell>
          <cell r="I145" t="str">
            <v>5 pcs</v>
          </cell>
          <cell r="J145" t="str">
            <v>Nuevos programas</v>
          </cell>
          <cell r="K145">
            <v>44936</v>
          </cell>
          <cell r="L145" t="str">
            <v xml:space="preserve">Adela </v>
          </cell>
          <cell r="M145" t="str">
            <v>PASS</v>
          </cell>
          <cell r="N145" t="str">
            <v>N/A</v>
          </cell>
        </row>
        <row r="146">
          <cell r="A146">
            <v>20230143</v>
          </cell>
          <cell r="B146">
            <v>44936</v>
          </cell>
          <cell r="C146">
            <v>1</v>
          </cell>
          <cell r="D146" t="str">
            <v>703-B</v>
          </cell>
          <cell r="E146" t="str">
            <v>A100</v>
          </cell>
          <cell r="F146" t="str">
            <v>A021E207A</v>
          </cell>
          <cell r="G146" t="str">
            <v>N/A</v>
          </cell>
          <cell r="H146" t="str">
            <v>22,17,18,13</v>
          </cell>
          <cell r="I146" t="str">
            <v>2 PCS</v>
          </cell>
          <cell r="J146" t="str">
            <v>Laura Castillo</v>
          </cell>
          <cell r="K146">
            <v>44936</v>
          </cell>
          <cell r="L146" t="str">
            <v>Nohemi</v>
          </cell>
          <cell r="M146" t="str">
            <v>PASS</v>
          </cell>
          <cell r="N146" t="str">
            <v>A0038M7042A-B</v>
          </cell>
        </row>
        <row r="147">
          <cell r="A147">
            <v>20230144</v>
          </cell>
          <cell r="B147">
            <v>44936</v>
          </cell>
          <cell r="C147">
            <v>1</v>
          </cell>
          <cell r="D147" t="str">
            <v>703-B</v>
          </cell>
          <cell r="E147" t="str">
            <v>A100</v>
          </cell>
          <cell r="F147" t="str">
            <v>A021E208A</v>
          </cell>
          <cell r="G147" t="str">
            <v>N/A</v>
          </cell>
          <cell r="H147" t="str">
            <v>22,17,18,13</v>
          </cell>
          <cell r="I147" t="str">
            <v>2 PCS</v>
          </cell>
          <cell r="J147" t="str">
            <v>Laura Castillo</v>
          </cell>
          <cell r="K147">
            <v>44936</v>
          </cell>
          <cell r="L147" t="str">
            <v>Nohemi</v>
          </cell>
          <cell r="M147" t="str">
            <v>PASS</v>
          </cell>
          <cell r="N147" t="str">
            <v>A0038M7042A-B</v>
          </cell>
        </row>
        <row r="148">
          <cell r="A148">
            <v>20230145</v>
          </cell>
          <cell r="B148">
            <v>44936</v>
          </cell>
          <cell r="C148">
            <v>1</v>
          </cell>
          <cell r="D148" t="str">
            <v>703-B</v>
          </cell>
          <cell r="E148" t="str">
            <v>A100</v>
          </cell>
          <cell r="F148" t="str">
            <v>A021E209A</v>
          </cell>
          <cell r="G148" t="str">
            <v>N/A</v>
          </cell>
          <cell r="H148" t="str">
            <v>22,17,18,13</v>
          </cell>
          <cell r="I148" t="str">
            <v>1 PCS</v>
          </cell>
          <cell r="J148" t="str">
            <v>Laura Castillo</v>
          </cell>
          <cell r="K148">
            <v>44936</v>
          </cell>
          <cell r="L148" t="str">
            <v>Nohemi</v>
          </cell>
          <cell r="M148" t="str">
            <v>PASS</v>
          </cell>
          <cell r="N148" t="str">
            <v>A0038M7042A-B</v>
          </cell>
        </row>
        <row r="149">
          <cell r="A149">
            <v>20230146</v>
          </cell>
          <cell r="B149">
            <v>44936</v>
          </cell>
          <cell r="C149">
            <v>1</v>
          </cell>
          <cell r="D149" t="str">
            <v>ACS</v>
          </cell>
          <cell r="E149" t="str">
            <v>N/A</v>
          </cell>
          <cell r="F149" t="str">
            <v>34242909A</v>
          </cell>
          <cell r="G149">
            <v>2234034211</v>
          </cell>
          <cell r="H149" t="str">
            <v>22 23 24</v>
          </cell>
          <cell r="I149">
            <v>6</v>
          </cell>
          <cell r="J149" t="str">
            <v>Jesus sampayo</v>
          </cell>
          <cell r="K149">
            <v>44936</v>
          </cell>
          <cell r="L149" t="str">
            <v>MAURICIO</v>
          </cell>
          <cell r="M149" t="str">
            <v>PASS</v>
          </cell>
          <cell r="N149" t="str">
            <v>PLANO MARCADO</v>
          </cell>
        </row>
        <row r="150">
          <cell r="A150">
            <v>20230147</v>
          </cell>
          <cell r="B150">
            <v>44936</v>
          </cell>
          <cell r="C150">
            <v>3</v>
          </cell>
          <cell r="D150" t="str">
            <v>720-1</v>
          </cell>
          <cell r="E150" t="str">
            <v>SPR8</v>
          </cell>
          <cell r="F150" t="str">
            <v>34324759E</v>
          </cell>
          <cell r="G150" t="str">
            <v>N/A</v>
          </cell>
          <cell r="H150" t="str">
            <v>CONCENTRICIDAD</v>
          </cell>
          <cell r="I150">
            <v>12</v>
          </cell>
          <cell r="J150" t="str">
            <v>AGUSTO</v>
          </cell>
          <cell r="K150">
            <v>44936</v>
          </cell>
          <cell r="L150" t="str">
            <v>Ernesto</v>
          </cell>
          <cell r="M150" t="str">
            <v>PASS</v>
          </cell>
          <cell r="N150" t="str">
            <v>CONCENTRICIDAD</v>
          </cell>
        </row>
        <row r="151">
          <cell r="A151">
            <v>20230148</v>
          </cell>
          <cell r="B151">
            <v>44936</v>
          </cell>
          <cell r="C151">
            <v>3</v>
          </cell>
          <cell r="D151" t="str">
            <v>720-1</v>
          </cell>
          <cell r="E151" t="str">
            <v>SPR8</v>
          </cell>
          <cell r="F151" t="str">
            <v>34324759E</v>
          </cell>
          <cell r="G151" t="str">
            <v>N/A</v>
          </cell>
          <cell r="H151" t="str">
            <v>OVALIDAD</v>
          </cell>
          <cell r="I151">
            <v>12</v>
          </cell>
          <cell r="J151" t="str">
            <v>AGUSTO</v>
          </cell>
          <cell r="K151">
            <v>44936</v>
          </cell>
          <cell r="L151" t="str">
            <v>Ernesto</v>
          </cell>
          <cell r="M151" t="str">
            <v>PASS</v>
          </cell>
          <cell r="N151" t="str">
            <v>OVALIDAD</v>
          </cell>
        </row>
        <row r="152">
          <cell r="A152">
            <v>20230149</v>
          </cell>
          <cell r="B152">
            <v>44936</v>
          </cell>
          <cell r="C152">
            <v>3</v>
          </cell>
          <cell r="D152" t="str">
            <v>720-2</v>
          </cell>
          <cell r="E152" t="str">
            <v>SPR8</v>
          </cell>
          <cell r="F152" t="str">
            <v>34306788D</v>
          </cell>
          <cell r="G152" t="str">
            <v>N/A</v>
          </cell>
          <cell r="H152" t="str">
            <v>CONCENTRICIDAD</v>
          </cell>
          <cell r="I152">
            <v>12</v>
          </cell>
          <cell r="J152" t="str">
            <v>AGUSTO</v>
          </cell>
          <cell r="K152">
            <v>44936</v>
          </cell>
          <cell r="L152" t="str">
            <v>Ernesto</v>
          </cell>
          <cell r="M152" t="str">
            <v>PASS</v>
          </cell>
          <cell r="N152" t="str">
            <v>CONCENTRICIDAD</v>
          </cell>
        </row>
        <row r="153">
          <cell r="A153">
            <v>20230150</v>
          </cell>
          <cell r="B153">
            <v>44936</v>
          </cell>
          <cell r="C153">
            <v>3</v>
          </cell>
          <cell r="D153" t="str">
            <v>720-2</v>
          </cell>
          <cell r="E153" t="str">
            <v>SPR8</v>
          </cell>
          <cell r="F153" t="str">
            <v>34306788D</v>
          </cell>
          <cell r="G153" t="str">
            <v>N/A</v>
          </cell>
          <cell r="H153" t="str">
            <v>OVALIDAD</v>
          </cell>
          <cell r="I153">
            <v>12</v>
          </cell>
          <cell r="J153" t="str">
            <v>AGUSTO</v>
          </cell>
          <cell r="K153">
            <v>44936</v>
          </cell>
          <cell r="L153" t="str">
            <v>Ernesto</v>
          </cell>
          <cell r="M153" t="str">
            <v>PASS</v>
          </cell>
          <cell r="N153" t="str">
            <v>OVALIDAD</v>
          </cell>
        </row>
        <row r="154">
          <cell r="A154">
            <v>20230151</v>
          </cell>
          <cell r="B154">
            <v>44936</v>
          </cell>
          <cell r="C154">
            <v>3</v>
          </cell>
          <cell r="D154" t="str">
            <v>720-3</v>
          </cell>
          <cell r="E154" t="str">
            <v>SPR8</v>
          </cell>
          <cell r="F154" t="str">
            <v>34235232G</v>
          </cell>
          <cell r="G154" t="str">
            <v>N/A</v>
          </cell>
          <cell r="H154" t="str">
            <v>CONCENTRICIDAD</v>
          </cell>
          <cell r="I154">
            <v>18</v>
          </cell>
          <cell r="J154" t="str">
            <v>AGUSTO</v>
          </cell>
          <cell r="K154">
            <v>44936</v>
          </cell>
          <cell r="L154" t="str">
            <v>Ernesto</v>
          </cell>
          <cell r="M154" t="str">
            <v>PASS</v>
          </cell>
          <cell r="N154" t="str">
            <v>CONCENTRICIDAD</v>
          </cell>
        </row>
        <row r="155">
          <cell r="A155">
            <v>20230152</v>
          </cell>
          <cell r="B155">
            <v>44936</v>
          </cell>
          <cell r="C155">
            <v>3</v>
          </cell>
          <cell r="D155" t="str">
            <v>720-3</v>
          </cell>
          <cell r="E155" t="str">
            <v>SPR8</v>
          </cell>
          <cell r="F155" t="str">
            <v>34235232G</v>
          </cell>
          <cell r="G155" t="str">
            <v>N/A</v>
          </cell>
          <cell r="H155" t="str">
            <v>OVALIDAD</v>
          </cell>
          <cell r="I155">
            <v>18</v>
          </cell>
          <cell r="J155" t="str">
            <v>AGUSTO</v>
          </cell>
          <cell r="K155">
            <v>44936</v>
          </cell>
          <cell r="L155" t="str">
            <v>Ernesto</v>
          </cell>
          <cell r="M155" t="str">
            <v>PASS</v>
          </cell>
          <cell r="N155" t="str">
            <v>OVALIDAD</v>
          </cell>
        </row>
        <row r="156">
          <cell r="A156">
            <v>20230153</v>
          </cell>
          <cell r="B156">
            <v>44936</v>
          </cell>
          <cell r="C156">
            <v>3</v>
          </cell>
          <cell r="D156" t="str">
            <v>720-4</v>
          </cell>
          <cell r="E156" t="str">
            <v>SPR8</v>
          </cell>
          <cell r="F156" t="str">
            <v>34309474B</v>
          </cell>
          <cell r="G156" t="str">
            <v>N/A</v>
          </cell>
          <cell r="H156" t="str">
            <v>CONCENTRICIDAD</v>
          </cell>
          <cell r="I156">
            <v>12</v>
          </cell>
          <cell r="J156" t="str">
            <v>AGUSTO</v>
          </cell>
          <cell r="K156">
            <v>44936</v>
          </cell>
          <cell r="L156" t="str">
            <v>Ernesto</v>
          </cell>
          <cell r="M156" t="str">
            <v>PASS</v>
          </cell>
          <cell r="N156" t="str">
            <v>CONCENTRICIDAD</v>
          </cell>
        </row>
        <row r="157">
          <cell r="A157">
            <v>20230154</v>
          </cell>
          <cell r="B157">
            <v>44936</v>
          </cell>
          <cell r="C157">
            <v>3</v>
          </cell>
          <cell r="D157" t="str">
            <v>720-4</v>
          </cell>
          <cell r="E157" t="str">
            <v>SPR8</v>
          </cell>
          <cell r="F157" t="str">
            <v>34309474B</v>
          </cell>
          <cell r="G157" t="str">
            <v>N/A</v>
          </cell>
          <cell r="H157" t="str">
            <v>OVALIDAD</v>
          </cell>
          <cell r="I157">
            <v>12</v>
          </cell>
          <cell r="J157" t="str">
            <v>AGUSTO</v>
          </cell>
          <cell r="K157">
            <v>44936</v>
          </cell>
          <cell r="L157" t="str">
            <v>Ernesto</v>
          </cell>
          <cell r="M157" t="str">
            <v>PASS</v>
          </cell>
          <cell r="N157" t="str">
            <v>OVALIDAD</v>
          </cell>
        </row>
        <row r="158">
          <cell r="A158">
            <v>20230155</v>
          </cell>
          <cell r="B158">
            <v>44936</v>
          </cell>
          <cell r="C158">
            <v>3</v>
          </cell>
          <cell r="D158" t="str">
            <v>720-5</v>
          </cell>
          <cell r="E158" t="str">
            <v>SPR8</v>
          </cell>
          <cell r="F158" t="str">
            <v>34364567B</v>
          </cell>
          <cell r="G158" t="str">
            <v>N/A</v>
          </cell>
          <cell r="H158" t="str">
            <v>CONCENTRICIDAD</v>
          </cell>
          <cell r="I158">
            <v>12</v>
          </cell>
          <cell r="J158" t="str">
            <v>AGUSTO</v>
          </cell>
          <cell r="K158">
            <v>44936</v>
          </cell>
          <cell r="L158" t="str">
            <v>Ernesto</v>
          </cell>
          <cell r="M158" t="str">
            <v>PASS</v>
          </cell>
          <cell r="N158" t="str">
            <v>CONCENTRICIDAD</v>
          </cell>
        </row>
        <row r="159">
          <cell r="A159">
            <v>20230156</v>
          </cell>
          <cell r="B159">
            <v>44936</v>
          </cell>
          <cell r="C159">
            <v>3</v>
          </cell>
          <cell r="D159" t="str">
            <v>720-5</v>
          </cell>
          <cell r="E159" t="str">
            <v>SPR8</v>
          </cell>
          <cell r="F159" t="str">
            <v>34364567B</v>
          </cell>
          <cell r="G159" t="str">
            <v>N/A</v>
          </cell>
          <cell r="H159" t="str">
            <v>OVALIDAD</v>
          </cell>
          <cell r="I159">
            <v>12</v>
          </cell>
          <cell r="J159" t="str">
            <v>AGUSTO</v>
          </cell>
          <cell r="K159">
            <v>44936</v>
          </cell>
          <cell r="L159" t="str">
            <v>Ernesto</v>
          </cell>
          <cell r="M159" t="str">
            <v>PASS</v>
          </cell>
          <cell r="N159" t="str">
            <v>OVALIDAD</v>
          </cell>
        </row>
        <row r="160">
          <cell r="A160">
            <v>20230157</v>
          </cell>
          <cell r="B160">
            <v>44937</v>
          </cell>
          <cell r="C160">
            <v>2</v>
          </cell>
          <cell r="D160" t="str">
            <v>720-5</v>
          </cell>
          <cell r="E160" t="str">
            <v>SPR8</v>
          </cell>
          <cell r="F160" t="str">
            <v>34327672C</v>
          </cell>
          <cell r="G160" t="str">
            <v>N/A</v>
          </cell>
          <cell r="H160" t="str">
            <v>CONCENTRICIDAD</v>
          </cell>
          <cell r="I160"/>
          <cell r="J160" t="str">
            <v>AGUSTO</v>
          </cell>
          <cell r="K160">
            <v>44936</v>
          </cell>
          <cell r="L160" t="str">
            <v>Jose</v>
          </cell>
          <cell r="M160" t="str">
            <v>PASS</v>
          </cell>
          <cell r="N160" t="str">
            <v>1ER TURNO CONCENTRICIDAD</v>
          </cell>
        </row>
        <row r="161">
          <cell r="A161">
            <v>20230158</v>
          </cell>
          <cell r="B161">
            <v>44937</v>
          </cell>
          <cell r="C161">
            <v>2</v>
          </cell>
          <cell r="D161" t="str">
            <v>720-5</v>
          </cell>
          <cell r="E161" t="str">
            <v>SPR8</v>
          </cell>
          <cell r="F161" t="str">
            <v>34327672C</v>
          </cell>
          <cell r="G161" t="str">
            <v>N/A</v>
          </cell>
          <cell r="H161" t="str">
            <v>OVALIDAD</v>
          </cell>
          <cell r="I161"/>
          <cell r="J161" t="str">
            <v>AGUSTO</v>
          </cell>
          <cell r="K161">
            <v>44936</v>
          </cell>
          <cell r="L161" t="str">
            <v>Jose</v>
          </cell>
          <cell r="M161" t="str">
            <v>PASS</v>
          </cell>
          <cell r="N161" t="str">
            <v>1ER TURNO OVALIDAD</v>
          </cell>
        </row>
        <row r="162">
          <cell r="A162">
            <v>20230159</v>
          </cell>
          <cell r="B162">
            <v>44937</v>
          </cell>
          <cell r="C162">
            <v>1</v>
          </cell>
          <cell r="D162" t="str">
            <v>GETAC</v>
          </cell>
          <cell r="E162" t="str">
            <v>N/A</v>
          </cell>
          <cell r="F162" t="str">
            <v>34083130A</v>
          </cell>
          <cell r="G162" t="str">
            <v>N/A</v>
          </cell>
          <cell r="H162" t="str">
            <v>QA 3 51 2 15 23 24 43 9 18 19</v>
          </cell>
          <cell r="I162">
            <v>12</v>
          </cell>
          <cell r="J162" t="str">
            <v>ANA SANCHEZ</v>
          </cell>
          <cell r="K162">
            <v>44937</v>
          </cell>
          <cell r="L162" t="str">
            <v>MAURICIO</v>
          </cell>
          <cell r="M162" t="str">
            <v>PASS</v>
          </cell>
          <cell r="N162" t="str">
            <v>REFERENCE DATA</v>
          </cell>
        </row>
        <row r="163">
          <cell r="A163">
            <v>20230160</v>
          </cell>
          <cell r="B163">
            <v>44937</v>
          </cell>
          <cell r="C163"/>
          <cell r="D163">
            <v>304</v>
          </cell>
          <cell r="E163" t="str">
            <v>N/A</v>
          </cell>
          <cell r="F163" t="str">
            <v>08458</v>
          </cell>
          <cell r="G163" t="str">
            <v>N/A</v>
          </cell>
          <cell r="H163" t="str">
            <v>Plano Marcado</v>
          </cell>
          <cell r="I163" t="str">
            <v>1 Pza</v>
          </cell>
          <cell r="J163" t="str">
            <v>Javier Ramirez</v>
          </cell>
          <cell r="K163"/>
          <cell r="L163"/>
          <cell r="M163"/>
          <cell r="N163" t="str">
            <v>Laboratorio</v>
          </cell>
        </row>
        <row r="164">
          <cell r="A164">
            <v>20230161</v>
          </cell>
          <cell r="B164">
            <v>44937</v>
          </cell>
          <cell r="C164">
            <v>1</v>
          </cell>
          <cell r="D164" t="str">
            <v>N/A</v>
          </cell>
          <cell r="E164" t="str">
            <v>N/A</v>
          </cell>
          <cell r="F164" t="str">
            <v>A025V627ABB</v>
          </cell>
          <cell r="G164">
            <v>56438</v>
          </cell>
          <cell r="H164" t="str">
            <v xml:space="preserve">Conforme al rip </v>
          </cell>
          <cell r="I164" t="str">
            <v>5 pcs</v>
          </cell>
          <cell r="J164" t="str">
            <v>Nuevos programas</v>
          </cell>
          <cell r="K164">
            <v>44937</v>
          </cell>
          <cell r="L164" t="str">
            <v xml:space="preserve">Adela </v>
          </cell>
          <cell r="M164" t="str">
            <v>PASS</v>
          </cell>
          <cell r="N164" t="str">
            <v>N/A</v>
          </cell>
        </row>
        <row r="165">
          <cell r="A165">
            <v>20230162</v>
          </cell>
          <cell r="B165">
            <v>44937</v>
          </cell>
          <cell r="C165">
            <v>1</v>
          </cell>
          <cell r="D165" t="str">
            <v>N/A</v>
          </cell>
          <cell r="E165" t="str">
            <v>N/A</v>
          </cell>
          <cell r="F165" t="str">
            <v>A025V628ABB</v>
          </cell>
          <cell r="G165">
            <v>56438</v>
          </cell>
          <cell r="H165" t="str">
            <v xml:space="preserve">Conforme al rip </v>
          </cell>
          <cell r="I165" t="str">
            <v>5 pcs</v>
          </cell>
          <cell r="J165" t="str">
            <v>Nuevos programas</v>
          </cell>
          <cell r="K165">
            <v>44937</v>
          </cell>
          <cell r="L165" t="str">
            <v xml:space="preserve">Adela </v>
          </cell>
          <cell r="M165" t="str">
            <v>PASS</v>
          </cell>
          <cell r="N165" t="str">
            <v>N/A</v>
          </cell>
        </row>
        <row r="166">
          <cell r="A166">
            <v>20230163</v>
          </cell>
          <cell r="B166">
            <v>44937</v>
          </cell>
          <cell r="C166">
            <v>1</v>
          </cell>
          <cell r="D166" t="str">
            <v>720-2</v>
          </cell>
          <cell r="E166" t="str">
            <v>SPR8</v>
          </cell>
          <cell r="F166" t="str">
            <v>34324758A</v>
          </cell>
          <cell r="G166" t="str">
            <v>N/A</v>
          </cell>
          <cell r="H166" t="str">
            <v>CONCENTRICIDAD</v>
          </cell>
          <cell r="I166">
            <v>12</v>
          </cell>
          <cell r="J166" t="str">
            <v>EVELYN ESTUDILLO</v>
          </cell>
          <cell r="K166">
            <v>44937</v>
          </cell>
          <cell r="L166" t="str">
            <v>MAURICIO</v>
          </cell>
          <cell r="M166" t="str">
            <v>PASS</v>
          </cell>
          <cell r="N166" t="str">
            <v>CONCENTRICIDAD</v>
          </cell>
        </row>
        <row r="167">
          <cell r="A167">
            <v>20230164</v>
          </cell>
          <cell r="B167">
            <v>44937</v>
          </cell>
          <cell r="C167">
            <v>1</v>
          </cell>
          <cell r="D167" t="str">
            <v>720-6</v>
          </cell>
          <cell r="E167" t="str">
            <v>SPR8</v>
          </cell>
          <cell r="F167" t="str">
            <v>A020R620A</v>
          </cell>
          <cell r="G167" t="str">
            <v>N/A</v>
          </cell>
          <cell r="H167" t="str">
            <v>CONCENTRICIDAD</v>
          </cell>
          <cell r="I167">
            <v>12</v>
          </cell>
          <cell r="J167" t="str">
            <v>EVELYN ESTUDILLO</v>
          </cell>
          <cell r="K167">
            <v>44937</v>
          </cell>
          <cell r="L167" t="str">
            <v>MAURICIO</v>
          </cell>
          <cell r="M167" t="str">
            <v>PASS</v>
          </cell>
          <cell r="N167" t="str">
            <v>CONCENTRICIDAD</v>
          </cell>
        </row>
        <row r="168">
          <cell r="A168">
            <v>20230165</v>
          </cell>
          <cell r="B168">
            <v>44937</v>
          </cell>
          <cell r="C168">
            <v>1</v>
          </cell>
          <cell r="D168" t="str">
            <v>720-1</v>
          </cell>
          <cell r="E168" t="str">
            <v>SPR8</v>
          </cell>
          <cell r="F168" t="str">
            <v>34324759E</v>
          </cell>
          <cell r="G168" t="str">
            <v>N/A</v>
          </cell>
          <cell r="H168" t="str">
            <v>CONCENTRICIDAD</v>
          </cell>
          <cell r="I168">
            <v>12</v>
          </cell>
          <cell r="J168" t="str">
            <v>EVELYN ESTUDILLO</v>
          </cell>
          <cell r="K168">
            <v>44937</v>
          </cell>
          <cell r="L168" t="str">
            <v>MAURICIO</v>
          </cell>
          <cell r="M168" t="str">
            <v>PASS</v>
          </cell>
          <cell r="N168" t="str">
            <v>CONCENTRICIDAD</v>
          </cell>
        </row>
        <row r="169">
          <cell r="A169">
            <v>20230166</v>
          </cell>
          <cell r="B169">
            <v>44937</v>
          </cell>
          <cell r="C169">
            <v>1</v>
          </cell>
          <cell r="D169" t="str">
            <v>720-3</v>
          </cell>
          <cell r="E169" t="str">
            <v>SPR8</v>
          </cell>
          <cell r="F169" t="str">
            <v>34235234G</v>
          </cell>
          <cell r="G169" t="str">
            <v>N/A</v>
          </cell>
          <cell r="H169" t="str">
            <v>CONCENTRICIDAD</v>
          </cell>
          <cell r="I169">
            <v>12</v>
          </cell>
          <cell r="J169" t="str">
            <v>EVELYN ESTUDILLO</v>
          </cell>
          <cell r="K169">
            <v>44937</v>
          </cell>
          <cell r="L169" t="str">
            <v>MAURICIO</v>
          </cell>
          <cell r="M169" t="str">
            <v>PASS</v>
          </cell>
          <cell r="N169" t="str">
            <v>CONCENTRICIDAD</v>
          </cell>
        </row>
        <row r="170">
          <cell r="A170">
            <v>20230167</v>
          </cell>
          <cell r="B170">
            <v>44937</v>
          </cell>
          <cell r="C170">
            <v>1</v>
          </cell>
          <cell r="D170" t="str">
            <v>720-4</v>
          </cell>
          <cell r="E170" t="str">
            <v>SPR8</v>
          </cell>
          <cell r="F170" t="str">
            <v>34309473B</v>
          </cell>
          <cell r="G170" t="str">
            <v>N/A</v>
          </cell>
          <cell r="H170" t="str">
            <v>CONCENTRICIDAD</v>
          </cell>
          <cell r="I170">
            <v>12</v>
          </cell>
          <cell r="J170" t="str">
            <v>EVELYN ESTUDILLO</v>
          </cell>
          <cell r="K170">
            <v>44937</v>
          </cell>
          <cell r="L170" t="str">
            <v>MAURICIO</v>
          </cell>
          <cell r="M170" t="str">
            <v>PASS</v>
          </cell>
          <cell r="N170" t="str">
            <v>CONCENTRICIDAD</v>
          </cell>
        </row>
        <row r="171">
          <cell r="A171">
            <v>20230168</v>
          </cell>
          <cell r="B171">
            <v>44937</v>
          </cell>
          <cell r="C171">
            <v>1</v>
          </cell>
          <cell r="D171" t="str">
            <v>720-2</v>
          </cell>
          <cell r="E171" t="str">
            <v>SPR8</v>
          </cell>
          <cell r="F171" t="str">
            <v>34324758A</v>
          </cell>
          <cell r="G171" t="str">
            <v>N/A</v>
          </cell>
          <cell r="H171" t="str">
            <v>OVALIDAD</v>
          </cell>
          <cell r="I171">
            <v>12</v>
          </cell>
          <cell r="J171" t="str">
            <v>EVELYN ESTUDILLO</v>
          </cell>
          <cell r="K171">
            <v>44937</v>
          </cell>
          <cell r="L171" t="str">
            <v>MAURICIO</v>
          </cell>
          <cell r="M171" t="str">
            <v>PASS</v>
          </cell>
          <cell r="N171" t="str">
            <v>OVALIDAD</v>
          </cell>
        </row>
        <row r="172">
          <cell r="A172">
            <v>20230169</v>
          </cell>
          <cell r="B172">
            <v>44937</v>
          </cell>
          <cell r="C172">
            <v>1</v>
          </cell>
          <cell r="D172" t="str">
            <v>720-6</v>
          </cell>
          <cell r="E172" t="str">
            <v>SPR8</v>
          </cell>
          <cell r="F172" t="str">
            <v>A020R620A</v>
          </cell>
          <cell r="G172" t="str">
            <v>N/A</v>
          </cell>
          <cell r="H172" t="str">
            <v>OVALIDAD</v>
          </cell>
          <cell r="I172">
            <v>12</v>
          </cell>
          <cell r="J172" t="str">
            <v>EVELYN ESTUDILLO</v>
          </cell>
          <cell r="K172">
            <v>44937</v>
          </cell>
          <cell r="L172" t="str">
            <v>MAURICIO</v>
          </cell>
          <cell r="M172" t="str">
            <v>PASS</v>
          </cell>
          <cell r="N172" t="str">
            <v>OVALIDAD</v>
          </cell>
        </row>
        <row r="173">
          <cell r="A173">
            <v>20230170</v>
          </cell>
          <cell r="B173">
            <v>44937</v>
          </cell>
          <cell r="C173">
            <v>1</v>
          </cell>
          <cell r="D173" t="str">
            <v>720-1</v>
          </cell>
          <cell r="E173" t="str">
            <v>SPR8</v>
          </cell>
          <cell r="F173" t="str">
            <v>34324759E</v>
          </cell>
          <cell r="G173" t="str">
            <v>N/A</v>
          </cell>
          <cell r="H173" t="str">
            <v>OVALIDAD</v>
          </cell>
          <cell r="I173">
            <v>12</v>
          </cell>
          <cell r="J173" t="str">
            <v>EVELYN ESTUDILLO</v>
          </cell>
          <cell r="K173">
            <v>44937</v>
          </cell>
          <cell r="L173" t="str">
            <v>MAURICIO</v>
          </cell>
          <cell r="M173" t="str">
            <v>PASS</v>
          </cell>
          <cell r="N173" t="str">
            <v>OVALIDAD</v>
          </cell>
        </row>
        <row r="174">
          <cell r="A174">
            <v>20230171</v>
          </cell>
          <cell r="B174">
            <v>44937</v>
          </cell>
          <cell r="C174">
            <v>1</v>
          </cell>
          <cell r="D174" t="str">
            <v>720-3</v>
          </cell>
          <cell r="E174" t="str">
            <v>SPR8</v>
          </cell>
          <cell r="F174" t="str">
            <v>34235234G</v>
          </cell>
          <cell r="G174" t="str">
            <v>N/A</v>
          </cell>
          <cell r="H174" t="str">
            <v>OVALIDAD</v>
          </cell>
          <cell r="I174">
            <v>12</v>
          </cell>
          <cell r="J174" t="str">
            <v>EVELYN ESTUDILLO</v>
          </cell>
          <cell r="K174">
            <v>44937</v>
          </cell>
          <cell r="L174" t="str">
            <v>MAURICIO</v>
          </cell>
          <cell r="M174" t="str">
            <v>PASS</v>
          </cell>
          <cell r="N174" t="str">
            <v>OVALIDAD</v>
          </cell>
        </row>
        <row r="175">
          <cell r="A175">
            <v>20230172</v>
          </cell>
          <cell r="B175">
            <v>44937</v>
          </cell>
          <cell r="C175">
            <v>1</v>
          </cell>
          <cell r="D175" t="str">
            <v>720-4</v>
          </cell>
          <cell r="E175" t="str">
            <v>SPR8</v>
          </cell>
          <cell r="F175" t="str">
            <v>34309473B</v>
          </cell>
          <cell r="G175" t="str">
            <v>N/A</v>
          </cell>
          <cell r="H175" t="str">
            <v>OVALIDAD</v>
          </cell>
          <cell r="I175">
            <v>12</v>
          </cell>
          <cell r="J175" t="str">
            <v>EVELYN ESTUDILLO</v>
          </cell>
          <cell r="K175">
            <v>44937</v>
          </cell>
          <cell r="L175" t="str">
            <v>MAURICIO</v>
          </cell>
          <cell r="M175" t="str">
            <v>PASS</v>
          </cell>
          <cell r="N175" t="str">
            <v>OVALIDAD</v>
          </cell>
        </row>
        <row r="176">
          <cell r="A176">
            <v>20230173</v>
          </cell>
          <cell r="B176">
            <v>44937</v>
          </cell>
          <cell r="C176">
            <v>1</v>
          </cell>
          <cell r="D176" t="str">
            <v>702-5</v>
          </cell>
          <cell r="E176" t="str">
            <v>SPR4</v>
          </cell>
          <cell r="F176" t="str">
            <v>34301420B</v>
          </cell>
          <cell r="G176" t="str">
            <v>N/A</v>
          </cell>
          <cell r="H176" t="str">
            <v>37,41,42,45</v>
          </cell>
          <cell r="I176" t="str">
            <v>30 PCS</v>
          </cell>
          <cell r="J176" t="str">
            <v>Gabriel Ramos</v>
          </cell>
          <cell r="K176">
            <v>44937</v>
          </cell>
          <cell r="L176" t="str">
            <v>Nohemi</v>
          </cell>
          <cell r="M176" t="str">
            <v>NO PASS</v>
          </cell>
          <cell r="N176"/>
        </row>
        <row r="177">
          <cell r="A177">
            <v>20230174</v>
          </cell>
          <cell r="B177">
            <v>44937</v>
          </cell>
          <cell r="C177">
            <v>3</v>
          </cell>
          <cell r="D177" t="str">
            <v>720-1</v>
          </cell>
          <cell r="E177" t="str">
            <v>SPR8</v>
          </cell>
          <cell r="F177" t="str">
            <v>34246437C</v>
          </cell>
          <cell r="G177" t="str">
            <v>N/A</v>
          </cell>
          <cell r="H177" t="str">
            <v>CONCENTRICIDAD</v>
          </cell>
          <cell r="I177">
            <v>12</v>
          </cell>
          <cell r="J177" t="str">
            <v>AUGUSTO</v>
          </cell>
          <cell r="K177">
            <v>44937</v>
          </cell>
          <cell r="L177" t="str">
            <v>Ernesto</v>
          </cell>
          <cell r="M177" t="str">
            <v>PASS</v>
          </cell>
          <cell r="N177" t="str">
            <v>CONCENTRICIDAD</v>
          </cell>
        </row>
        <row r="178">
          <cell r="A178">
            <v>20230175</v>
          </cell>
          <cell r="B178">
            <v>44937</v>
          </cell>
          <cell r="C178">
            <v>3</v>
          </cell>
          <cell r="D178" t="str">
            <v>720-1</v>
          </cell>
          <cell r="E178" t="str">
            <v>SPR8</v>
          </cell>
          <cell r="F178" t="str">
            <v>34246437C</v>
          </cell>
          <cell r="G178" t="str">
            <v>N/A</v>
          </cell>
          <cell r="H178" t="str">
            <v>OVALIDAD</v>
          </cell>
          <cell r="I178">
            <v>12</v>
          </cell>
          <cell r="J178" t="str">
            <v>AUGUSTO</v>
          </cell>
          <cell r="K178">
            <v>44937</v>
          </cell>
          <cell r="L178" t="str">
            <v>Ernesto</v>
          </cell>
          <cell r="M178" t="str">
            <v>PASS</v>
          </cell>
          <cell r="N178" t="str">
            <v>OVALIDAD</v>
          </cell>
        </row>
        <row r="179">
          <cell r="A179">
            <v>20230176</v>
          </cell>
          <cell r="B179">
            <v>44937</v>
          </cell>
          <cell r="C179">
            <v>3</v>
          </cell>
          <cell r="D179" t="str">
            <v>720-2</v>
          </cell>
          <cell r="E179" t="str">
            <v>SPR8</v>
          </cell>
          <cell r="F179" t="str">
            <v>34235231G</v>
          </cell>
          <cell r="G179" t="str">
            <v>N/A</v>
          </cell>
          <cell r="H179" t="str">
            <v>CONCENTRICIDAD</v>
          </cell>
          <cell r="I179">
            <v>12</v>
          </cell>
          <cell r="J179" t="str">
            <v>AUGUSTO</v>
          </cell>
          <cell r="K179">
            <v>44937</v>
          </cell>
          <cell r="L179" t="str">
            <v>Ernesto</v>
          </cell>
          <cell r="M179" t="str">
            <v>PASS</v>
          </cell>
          <cell r="N179" t="str">
            <v>CONCENTRICIDAD</v>
          </cell>
        </row>
        <row r="180">
          <cell r="A180">
            <v>20230177</v>
          </cell>
          <cell r="B180">
            <v>44937</v>
          </cell>
          <cell r="C180">
            <v>3</v>
          </cell>
          <cell r="D180" t="str">
            <v>720-2</v>
          </cell>
          <cell r="E180" t="str">
            <v>SPR8</v>
          </cell>
          <cell r="F180" t="str">
            <v>34235231G</v>
          </cell>
          <cell r="G180" t="str">
            <v>N/A</v>
          </cell>
          <cell r="H180" t="str">
            <v>OVALIDAD</v>
          </cell>
          <cell r="I180">
            <v>12</v>
          </cell>
          <cell r="J180" t="str">
            <v>AUGUSTO</v>
          </cell>
          <cell r="K180">
            <v>44937</v>
          </cell>
          <cell r="L180" t="str">
            <v>Ernesto</v>
          </cell>
          <cell r="M180" t="str">
            <v>PASS</v>
          </cell>
          <cell r="N180" t="str">
            <v>OVALIDAD</v>
          </cell>
        </row>
        <row r="181">
          <cell r="A181">
            <v>20230178</v>
          </cell>
          <cell r="B181">
            <v>44937</v>
          </cell>
          <cell r="C181">
            <v>3</v>
          </cell>
          <cell r="D181" t="str">
            <v>720-3</v>
          </cell>
          <cell r="E181" t="str">
            <v>SPR8</v>
          </cell>
          <cell r="F181" t="str">
            <v>34235234G</v>
          </cell>
          <cell r="G181" t="str">
            <v>N/A</v>
          </cell>
          <cell r="H181" t="str">
            <v>CONCENTRICIDAD</v>
          </cell>
          <cell r="I181">
            <v>18</v>
          </cell>
          <cell r="J181" t="str">
            <v>AUGUSTO</v>
          </cell>
          <cell r="K181">
            <v>44937</v>
          </cell>
          <cell r="L181" t="str">
            <v>Ernesto</v>
          </cell>
          <cell r="M181" t="str">
            <v>PASS</v>
          </cell>
          <cell r="N181" t="str">
            <v>CONCENTRICIDAD</v>
          </cell>
        </row>
        <row r="182">
          <cell r="A182">
            <v>20230179</v>
          </cell>
          <cell r="B182">
            <v>44937</v>
          </cell>
          <cell r="C182">
            <v>3</v>
          </cell>
          <cell r="D182" t="str">
            <v>720-3</v>
          </cell>
          <cell r="E182" t="str">
            <v>SPR8</v>
          </cell>
          <cell r="F182" t="str">
            <v>34235234G</v>
          </cell>
          <cell r="G182" t="str">
            <v>N/A</v>
          </cell>
          <cell r="H182" t="str">
            <v>OVALIDAD</v>
          </cell>
          <cell r="I182">
            <v>18</v>
          </cell>
          <cell r="J182" t="str">
            <v>AUGUSTO</v>
          </cell>
          <cell r="K182">
            <v>44937</v>
          </cell>
          <cell r="L182" t="str">
            <v>Ernesto</v>
          </cell>
          <cell r="M182" t="str">
            <v>PASS</v>
          </cell>
          <cell r="N182" t="str">
            <v>OVALIDAD</v>
          </cell>
        </row>
        <row r="183">
          <cell r="A183">
            <v>20230180</v>
          </cell>
          <cell r="B183">
            <v>44937</v>
          </cell>
          <cell r="C183">
            <v>3</v>
          </cell>
          <cell r="D183" t="str">
            <v>720-4</v>
          </cell>
          <cell r="E183" t="str">
            <v>SPR8</v>
          </cell>
          <cell r="F183" t="str">
            <v>34309473B</v>
          </cell>
          <cell r="G183" t="str">
            <v>N/A</v>
          </cell>
          <cell r="H183" t="str">
            <v>CONCENTRICIDAD</v>
          </cell>
          <cell r="I183">
            <v>12</v>
          </cell>
          <cell r="J183" t="str">
            <v>AUGUSTO</v>
          </cell>
          <cell r="K183">
            <v>44937</v>
          </cell>
          <cell r="L183" t="str">
            <v>Ernesto</v>
          </cell>
          <cell r="M183" t="str">
            <v>PASS</v>
          </cell>
          <cell r="N183" t="str">
            <v>CONCENTRICIDAD</v>
          </cell>
        </row>
        <row r="184">
          <cell r="A184">
            <v>20230181</v>
          </cell>
          <cell r="B184">
            <v>44937</v>
          </cell>
          <cell r="C184">
            <v>3</v>
          </cell>
          <cell r="D184" t="str">
            <v>720-4</v>
          </cell>
          <cell r="E184" t="str">
            <v>SPR8</v>
          </cell>
          <cell r="F184" t="str">
            <v>34309473B</v>
          </cell>
          <cell r="G184" t="str">
            <v>N/A</v>
          </cell>
          <cell r="H184" t="str">
            <v>OVALIDAD</v>
          </cell>
          <cell r="I184">
            <v>12</v>
          </cell>
          <cell r="J184" t="str">
            <v>AUGUSTO</v>
          </cell>
          <cell r="K184">
            <v>44937</v>
          </cell>
          <cell r="L184" t="str">
            <v>Ernesto</v>
          </cell>
          <cell r="M184" t="str">
            <v>PASS</v>
          </cell>
          <cell r="N184" t="str">
            <v>OVALIDAD</v>
          </cell>
        </row>
        <row r="185">
          <cell r="A185">
            <v>20230182</v>
          </cell>
          <cell r="B185">
            <v>44937</v>
          </cell>
          <cell r="C185">
            <v>3</v>
          </cell>
          <cell r="D185" t="str">
            <v>720-5</v>
          </cell>
          <cell r="E185" t="str">
            <v>SPR8</v>
          </cell>
          <cell r="F185" t="str">
            <v>34235233G</v>
          </cell>
          <cell r="G185" t="str">
            <v>N/A</v>
          </cell>
          <cell r="H185" t="str">
            <v>CONCENTRICIDAD</v>
          </cell>
          <cell r="I185">
            <v>12</v>
          </cell>
          <cell r="J185" t="str">
            <v>AUGUSTO</v>
          </cell>
          <cell r="K185">
            <v>44937</v>
          </cell>
          <cell r="L185" t="str">
            <v>Ernesto</v>
          </cell>
          <cell r="M185" t="str">
            <v>PASS</v>
          </cell>
          <cell r="N185" t="str">
            <v>CONCENTRICIDAD</v>
          </cell>
        </row>
        <row r="186">
          <cell r="A186">
            <v>20230183</v>
          </cell>
          <cell r="B186">
            <v>44937</v>
          </cell>
          <cell r="C186">
            <v>3</v>
          </cell>
          <cell r="D186" t="str">
            <v>720-5</v>
          </cell>
          <cell r="E186" t="str">
            <v>SPR8</v>
          </cell>
          <cell r="F186" t="str">
            <v>34235233G</v>
          </cell>
          <cell r="G186" t="str">
            <v>N/A</v>
          </cell>
          <cell r="H186" t="str">
            <v>OVALIDAD</v>
          </cell>
          <cell r="I186">
            <v>12</v>
          </cell>
          <cell r="J186" t="str">
            <v>AUGUSTO</v>
          </cell>
          <cell r="K186">
            <v>44937</v>
          </cell>
          <cell r="L186" t="str">
            <v>Ernesto</v>
          </cell>
          <cell r="M186" t="str">
            <v>PASS</v>
          </cell>
          <cell r="N186" t="str">
            <v>OVALIDAD</v>
          </cell>
        </row>
        <row r="187">
          <cell r="A187">
            <v>20230184</v>
          </cell>
          <cell r="B187">
            <v>44937</v>
          </cell>
          <cell r="C187">
            <v>1</v>
          </cell>
          <cell r="D187" t="str">
            <v>ACE MOLD</v>
          </cell>
          <cell r="E187" t="str">
            <v>N/A</v>
          </cell>
          <cell r="F187" t="str">
            <v>34138932F</v>
          </cell>
          <cell r="G187" t="str">
            <v>F99142C09A</v>
          </cell>
          <cell r="H187">
            <v>86</v>
          </cell>
          <cell r="I187">
            <v>24</v>
          </cell>
          <cell r="J187" t="str">
            <v>MARIA SUSTAITA</v>
          </cell>
          <cell r="K187">
            <v>44938</v>
          </cell>
          <cell r="L187" t="str">
            <v>MAURICIO</v>
          </cell>
          <cell r="M187" t="str">
            <v>PASS</v>
          </cell>
          <cell r="N187" t="str">
            <v>PLANO MARCADO</v>
          </cell>
        </row>
        <row r="188">
          <cell r="A188">
            <v>20230185</v>
          </cell>
          <cell r="B188">
            <v>44937</v>
          </cell>
          <cell r="C188"/>
          <cell r="D188" t="str">
            <v>N/A</v>
          </cell>
          <cell r="E188" t="str">
            <v>N/A</v>
          </cell>
          <cell r="F188" t="str">
            <v>34185550F</v>
          </cell>
          <cell r="G188" t="str">
            <v>N/A</v>
          </cell>
          <cell r="H188" t="str">
            <v>QA#250</v>
          </cell>
          <cell r="I188">
            <v>4</v>
          </cell>
          <cell r="J188" t="str">
            <v>NICOLAS MENDOZA</v>
          </cell>
          <cell r="K188">
            <v>44938</v>
          </cell>
          <cell r="L188" t="str">
            <v>Luis</v>
          </cell>
          <cell r="M188" t="str">
            <v>PASS</v>
          </cell>
          <cell r="N188"/>
        </row>
        <row r="189">
          <cell r="A189">
            <v>20230186</v>
          </cell>
          <cell r="B189">
            <v>44938</v>
          </cell>
          <cell r="C189">
            <v>1</v>
          </cell>
          <cell r="D189" t="str">
            <v>709-A</v>
          </cell>
          <cell r="E189" t="str">
            <v>AU436</v>
          </cell>
          <cell r="F189" t="str">
            <v>A025Y203A</v>
          </cell>
          <cell r="G189" t="str">
            <v>N/A</v>
          </cell>
          <cell r="H189" t="str">
            <v>37,14</v>
          </cell>
          <cell r="I189">
            <v>5</v>
          </cell>
          <cell r="J189" t="str">
            <v>Javier Bautista</v>
          </cell>
          <cell r="K189">
            <v>44938</v>
          </cell>
          <cell r="L189" t="str">
            <v>Nohemi</v>
          </cell>
          <cell r="M189" t="str">
            <v>PASS</v>
          </cell>
          <cell r="N189" t="str">
            <v>DN0016399</v>
          </cell>
        </row>
        <row r="190">
          <cell r="A190">
            <v>20230187</v>
          </cell>
          <cell r="B190">
            <v>44938</v>
          </cell>
          <cell r="C190">
            <v>1</v>
          </cell>
          <cell r="D190" t="str">
            <v>709-A</v>
          </cell>
          <cell r="E190" t="str">
            <v>AU436</v>
          </cell>
          <cell r="F190" t="str">
            <v>34265160A</v>
          </cell>
          <cell r="G190" t="str">
            <v>N/A</v>
          </cell>
          <cell r="H190" t="str">
            <v>11,9,4,13</v>
          </cell>
          <cell r="I190">
            <v>4</v>
          </cell>
          <cell r="J190" t="str">
            <v>Javier Bautista</v>
          </cell>
          <cell r="K190">
            <v>44938</v>
          </cell>
          <cell r="L190" t="str">
            <v>Nohemi</v>
          </cell>
          <cell r="M190" t="str">
            <v>PASS</v>
          </cell>
          <cell r="N190"/>
        </row>
        <row r="191">
          <cell r="A191">
            <v>20230188</v>
          </cell>
          <cell r="B191">
            <v>44938</v>
          </cell>
          <cell r="C191">
            <v>1</v>
          </cell>
          <cell r="D191" t="str">
            <v>135-1</v>
          </cell>
          <cell r="E191" t="str">
            <v>U55X</v>
          </cell>
          <cell r="F191" t="str">
            <v>34268365C</v>
          </cell>
          <cell r="G191" t="str">
            <v>N/A</v>
          </cell>
          <cell r="H191" t="str">
            <v>3,5,11</v>
          </cell>
          <cell r="I191" t="str">
            <v>2 PCS</v>
          </cell>
          <cell r="J191" t="str">
            <v>Javier Bautista</v>
          </cell>
          <cell r="K191">
            <v>44938</v>
          </cell>
          <cell r="L191" t="str">
            <v>Nohemi</v>
          </cell>
          <cell r="M191" t="str">
            <v>PASS</v>
          </cell>
          <cell r="N191" t="str">
            <v>BPW 22-34300296</v>
          </cell>
        </row>
        <row r="192">
          <cell r="A192">
            <v>20230189</v>
          </cell>
          <cell r="B192">
            <v>44938</v>
          </cell>
          <cell r="C192">
            <v>1</v>
          </cell>
          <cell r="D192" t="str">
            <v>ACS</v>
          </cell>
          <cell r="E192" t="str">
            <v>N/A</v>
          </cell>
          <cell r="F192" t="str">
            <v>34242909A</v>
          </cell>
          <cell r="G192">
            <v>2300201111</v>
          </cell>
          <cell r="H192" t="str">
            <v>22 23 24</v>
          </cell>
          <cell r="I192">
            <v>5</v>
          </cell>
          <cell r="J192" t="str">
            <v>JORGE GONZALEZ</v>
          </cell>
          <cell r="K192">
            <v>44938</v>
          </cell>
          <cell r="L192" t="str">
            <v>MAURICIO</v>
          </cell>
          <cell r="M192" t="str">
            <v>PASS</v>
          </cell>
          <cell r="N192" t="str">
            <v>PLANO MARCADO</v>
          </cell>
        </row>
        <row r="193">
          <cell r="A193">
            <v>20230190</v>
          </cell>
          <cell r="B193">
            <v>44938</v>
          </cell>
          <cell r="C193">
            <v>1</v>
          </cell>
          <cell r="D193">
            <v>767</v>
          </cell>
          <cell r="E193" t="str">
            <v>T1XX</v>
          </cell>
          <cell r="F193" t="str">
            <v>34247036B</v>
          </cell>
          <cell r="G193" t="str">
            <v>N/A</v>
          </cell>
          <cell r="H193">
            <v>15</v>
          </cell>
          <cell r="I193">
            <v>4</v>
          </cell>
          <cell r="J193" t="str">
            <v>Javier Bautista</v>
          </cell>
          <cell r="K193">
            <v>44938</v>
          </cell>
          <cell r="L193" t="str">
            <v>Nohemi</v>
          </cell>
          <cell r="M193" t="str">
            <v>PASS</v>
          </cell>
          <cell r="N193"/>
        </row>
        <row r="194">
          <cell r="A194">
            <v>20230191</v>
          </cell>
          <cell r="B194">
            <v>44938</v>
          </cell>
          <cell r="C194">
            <v>1</v>
          </cell>
          <cell r="D194" t="str">
            <v>706-A</v>
          </cell>
          <cell r="E194" t="str">
            <v>AU436</v>
          </cell>
          <cell r="F194" t="str">
            <v>A025Y204A</v>
          </cell>
          <cell r="G194" t="str">
            <v>N/A</v>
          </cell>
          <cell r="H194" t="str">
            <v>37,14</v>
          </cell>
          <cell r="I194">
            <v>5</v>
          </cell>
          <cell r="J194" t="str">
            <v>Javier Bautista</v>
          </cell>
          <cell r="K194">
            <v>44938</v>
          </cell>
          <cell r="L194" t="str">
            <v>Nohemi</v>
          </cell>
          <cell r="M194" t="str">
            <v>PASS</v>
          </cell>
          <cell r="N194" t="str">
            <v>DN0016399</v>
          </cell>
        </row>
        <row r="195">
          <cell r="A195">
            <v>20230192</v>
          </cell>
          <cell r="B195">
            <v>44938</v>
          </cell>
          <cell r="C195">
            <v>1</v>
          </cell>
          <cell r="D195" t="str">
            <v>706-A</v>
          </cell>
          <cell r="E195" t="str">
            <v>AU436</v>
          </cell>
          <cell r="F195" t="str">
            <v>34265159A</v>
          </cell>
          <cell r="G195" t="str">
            <v>N/A</v>
          </cell>
          <cell r="H195" t="str">
            <v>4,9,11,13</v>
          </cell>
          <cell r="I195">
            <v>4</v>
          </cell>
          <cell r="J195" t="str">
            <v>Javier Bautista</v>
          </cell>
          <cell r="K195">
            <v>44938</v>
          </cell>
          <cell r="L195" t="str">
            <v>Nohemi</v>
          </cell>
          <cell r="M195" t="str">
            <v>PASS</v>
          </cell>
          <cell r="N195"/>
        </row>
        <row r="196">
          <cell r="A196">
            <v>20230193</v>
          </cell>
          <cell r="B196">
            <v>44938</v>
          </cell>
          <cell r="C196">
            <v>1</v>
          </cell>
          <cell r="D196" t="str">
            <v>720-2</v>
          </cell>
          <cell r="E196" t="str">
            <v>SPR8</v>
          </cell>
          <cell r="F196" t="str">
            <v>34296438C</v>
          </cell>
          <cell r="G196" t="str">
            <v>N/A</v>
          </cell>
          <cell r="H196" t="str">
            <v>CONCENTRICIDAD</v>
          </cell>
          <cell r="I196">
            <v>12</v>
          </cell>
          <cell r="J196" t="str">
            <v>EVELYN ESTUDILLO</v>
          </cell>
          <cell r="K196">
            <v>44938</v>
          </cell>
          <cell r="L196" t="str">
            <v>MAURICIO</v>
          </cell>
          <cell r="M196" t="str">
            <v>PASS</v>
          </cell>
          <cell r="N196" t="str">
            <v>CONCENTRICIDAD</v>
          </cell>
        </row>
        <row r="197">
          <cell r="A197">
            <v>20230194</v>
          </cell>
          <cell r="B197">
            <v>44938</v>
          </cell>
          <cell r="C197">
            <v>1</v>
          </cell>
          <cell r="D197" t="str">
            <v>720-3</v>
          </cell>
          <cell r="E197" t="str">
            <v>SPR8</v>
          </cell>
          <cell r="F197" t="str">
            <v>34262544F</v>
          </cell>
          <cell r="G197" t="str">
            <v>N/A</v>
          </cell>
          <cell r="H197" t="str">
            <v>CONCENTRICIDAD</v>
          </cell>
          <cell r="I197">
            <v>12</v>
          </cell>
          <cell r="J197" t="str">
            <v>EVELYN ESTUDILLO</v>
          </cell>
          <cell r="K197">
            <v>44938</v>
          </cell>
          <cell r="L197" t="str">
            <v>MAURICIO</v>
          </cell>
          <cell r="M197" t="str">
            <v>PASS</v>
          </cell>
          <cell r="N197" t="str">
            <v>CONCENTRICIDAD</v>
          </cell>
        </row>
        <row r="198">
          <cell r="A198">
            <v>20230195</v>
          </cell>
          <cell r="B198">
            <v>44938</v>
          </cell>
          <cell r="C198">
            <v>1</v>
          </cell>
          <cell r="D198" t="str">
            <v>720-1</v>
          </cell>
          <cell r="E198" t="str">
            <v>SPR8</v>
          </cell>
          <cell r="F198" t="str">
            <v>34296437C</v>
          </cell>
          <cell r="G198" t="str">
            <v>N/A</v>
          </cell>
          <cell r="H198" t="str">
            <v>CONCENTRICIDAD</v>
          </cell>
          <cell r="I198">
            <v>12</v>
          </cell>
          <cell r="J198" t="str">
            <v>EVELYN ESTUDILLO</v>
          </cell>
          <cell r="K198">
            <v>44938</v>
          </cell>
          <cell r="L198" t="str">
            <v>MAURICIO</v>
          </cell>
          <cell r="M198" t="str">
            <v>PASS</v>
          </cell>
          <cell r="N198" t="str">
            <v>CONCENTRICIDAD</v>
          </cell>
        </row>
        <row r="199">
          <cell r="A199">
            <v>20230196</v>
          </cell>
          <cell r="B199">
            <v>44938</v>
          </cell>
          <cell r="C199">
            <v>1</v>
          </cell>
          <cell r="D199" t="str">
            <v>720-4</v>
          </cell>
          <cell r="E199" t="str">
            <v>SPR8</v>
          </cell>
          <cell r="F199" t="str">
            <v>34361270A</v>
          </cell>
          <cell r="G199" t="str">
            <v>N/A</v>
          </cell>
          <cell r="H199" t="str">
            <v>CONCENTRICIDAD</v>
          </cell>
          <cell r="I199">
            <v>12</v>
          </cell>
          <cell r="J199" t="str">
            <v>EVELYN ESTUDILLO</v>
          </cell>
          <cell r="K199">
            <v>44938</v>
          </cell>
          <cell r="L199" t="str">
            <v>MAURICIO</v>
          </cell>
          <cell r="M199" t="str">
            <v>PASS</v>
          </cell>
          <cell r="N199" t="str">
            <v>CONCENTRICIDAD</v>
          </cell>
        </row>
        <row r="200">
          <cell r="A200">
            <v>20230197</v>
          </cell>
          <cell r="B200">
            <v>44938</v>
          </cell>
          <cell r="C200">
            <v>1</v>
          </cell>
          <cell r="D200" t="str">
            <v>720-6</v>
          </cell>
          <cell r="E200" t="str">
            <v>SPR8</v>
          </cell>
          <cell r="F200" t="str">
            <v>A020R620A</v>
          </cell>
          <cell r="G200" t="str">
            <v>N/A</v>
          </cell>
          <cell r="H200" t="str">
            <v>CONCENTRICIDAD</v>
          </cell>
          <cell r="I200">
            <v>12</v>
          </cell>
          <cell r="J200" t="str">
            <v>EVELYN ESTUDILLO</v>
          </cell>
          <cell r="K200">
            <v>44938</v>
          </cell>
          <cell r="L200" t="str">
            <v>MAURICIO</v>
          </cell>
          <cell r="M200" t="str">
            <v>PASS</v>
          </cell>
          <cell r="N200" t="str">
            <v>CONCENTRICIDAD</v>
          </cell>
        </row>
        <row r="201">
          <cell r="A201">
            <v>20230198</v>
          </cell>
          <cell r="B201">
            <v>44938</v>
          </cell>
          <cell r="C201">
            <v>1</v>
          </cell>
          <cell r="D201" t="str">
            <v>720-5</v>
          </cell>
          <cell r="E201" t="str">
            <v>SPR8</v>
          </cell>
          <cell r="F201" t="str">
            <v>34327673B</v>
          </cell>
          <cell r="G201" t="str">
            <v>N/A</v>
          </cell>
          <cell r="H201" t="str">
            <v>CONCENTRICIDAD</v>
          </cell>
          <cell r="I201">
            <v>12</v>
          </cell>
          <cell r="J201" t="str">
            <v>EVELYN ESTUDILLO</v>
          </cell>
          <cell r="K201">
            <v>44938</v>
          </cell>
          <cell r="L201" t="str">
            <v>MAURICIO</v>
          </cell>
          <cell r="M201" t="str">
            <v>PASS</v>
          </cell>
          <cell r="N201" t="str">
            <v>CONCENTRICIDAD</v>
          </cell>
        </row>
        <row r="202">
          <cell r="A202">
            <v>20230199</v>
          </cell>
          <cell r="B202">
            <v>44938</v>
          </cell>
          <cell r="C202">
            <v>1</v>
          </cell>
          <cell r="D202" t="str">
            <v>720-2</v>
          </cell>
          <cell r="E202" t="str">
            <v>SPR8</v>
          </cell>
          <cell r="F202" t="str">
            <v>34296438C</v>
          </cell>
          <cell r="G202" t="str">
            <v>N/A</v>
          </cell>
          <cell r="H202" t="str">
            <v>OVALIDAD</v>
          </cell>
          <cell r="I202">
            <v>12</v>
          </cell>
          <cell r="J202" t="str">
            <v>EVELYN ESTUDILLO</v>
          </cell>
          <cell r="K202">
            <v>44938</v>
          </cell>
          <cell r="L202" t="str">
            <v>MAURICIO</v>
          </cell>
          <cell r="M202" t="str">
            <v>PASS</v>
          </cell>
          <cell r="N202" t="str">
            <v>OVALIDAD</v>
          </cell>
        </row>
        <row r="203">
          <cell r="A203">
            <v>20230200</v>
          </cell>
          <cell r="B203">
            <v>44938</v>
          </cell>
          <cell r="C203">
            <v>1</v>
          </cell>
          <cell r="D203" t="str">
            <v>720-3</v>
          </cell>
          <cell r="E203" t="str">
            <v>SPR8</v>
          </cell>
          <cell r="F203" t="str">
            <v>34262544F</v>
          </cell>
          <cell r="G203" t="str">
            <v>N/A</v>
          </cell>
          <cell r="H203" t="str">
            <v>OVALIDAD</v>
          </cell>
          <cell r="I203">
            <v>12</v>
          </cell>
          <cell r="J203" t="str">
            <v>EVELYN ESTUDILLO</v>
          </cell>
          <cell r="K203">
            <v>44938</v>
          </cell>
          <cell r="L203" t="str">
            <v>MAURICIO</v>
          </cell>
          <cell r="M203" t="str">
            <v>PASS</v>
          </cell>
          <cell r="N203" t="str">
            <v>OVALIDAD</v>
          </cell>
        </row>
        <row r="204">
          <cell r="A204">
            <v>20230201</v>
          </cell>
          <cell r="B204">
            <v>44938</v>
          </cell>
          <cell r="C204">
            <v>1</v>
          </cell>
          <cell r="D204" t="str">
            <v>720-1</v>
          </cell>
          <cell r="E204" t="str">
            <v>SPR8</v>
          </cell>
          <cell r="F204" t="str">
            <v>34296437C</v>
          </cell>
          <cell r="G204" t="str">
            <v>N/A</v>
          </cell>
          <cell r="H204" t="str">
            <v>OVALIDAD</v>
          </cell>
          <cell r="I204">
            <v>12</v>
          </cell>
          <cell r="J204" t="str">
            <v>EVELYN ESTUDILLO</v>
          </cell>
          <cell r="K204">
            <v>44938</v>
          </cell>
          <cell r="L204" t="str">
            <v>MAURICIO</v>
          </cell>
          <cell r="M204" t="str">
            <v>PASS</v>
          </cell>
          <cell r="N204" t="str">
            <v>OVALIDAD</v>
          </cell>
        </row>
        <row r="205">
          <cell r="A205">
            <v>20230202</v>
          </cell>
          <cell r="B205">
            <v>44938</v>
          </cell>
          <cell r="C205">
            <v>1</v>
          </cell>
          <cell r="D205" t="str">
            <v>720-4</v>
          </cell>
          <cell r="E205" t="str">
            <v>SPR8</v>
          </cell>
          <cell r="F205" t="str">
            <v>34361270A</v>
          </cell>
          <cell r="G205" t="str">
            <v>N/A</v>
          </cell>
          <cell r="H205" t="str">
            <v>OVALIDAD</v>
          </cell>
          <cell r="I205">
            <v>12</v>
          </cell>
          <cell r="J205" t="str">
            <v>EVELYN ESTUDILLO</v>
          </cell>
          <cell r="K205">
            <v>44938</v>
          </cell>
          <cell r="L205" t="str">
            <v>MAURICIO</v>
          </cell>
          <cell r="M205" t="str">
            <v>PASS</v>
          </cell>
          <cell r="N205" t="str">
            <v>OVALIDAD</v>
          </cell>
        </row>
        <row r="206">
          <cell r="A206">
            <v>20230203</v>
          </cell>
          <cell r="B206">
            <v>44938</v>
          </cell>
          <cell r="C206">
            <v>1</v>
          </cell>
          <cell r="D206" t="str">
            <v>720-6</v>
          </cell>
          <cell r="E206" t="str">
            <v>SPR8</v>
          </cell>
          <cell r="F206" t="str">
            <v>A020R620A</v>
          </cell>
          <cell r="G206" t="str">
            <v>N/A</v>
          </cell>
          <cell r="H206" t="str">
            <v>OVALIDAD</v>
          </cell>
          <cell r="I206">
            <v>12</v>
          </cell>
          <cell r="J206" t="str">
            <v>EVELYN ESTUDILLO</v>
          </cell>
          <cell r="K206">
            <v>44938</v>
          </cell>
          <cell r="L206" t="str">
            <v>MAURICIO</v>
          </cell>
          <cell r="M206" t="str">
            <v>PASS</v>
          </cell>
          <cell r="N206" t="str">
            <v>OVALIDAD</v>
          </cell>
        </row>
        <row r="207">
          <cell r="A207">
            <v>20230204</v>
          </cell>
          <cell r="B207">
            <v>44938</v>
          </cell>
          <cell r="C207">
            <v>1</v>
          </cell>
          <cell r="D207" t="str">
            <v>720-5</v>
          </cell>
          <cell r="E207" t="str">
            <v>SPR8</v>
          </cell>
          <cell r="F207" t="str">
            <v>34327673B</v>
          </cell>
          <cell r="G207" t="str">
            <v>N/A</v>
          </cell>
          <cell r="H207" t="str">
            <v>OVALIDAD</v>
          </cell>
          <cell r="I207">
            <v>12</v>
          </cell>
          <cell r="J207" t="str">
            <v>EVELYN ESTUDILLO</v>
          </cell>
          <cell r="K207">
            <v>44938</v>
          </cell>
          <cell r="L207" t="str">
            <v>MAURICIO</v>
          </cell>
          <cell r="M207" t="str">
            <v>PASS</v>
          </cell>
          <cell r="N207" t="str">
            <v>OVALIDAD</v>
          </cell>
        </row>
        <row r="208">
          <cell r="A208">
            <v>20230205</v>
          </cell>
          <cell r="B208">
            <v>44938</v>
          </cell>
          <cell r="C208">
            <v>3</v>
          </cell>
          <cell r="D208" t="str">
            <v>720-1</v>
          </cell>
          <cell r="E208" t="str">
            <v>SPR8</v>
          </cell>
          <cell r="F208" t="str">
            <v>34296437C</v>
          </cell>
          <cell r="G208" t="str">
            <v>N/A</v>
          </cell>
          <cell r="H208" t="str">
            <v>CONCENTRICIDAD</v>
          </cell>
          <cell r="I208">
            <v>12</v>
          </cell>
          <cell r="J208" t="str">
            <v>AUGUSTO</v>
          </cell>
          <cell r="K208">
            <v>44938</v>
          </cell>
          <cell r="L208" t="str">
            <v>Ernesto</v>
          </cell>
          <cell r="M208" t="str">
            <v>PASS</v>
          </cell>
          <cell r="N208" t="str">
            <v>CONCENTRICIDAD</v>
          </cell>
        </row>
        <row r="209">
          <cell r="A209">
            <v>20230206</v>
          </cell>
          <cell r="B209">
            <v>44938</v>
          </cell>
          <cell r="C209">
            <v>3</v>
          </cell>
          <cell r="D209" t="str">
            <v>720-1</v>
          </cell>
          <cell r="E209" t="str">
            <v>SPR8</v>
          </cell>
          <cell r="F209" t="str">
            <v>34296437C</v>
          </cell>
          <cell r="G209" t="str">
            <v>N/A</v>
          </cell>
          <cell r="H209" t="str">
            <v>OVALIDAD</v>
          </cell>
          <cell r="I209">
            <v>12</v>
          </cell>
          <cell r="J209" t="str">
            <v>AUGUSTO</v>
          </cell>
          <cell r="K209">
            <v>44938</v>
          </cell>
          <cell r="L209" t="str">
            <v>Ernesto</v>
          </cell>
          <cell r="M209" t="str">
            <v>PASS</v>
          </cell>
          <cell r="N209" t="str">
            <v>OVALIDAD</v>
          </cell>
        </row>
        <row r="210">
          <cell r="A210">
            <v>20230207</v>
          </cell>
          <cell r="B210">
            <v>44938</v>
          </cell>
          <cell r="C210">
            <v>3</v>
          </cell>
          <cell r="D210" t="str">
            <v>720-2</v>
          </cell>
          <cell r="E210" t="str">
            <v>SPR8</v>
          </cell>
          <cell r="F210" t="str">
            <v>34235234G</v>
          </cell>
          <cell r="G210" t="str">
            <v>N/A</v>
          </cell>
          <cell r="H210" t="str">
            <v>CONCENTRICIDAD</v>
          </cell>
          <cell r="I210">
            <v>12</v>
          </cell>
          <cell r="J210" t="str">
            <v>AUGUSTO</v>
          </cell>
          <cell r="K210">
            <v>44938</v>
          </cell>
          <cell r="L210" t="str">
            <v>Ernesto</v>
          </cell>
          <cell r="M210" t="str">
            <v>PASS</v>
          </cell>
          <cell r="N210" t="str">
            <v>CONCENTRICIDAD</v>
          </cell>
        </row>
        <row r="211">
          <cell r="A211">
            <v>20230208</v>
          </cell>
          <cell r="B211">
            <v>44938</v>
          </cell>
          <cell r="C211">
            <v>3</v>
          </cell>
          <cell r="D211" t="str">
            <v>720-2</v>
          </cell>
          <cell r="E211" t="str">
            <v>SPR8</v>
          </cell>
          <cell r="F211" t="str">
            <v>34235234G</v>
          </cell>
          <cell r="G211" t="str">
            <v>N/A</v>
          </cell>
          <cell r="H211" t="str">
            <v>OVALIDAD</v>
          </cell>
          <cell r="I211">
            <v>12</v>
          </cell>
          <cell r="J211" t="str">
            <v>AUGUSTO</v>
          </cell>
          <cell r="K211">
            <v>44938</v>
          </cell>
          <cell r="L211" t="str">
            <v>Ernesto</v>
          </cell>
          <cell r="M211" t="str">
            <v>PASS</v>
          </cell>
          <cell r="N211" t="str">
            <v>OVALIDAD</v>
          </cell>
        </row>
        <row r="212">
          <cell r="A212">
            <v>20230209</v>
          </cell>
          <cell r="B212">
            <v>44938</v>
          </cell>
          <cell r="C212">
            <v>3</v>
          </cell>
          <cell r="D212" t="str">
            <v>720-3</v>
          </cell>
          <cell r="E212" t="str">
            <v>SPR8</v>
          </cell>
          <cell r="F212" t="str">
            <v>34235232G</v>
          </cell>
          <cell r="G212" t="str">
            <v>N/A</v>
          </cell>
          <cell r="H212" t="str">
            <v>CONCENTRICIDAD</v>
          </cell>
          <cell r="I212">
            <v>18</v>
          </cell>
          <cell r="J212" t="str">
            <v>AUGUSTO</v>
          </cell>
          <cell r="K212">
            <v>44938</v>
          </cell>
          <cell r="L212" t="str">
            <v>Ernesto</v>
          </cell>
          <cell r="M212" t="str">
            <v>PASS</v>
          </cell>
          <cell r="N212" t="str">
            <v>CONCENTRICIDAD</v>
          </cell>
        </row>
        <row r="213">
          <cell r="A213">
            <v>20230210</v>
          </cell>
          <cell r="B213">
            <v>44938</v>
          </cell>
          <cell r="C213">
            <v>3</v>
          </cell>
          <cell r="D213" t="str">
            <v>720-3</v>
          </cell>
          <cell r="E213" t="str">
            <v>SPR8</v>
          </cell>
          <cell r="F213" t="str">
            <v>34235232G</v>
          </cell>
          <cell r="G213" t="str">
            <v>N/A</v>
          </cell>
          <cell r="H213" t="str">
            <v>OVALIDAD</v>
          </cell>
          <cell r="I213">
            <v>18</v>
          </cell>
          <cell r="J213" t="str">
            <v>AUGUSTO</v>
          </cell>
          <cell r="K213">
            <v>44938</v>
          </cell>
          <cell r="L213" t="str">
            <v>Ernesto</v>
          </cell>
          <cell r="M213" t="str">
            <v>PASS</v>
          </cell>
          <cell r="N213" t="str">
            <v>OVALIDAD</v>
          </cell>
        </row>
        <row r="214">
          <cell r="A214">
            <v>20230211</v>
          </cell>
          <cell r="B214">
            <v>44938</v>
          </cell>
          <cell r="C214">
            <v>3</v>
          </cell>
          <cell r="D214" t="str">
            <v>720-4</v>
          </cell>
          <cell r="E214" t="str">
            <v>SPR8</v>
          </cell>
          <cell r="F214" t="str">
            <v>34361270A</v>
          </cell>
          <cell r="G214" t="str">
            <v>N/A</v>
          </cell>
          <cell r="H214" t="str">
            <v>CONCENTRICIDAD</v>
          </cell>
          <cell r="I214">
            <v>12</v>
          </cell>
          <cell r="J214" t="str">
            <v>AUGUSTO</v>
          </cell>
          <cell r="K214">
            <v>44938</v>
          </cell>
          <cell r="L214" t="str">
            <v>Ernesto</v>
          </cell>
          <cell r="M214" t="str">
            <v>PASS</v>
          </cell>
          <cell r="N214" t="str">
            <v>CONCENTRICIDAD</v>
          </cell>
        </row>
        <row r="215">
          <cell r="A215">
            <v>20230212</v>
          </cell>
          <cell r="B215">
            <v>44938</v>
          </cell>
          <cell r="C215">
            <v>3</v>
          </cell>
          <cell r="D215" t="str">
            <v>720-4</v>
          </cell>
          <cell r="E215" t="str">
            <v>SPR8</v>
          </cell>
          <cell r="F215" t="str">
            <v>34361270A</v>
          </cell>
          <cell r="G215" t="str">
            <v>N/A</v>
          </cell>
          <cell r="H215" t="str">
            <v>OVALIDAD</v>
          </cell>
          <cell r="I215">
            <v>12</v>
          </cell>
          <cell r="J215" t="str">
            <v>AUGUSTO</v>
          </cell>
          <cell r="K215">
            <v>44938</v>
          </cell>
          <cell r="L215" t="str">
            <v>Ernesto</v>
          </cell>
          <cell r="M215" t="str">
            <v>PASS</v>
          </cell>
          <cell r="N215" t="str">
            <v>OVALIDAD</v>
          </cell>
        </row>
        <row r="216">
          <cell r="A216">
            <v>20230213</v>
          </cell>
          <cell r="B216">
            <v>44938</v>
          </cell>
          <cell r="C216">
            <v>3</v>
          </cell>
          <cell r="D216" t="str">
            <v>720-5</v>
          </cell>
          <cell r="E216" t="str">
            <v>SPR8</v>
          </cell>
          <cell r="F216" t="str">
            <v>34235231G</v>
          </cell>
          <cell r="G216" t="str">
            <v>N/A</v>
          </cell>
          <cell r="H216" t="str">
            <v>CONCENTRICIDAD</v>
          </cell>
          <cell r="I216">
            <v>12</v>
          </cell>
          <cell r="J216" t="str">
            <v>AUGUSTO</v>
          </cell>
          <cell r="K216">
            <v>44938</v>
          </cell>
          <cell r="L216" t="str">
            <v>Ernesto</v>
          </cell>
          <cell r="M216" t="str">
            <v>PASS</v>
          </cell>
          <cell r="N216" t="str">
            <v>CONCENTRICIDAD</v>
          </cell>
        </row>
        <row r="217">
          <cell r="A217">
            <v>20230214</v>
          </cell>
          <cell r="B217">
            <v>44938</v>
          </cell>
          <cell r="C217">
            <v>3</v>
          </cell>
          <cell r="D217" t="str">
            <v>720-5</v>
          </cell>
          <cell r="E217" t="str">
            <v>SPR8</v>
          </cell>
          <cell r="F217" t="str">
            <v>34235231G</v>
          </cell>
          <cell r="G217" t="str">
            <v>N/A</v>
          </cell>
          <cell r="H217" t="str">
            <v>OVALIDAD</v>
          </cell>
          <cell r="I217">
            <v>12</v>
          </cell>
          <cell r="J217" t="str">
            <v>AUGUSTO</v>
          </cell>
          <cell r="K217">
            <v>44938</v>
          </cell>
          <cell r="L217" t="str">
            <v>Ernesto</v>
          </cell>
          <cell r="M217" t="str">
            <v>PASS</v>
          </cell>
          <cell r="N217" t="str">
            <v>OVALIDAD</v>
          </cell>
        </row>
        <row r="218">
          <cell r="A218">
            <v>20230215</v>
          </cell>
          <cell r="B218">
            <v>44938</v>
          </cell>
          <cell r="C218">
            <v>3</v>
          </cell>
          <cell r="D218" t="str">
            <v>720-6</v>
          </cell>
          <cell r="E218" t="str">
            <v>SPR8</v>
          </cell>
          <cell r="F218" t="str">
            <v>A020R619B</v>
          </cell>
          <cell r="G218" t="str">
            <v>N/A</v>
          </cell>
          <cell r="H218" t="str">
            <v>CONCENTRICIDAD</v>
          </cell>
          <cell r="I218">
            <v>12</v>
          </cell>
          <cell r="J218" t="str">
            <v>AUGUSTO</v>
          </cell>
          <cell r="K218">
            <v>44938</v>
          </cell>
          <cell r="L218" t="str">
            <v>Ernesto</v>
          </cell>
          <cell r="M218" t="str">
            <v>PASS</v>
          </cell>
          <cell r="N218" t="str">
            <v>CONCENTRICIDAD</v>
          </cell>
        </row>
        <row r="219">
          <cell r="A219">
            <v>20230216</v>
          </cell>
          <cell r="B219">
            <v>44938</v>
          </cell>
          <cell r="C219">
            <v>3</v>
          </cell>
          <cell r="D219" t="str">
            <v>720-6</v>
          </cell>
          <cell r="E219" t="str">
            <v>SPR8</v>
          </cell>
          <cell r="F219" t="str">
            <v>A020R619B</v>
          </cell>
          <cell r="G219" t="str">
            <v>N/A</v>
          </cell>
          <cell r="H219" t="str">
            <v>OVALIDAD</v>
          </cell>
          <cell r="I219">
            <v>12</v>
          </cell>
          <cell r="J219" t="str">
            <v>AUGUSTO</v>
          </cell>
          <cell r="K219">
            <v>44938</v>
          </cell>
          <cell r="L219" t="str">
            <v>Ernesto</v>
          </cell>
          <cell r="M219" t="str">
            <v>PASS</v>
          </cell>
          <cell r="N219" t="str">
            <v>OVALIDAD</v>
          </cell>
        </row>
        <row r="220">
          <cell r="A220">
            <v>20230217</v>
          </cell>
          <cell r="B220">
            <v>44939</v>
          </cell>
          <cell r="C220">
            <v>1</v>
          </cell>
          <cell r="D220" t="str">
            <v>704-B</v>
          </cell>
          <cell r="E220" t="str">
            <v>N/A</v>
          </cell>
          <cell r="F220" t="str">
            <v>34246163E</v>
          </cell>
          <cell r="G220" t="str">
            <v>N/A</v>
          </cell>
          <cell r="H220" t="str">
            <v>48 23</v>
          </cell>
          <cell r="I220">
            <v>12</v>
          </cell>
          <cell r="J220" t="str">
            <v>LILIANA VARELA</v>
          </cell>
          <cell r="K220">
            <v>44939</v>
          </cell>
          <cell r="L220" t="str">
            <v>MAURICIO</v>
          </cell>
          <cell r="M220" t="str">
            <v>PASS</v>
          </cell>
          <cell r="N220" t="str">
            <v>A0036D7471A B</v>
          </cell>
        </row>
        <row r="221">
          <cell r="A221">
            <v>20230218</v>
          </cell>
          <cell r="B221">
            <v>44939</v>
          </cell>
          <cell r="C221">
            <v>1</v>
          </cell>
          <cell r="D221" t="str">
            <v>720-5</v>
          </cell>
          <cell r="E221" t="str">
            <v>T1XX</v>
          </cell>
          <cell r="F221" t="str">
            <v>A023T781A</v>
          </cell>
          <cell r="G221" t="str">
            <v>N/A</v>
          </cell>
          <cell r="H221" t="str">
            <v>7,8,9,10,17,18,19,Z,11</v>
          </cell>
          <cell r="I221">
            <v>4</v>
          </cell>
          <cell r="J221" t="str">
            <v>Laura Castillo</v>
          </cell>
          <cell r="K221">
            <v>44939</v>
          </cell>
          <cell r="L221" t="str">
            <v>Nohemi</v>
          </cell>
          <cell r="M221" t="str">
            <v>NO PASS</v>
          </cell>
          <cell r="N221" t="str">
            <v>A0053W1860A-A</v>
          </cell>
        </row>
        <row r="222">
          <cell r="A222">
            <v>20230219</v>
          </cell>
          <cell r="B222">
            <v>44939</v>
          </cell>
          <cell r="C222">
            <v>1</v>
          </cell>
          <cell r="D222" t="str">
            <v>720-5</v>
          </cell>
          <cell r="E222" t="str">
            <v>T1XX</v>
          </cell>
          <cell r="F222" t="str">
            <v>A023T781A</v>
          </cell>
          <cell r="G222" t="str">
            <v>N/A</v>
          </cell>
          <cell r="H222" t="str">
            <v>7,8,9,10,17,18,19,Z,11</v>
          </cell>
          <cell r="I222">
            <v>4</v>
          </cell>
          <cell r="J222" t="str">
            <v>Laura Castillo</v>
          </cell>
          <cell r="K222">
            <v>44939</v>
          </cell>
          <cell r="L222" t="str">
            <v>Nohemi</v>
          </cell>
          <cell r="M222" t="str">
            <v>NO PASS</v>
          </cell>
          <cell r="N222" t="str">
            <v>A0053W1860A-A</v>
          </cell>
        </row>
        <row r="223">
          <cell r="A223">
            <v>20230220</v>
          </cell>
          <cell r="B223">
            <v>44939</v>
          </cell>
          <cell r="C223">
            <v>1</v>
          </cell>
          <cell r="D223" t="str">
            <v>716-2</v>
          </cell>
          <cell r="E223" t="str">
            <v>N/A</v>
          </cell>
          <cell r="F223" t="str">
            <v>34285576C</v>
          </cell>
          <cell r="G223" t="str">
            <v>N/A</v>
          </cell>
          <cell r="H223" t="str">
            <v>3,8,76,103</v>
          </cell>
          <cell r="I223">
            <v>3</v>
          </cell>
          <cell r="J223" t="str">
            <v>Laura Castillo</v>
          </cell>
          <cell r="K223">
            <v>44939</v>
          </cell>
          <cell r="L223" t="str">
            <v>Nohemi</v>
          </cell>
          <cell r="M223" t="str">
            <v>NO PASS</v>
          </cell>
          <cell r="N223" t="str">
            <v>CH34229751 A25</v>
          </cell>
        </row>
        <row r="224">
          <cell r="A224">
            <v>20230221</v>
          </cell>
          <cell r="B224">
            <v>44939</v>
          </cell>
          <cell r="C224">
            <v>1</v>
          </cell>
          <cell r="D224" t="str">
            <v>709-B</v>
          </cell>
          <cell r="E224" t="str">
            <v>AU436</v>
          </cell>
          <cell r="F224" t="str">
            <v>A025Y200A</v>
          </cell>
          <cell r="G224" t="str">
            <v>N/A</v>
          </cell>
          <cell r="H224" t="str">
            <v>34,46,47,67</v>
          </cell>
          <cell r="I224">
            <v>2</v>
          </cell>
          <cell r="J224" t="str">
            <v>Javier Bautista</v>
          </cell>
          <cell r="K224">
            <v>44939</v>
          </cell>
          <cell r="L224" t="str">
            <v>Nohemi</v>
          </cell>
          <cell r="M224" t="str">
            <v>PASS</v>
          </cell>
          <cell r="N224" t="str">
            <v>A0036E2139A D</v>
          </cell>
        </row>
        <row r="225">
          <cell r="A225">
            <v>20230222</v>
          </cell>
          <cell r="B225">
            <v>44939</v>
          </cell>
          <cell r="C225">
            <v>1</v>
          </cell>
          <cell r="D225" t="str">
            <v>706-B</v>
          </cell>
          <cell r="E225" t="str">
            <v>AU436</v>
          </cell>
          <cell r="F225" t="str">
            <v>A025Y201A</v>
          </cell>
          <cell r="G225" t="str">
            <v>N/A</v>
          </cell>
          <cell r="H225" t="str">
            <v>77,46,47,67</v>
          </cell>
          <cell r="I225">
            <v>2</v>
          </cell>
          <cell r="J225" t="str">
            <v>Javier Bautista</v>
          </cell>
          <cell r="K225">
            <v>44939</v>
          </cell>
          <cell r="L225" t="str">
            <v>Nohemi</v>
          </cell>
          <cell r="M225" t="str">
            <v>PASS</v>
          </cell>
          <cell r="N225" t="str">
            <v>A0036E2139A D</v>
          </cell>
        </row>
        <row r="226">
          <cell r="A226">
            <v>20230223</v>
          </cell>
          <cell r="B226">
            <v>44939</v>
          </cell>
          <cell r="C226">
            <v>1</v>
          </cell>
          <cell r="D226" t="str">
            <v>720-4</v>
          </cell>
          <cell r="E226" t="str">
            <v>SPR8</v>
          </cell>
          <cell r="F226" t="str">
            <v>34309474B</v>
          </cell>
          <cell r="G226" t="str">
            <v>N/A</v>
          </cell>
          <cell r="H226" t="str">
            <v>CONCENTRICIDAD</v>
          </cell>
          <cell r="I226">
            <v>12</v>
          </cell>
          <cell r="J226" t="str">
            <v>EVELYN ESTUDILLO</v>
          </cell>
          <cell r="K226">
            <v>44939</v>
          </cell>
          <cell r="L226" t="str">
            <v>MAURICIO</v>
          </cell>
          <cell r="M226" t="str">
            <v>PASS</v>
          </cell>
          <cell r="N226" t="str">
            <v>CONCENTRICIDAD</v>
          </cell>
        </row>
        <row r="227">
          <cell r="A227">
            <v>20230224</v>
          </cell>
          <cell r="B227">
            <v>44939</v>
          </cell>
          <cell r="C227">
            <v>1</v>
          </cell>
          <cell r="D227" t="str">
            <v>720-2</v>
          </cell>
          <cell r="E227" t="str">
            <v>SPR8</v>
          </cell>
          <cell r="F227" t="str">
            <v>34296438C</v>
          </cell>
          <cell r="G227" t="str">
            <v>N/A</v>
          </cell>
          <cell r="H227" t="str">
            <v>CONCENTRICIDAD</v>
          </cell>
          <cell r="I227">
            <v>12</v>
          </cell>
          <cell r="J227" t="str">
            <v>EVELYN ESTUDILLO</v>
          </cell>
          <cell r="K227">
            <v>44939</v>
          </cell>
          <cell r="L227" t="str">
            <v>MAURICIO</v>
          </cell>
          <cell r="M227" t="str">
            <v>PASS</v>
          </cell>
          <cell r="N227" t="str">
            <v>CONCENTRICIDAD</v>
          </cell>
        </row>
        <row r="228">
          <cell r="A228">
            <v>20230225</v>
          </cell>
          <cell r="B228">
            <v>44939</v>
          </cell>
          <cell r="C228">
            <v>1</v>
          </cell>
          <cell r="D228" t="str">
            <v>720-3</v>
          </cell>
          <cell r="E228" t="str">
            <v>SPR8</v>
          </cell>
          <cell r="F228" t="str">
            <v>34235233G</v>
          </cell>
          <cell r="G228" t="str">
            <v>N/A</v>
          </cell>
          <cell r="H228" t="str">
            <v>CONCENTRICIDAD</v>
          </cell>
          <cell r="I228">
            <v>12</v>
          </cell>
          <cell r="J228" t="str">
            <v>EVELYN ESTUDILLO</v>
          </cell>
          <cell r="K228">
            <v>44939</v>
          </cell>
          <cell r="L228" t="str">
            <v>MAURICIO</v>
          </cell>
          <cell r="M228" t="str">
            <v>PASS</v>
          </cell>
          <cell r="N228" t="str">
            <v>CONCENTRICIDAD</v>
          </cell>
        </row>
        <row r="229">
          <cell r="A229">
            <v>20230226</v>
          </cell>
          <cell r="B229">
            <v>44939</v>
          </cell>
          <cell r="C229">
            <v>1</v>
          </cell>
          <cell r="D229" t="str">
            <v>720-6</v>
          </cell>
          <cell r="E229" t="str">
            <v>SPR8</v>
          </cell>
          <cell r="F229" t="str">
            <v>A020R619B</v>
          </cell>
          <cell r="G229" t="str">
            <v>N/A</v>
          </cell>
          <cell r="H229" t="str">
            <v>CONCENTRICIDAD</v>
          </cell>
          <cell r="I229">
            <v>12</v>
          </cell>
          <cell r="J229" t="str">
            <v>EVELYN ESTUDILLO</v>
          </cell>
          <cell r="K229">
            <v>44939</v>
          </cell>
          <cell r="L229" t="str">
            <v>MAURICIO</v>
          </cell>
          <cell r="M229" t="str">
            <v>PASS</v>
          </cell>
          <cell r="N229" t="str">
            <v>CONCENTRICIDAD</v>
          </cell>
        </row>
        <row r="230">
          <cell r="A230">
            <v>20230227</v>
          </cell>
          <cell r="B230">
            <v>44939</v>
          </cell>
          <cell r="C230">
            <v>1</v>
          </cell>
          <cell r="D230" t="str">
            <v>720-5</v>
          </cell>
          <cell r="E230" t="str">
            <v>SPR8</v>
          </cell>
          <cell r="F230" t="str">
            <v>34324760D</v>
          </cell>
          <cell r="G230" t="str">
            <v>N/A</v>
          </cell>
          <cell r="H230" t="str">
            <v>CONCENTRICIDAD</v>
          </cell>
          <cell r="I230">
            <v>12</v>
          </cell>
          <cell r="J230" t="str">
            <v>EVELYN ESTUDILLO</v>
          </cell>
          <cell r="K230">
            <v>44939</v>
          </cell>
          <cell r="L230" t="str">
            <v>MAURICIO</v>
          </cell>
          <cell r="M230" t="str">
            <v>PASS</v>
          </cell>
          <cell r="N230" t="str">
            <v>CONCENTRICIDAD</v>
          </cell>
        </row>
        <row r="231">
          <cell r="A231">
            <v>20230228</v>
          </cell>
          <cell r="B231">
            <v>44939</v>
          </cell>
          <cell r="C231">
            <v>1</v>
          </cell>
          <cell r="D231" t="str">
            <v>720-1</v>
          </cell>
          <cell r="E231" t="str">
            <v>SPR8</v>
          </cell>
          <cell r="F231" t="str">
            <v>34324758A</v>
          </cell>
          <cell r="G231" t="str">
            <v>N/A</v>
          </cell>
          <cell r="H231" t="str">
            <v>CONCENTRICIDAD</v>
          </cell>
          <cell r="I231">
            <v>12</v>
          </cell>
          <cell r="J231" t="str">
            <v>EVELYN ESTUDILLO</v>
          </cell>
          <cell r="K231">
            <v>44939</v>
          </cell>
          <cell r="L231" t="str">
            <v>MAURICIO</v>
          </cell>
          <cell r="M231" t="str">
            <v>PASS</v>
          </cell>
          <cell r="N231" t="str">
            <v>CONCENTRICIDAD</v>
          </cell>
        </row>
        <row r="232">
          <cell r="A232">
            <v>20230229</v>
          </cell>
          <cell r="B232">
            <v>44939</v>
          </cell>
          <cell r="C232">
            <v>1</v>
          </cell>
          <cell r="D232" t="str">
            <v>720-4</v>
          </cell>
          <cell r="E232" t="str">
            <v>SPR8</v>
          </cell>
          <cell r="F232" t="str">
            <v>34309474B</v>
          </cell>
          <cell r="G232" t="str">
            <v>N/A</v>
          </cell>
          <cell r="H232" t="str">
            <v>OVALIDAD</v>
          </cell>
          <cell r="I232">
            <v>12</v>
          </cell>
          <cell r="J232" t="str">
            <v>EVELYN ESTUDILLO</v>
          </cell>
          <cell r="K232">
            <v>44939</v>
          </cell>
          <cell r="L232" t="str">
            <v>MAURICIO</v>
          </cell>
          <cell r="M232" t="str">
            <v>PASS</v>
          </cell>
          <cell r="N232" t="str">
            <v>OVALIDAD</v>
          </cell>
        </row>
        <row r="233">
          <cell r="A233">
            <v>20230230</v>
          </cell>
          <cell r="B233">
            <v>44939</v>
          </cell>
          <cell r="C233">
            <v>1</v>
          </cell>
          <cell r="D233" t="str">
            <v>720-2</v>
          </cell>
          <cell r="E233" t="str">
            <v>SPR8</v>
          </cell>
          <cell r="F233" t="str">
            <v>34296438C</v>
          </cell>
          <cell r="G233" t="str">
            <v>N/A</v>
          </cell>
          <cell r="H233" t="str">
            <v>OVALIDAD</v>
          </cell>
          <cell r="I233">
            <v>12</v>
          </cell>
          <cell r="J233" t="str">
            <v>EVELYN ESTUDILLO</v>
          </cell>
          <cell r="K233">
            <v>44939</v>
          </cell>
          <cell r="L233" t="str">
            <v>MAURICIO</v>
          </cell>
          <cell r="M233" t="str">
            <v>PASS</v>
          </cell>
          <cell r="N233" t="str">
            <v>OVALIDAD</v>
          </cell>
        </row>
        <row r="234">
          <cell r="A234">
            <v>20230231</v>
          </cell>
          <cell r="B234">
            <v>44939</v>
          </cell>
          <cell r="C234">
            <v>1</v>
          </cell>
          <cell r="D234" t="str">
            <v>720-3</v>
          </cell>
          <cell r="E234" t="str">
            <v>SPR8</v>
          </cell>
          <cell r="F234" t="str">
            <v>34235233G</v>
          </cell>
          <cell r="G234" t="str">
            <v>N/A</v>
          </cell>
          <cell r="H234" t="str">
            <v>OVALIDAD</v>
          </cell>
          <cell r="I234">
            <v>12</v>
          </cell>
          <cell r="J234" t="str">
            <v>EVELYN ESTUDILLO</v>
          </cell>
          <cell r="K234">
            <v>44939</v>
          </cell>
          <cell r="L234" t="str">
            <v>MAURICIO</v>
          </cell>
          <cell r="M234" t="str">
            <v>PASS</v>
          </cell>
          <cell r="N234" t="str">
            <v>OVALIDAD</v>
          </cell>
        </row>
        <row r="235">
          <cell r="A235">
            <v>20230232</v>
          </cell>
          <cell r="B235">
            <v>44939</v>
          </cell>
          <cell r="C235">
            <v>1</v>
          </cell>
          <cell r="D235" t="str">
            <v>720-6</v>
          </cell>
          <cell r="E235" t="str">
            <v>SPR8</v>
          </cell>
          <cell r="F235" t="str">
            <v>A020R619B</v>
          </cell>
          <cell r="G235" t="str">
            <v>N/A</v>
          </cell>
          <cell r="H235" t="str">
            <v>OVALIDAD</v>
          </cell>
          <cell r="I235">
            <v>12</v>
          </cell>
          <cell r="J235" t="str">
            <v>EVELYN ESTUDILLO</v>
          </cell>
          <cell r="K235">
            <v>44939</v>
          </cell>
          <cell r="L235" t="str">
            <v>MAURICIO</v>
          </cell>
          <cell r="M235" t="str">
            <v>PASS</v>
          </cell>
          <cell r="N235" t="str">
            <v>OVALIDAD</v>
          </cell>
        </row>
        <row r="236">
          <cell r="A236">
            <v>20230233</v>
          </cell>
          <cell r="B236">
            <v>44939</v>
          </cell>
          <cell r="C236">
            <v>1</v>
          </cell>
          <cell r="D236" t="str">
            <v>720-5</v>
          </cell>
          <cell r="E236" t="str">
            <v>SPR8</v>
          </cell>
          <cell r="F236" t="str">
            <v>34324760D</v>
          </cell>
          <cell r="G236" t="str">
            <v>N/A</v>
          </cell>
          <cell r="H236" t="str">
            <v>OVALIDAD</v>
          </cell>
          <cell r="I236">
            <v>12</v>
          </cell>
          <cell r="J236" t="str">
            <v>EVELYN ESTUDILLO</v>
          </cell>
          <cell r="K236">
            <v>44939</v>
          </cell>
          <cell r="L236" t="str">
            <v>MAURICIO</v>
          </cell>
          <cell r="M236" t="str">
            <v>PASS</v>
          </cell>
          <cell r="N236" t="str">
            <v>OVALIDAD</v>
          </cell>
        </row>
        <row r="237">
          <cell r="A237">
            <v>20230234</v>
          </cell>
          <cell r="B237">
            <v>44939</v>
          </cell>
          <cell r="C237">
            <v>1</v>
          </cell>
          <cell r="D237" t="str">
            <v>720-1</v>
          </cell>
          <cell r="E237" t="str">
            <v>SPR8</v>
          </cell>
          <cell r="F237" t="str">
            <v>34324758A</v>
          </cell>
          <cell r="G237" t="str">
            <v>N/A</v>
          </cell>
          <cell r="H237" t="str">
            <v>OVALIDAD</v>
          </cell>
          <cell r="I237">
            <v>12</v>
          </cell>
          <cell r="J237" t="str">
            <v>EVELYN ESTUDILLO</v>
          </cell>
          <cell r="K237">
            <v>44939</v>
          </cell>
          <cell r="L237" t="str">
            <v>MAURICIO</v>
          </cell>
          <cell r="M237" t="str">
            <v>PASS</v>
          </cell>
          <cell r="N237" t="str">
            <v>OVALIDAD</v>
          </cell>
        </row>
        <row r="238">
          <cell r="A238">
            <v>20230235</v>
          </cell>
          <cell r="B238">
            <v>44939</v>
          </cell>
          <cell r="C238"/>
          <cell r="D238">
            <v>462</v>
          </cell>
          <cell r="E238" t="str">
            <v>N/A</v>
          </cell>
          <cell r="F238" t="str">
            <v>DWG 3B</v>
          </cell>
          <cell r="G238" t="str">
            <v>N/A</v>
          </cell>
          <cell r="H238" t="str">
            <v>A y B</v>
          </cell>
          <cell r="I238">
            <v>1</v>
          </cell>
          <cell r="J238" t="str">
            <v>Jesus sampayo</v>
          </cell>
          <cell r="K238">
            <v>44939</v>
          </cell>
          <cell r="L238" t="str">
            <v>Luis</v>
          </cell>
          <cell r="M238" t="str">
            <v>PASS</v>
          </cell>
          <cell r="N238" t="str">
            <v>PLANO MARCADO</v>
          </cell>
        </row>
        <row r="239">
          <cell r="A239">
            <v>20230236</v>
          </cell>
          <cell r="B239">
            <v>44939</v>
          </cell>
          <cell r="C239">
            <v>1</v>
          </cell>
          <cell r="D239" t="str">
            <v>AGRATI-TIFFIN</v>
          </cell>
          <cell r="E239" t="str">
            <v>N/A</v>
          </cell>
          <cell r="F239" t="str">
            <v>33024457D</v>
          </cell>
          <cell r="G239">
            <v>5110</v>
          </cell>
          <cell r="H239" t="str">
            <v>40 42 44 46</v>
          </cell>
          <cell r="I239">
            <v>5</v>
          </cell>
          <cell r="J239" t="str">
            <v>JORGE GONZALEZ</v>
          </cell>
          <cell r="K239">
            <v>44939</v>
          </cell>
          <cell r="L239" t="str">
            <v>MAURICIO</v>
          </cell>
          <cell r="M239" t="str">
            <v>NO PASS</v>
          </cell>
          <cell r="N239" t="str">
            <v>PLANO MARCADO</v>
          </cell>
        </row>
        <row r="240">
          <cell r="A240">
            <v>20230237</v>
          </cell>
          <cell r="B240">
            <v>44939</v>
          </cell>
          <cell r="C240">
            <v>3</v>
          </cell>
          <cell r="D240" t="str">
            <v>720-1</v>
          </cell>
          <cell r="E240" t="str">
            <v>N/A</v>
          </cell>
          <cell r="F240" t="str">
            <v>34324762D</v>
          </cell>
          <cell r="G240" t="str">
            <v>N/A</v>
          </cell>
          <cell r="H240" t="str">
            <v>CONCENTRICIDAD</v>
          </cell>
          <cell r="I240">
            <v>12</v>
          </cell>
          <cell r="J240" t="str">
            <v>AUGUSTO</v>
          </cell>
          <cell r="K240">
            <v>44939</v>
          </cell>
          <cell r="L240" t="str">
            <v>Ernesto</v>
          </cell>
          <cell r="M240" t="str">
            <v>PASS</v>
          </cell>
          <cell r="N240" t="str">
            <v>CONCENTRICIDAD</v>
          </cell>
        </row>
        <row r="241">
          <cell r="A241">
            <v>20230238</v>
          </cell>
          <cell r="B241">
            <v>44939</v>
          </cell>
          <cell r="C241">
            <v>3</v>
          </cell>
          <cell r="D241" t="str">
            <v>720-1</v>
          </cell>
          <cell r="E241" t="str">
            <v>N/A</v>
          </cell>
          <cell r="F241" t="str">
            <v>34324762D</v>
          </cell>
          <cell r="G241" t="str">
            <v>N/A</v>
          </cell>
          <cell r="H241" t="str">
            <v>OVALIDAD</v>
          </cell>
          <cell r="I241">
            <v>12</v>
          </cell>
          <cell r="J241" t="str">
            <v>AUGUSTO</v>
          </cell>
          <cell r="K241">
            <v>44939</v>
          </cell>
          <cell r="L241" t="str">
            <v>Ernesto</v>
          </cell>
          <cell r="M241" t="str">
            <v>PASS</v>
          </cell>
          <cell r="N241" t="str">
            <v>OVALIDAD</v>
          </cell>
        </row>
        <row r="242">
          <cell r="A242">
            <v>20230239</v>
          </cell>
          <cell r="B242">
            <v>44939</v>
          </cell>
          <cell r="C242">
            <v>3</v>
          </cell>
          <cell r="D242" t="str">
            <v>720-2</v>
          </cell>
          <cell r="E242" t="str">
            <v>N/A</v>
          </cell>
          <cell r="F242" t="str">
            <v>34235231G</v>
          </cell>
          <cell r="G242" t="str">
            <v>N/A</v>
          </cell>
          <cell r="H242" t="str">
            <v>CONCENTRICIDAD</v>
          </cell>
          <cell r="I242">
            <v>12</v>
          </cell>
          <cell r="J242" t="str">
            <v>AUGUSTO</v>
          </cell>
          <cell r="K242">
            <v>44939</v>
          </cell>
          <cell r="L242" t="str">
            <v>Ernesto</v>
          </cell>
          <cell r="M242" t="str">
            <v>PASS</v>
          </cell>
          <cell r="N242" t="str">
            <v>CONCENTRICIDAD</v>
          </cell>
        </row>
        <row r="243">
          <cell r="A243">
            <v>20230240</v>
          </cell>
          <cell r="B243">
            <v>44939</v>
          </cell>
          <cell r="C243">
            <v>3</v>
          </cell>
          <cell r="D243" t="str">
            <v>720-2</v>
          </cell>
          <cell r="E243" t="str">
            <v>N/A</v>
          </cell>
          <cell r="F243" t="str">
            <v>34235231G</v>
          </cell>
          <cell r="G243" t="str">
            <v>N/A</v>
          </cell>
          <cell r="H243" t="str">
            <v>OVALIDAD</v>
          </cell>
          <cell r="I243">
            <v>12</v>
          </cell>
          <cell r="J243" t="str">
            <v>AUGUSTO</v>
          </cell>
          <cell r="K243">
            <v>44939</v>
          </cell>
          <cell r="L243" t="str">
            <v>Ernesto</v>
          </cell>
          <cell r="M243" t="str">
            <v>PASS</v>
          </cell>
          <cell r="N243" t="str">
            <v>OVALIDAD</v>
          </cell>
        </row>
        <row r="244">
          <cell r="A244">
            <v>20230241</v>
          </cell>
          <cell r="B244">
            <v>44939</v>
          </cell>
          <cell r="C244">
            <v>3</v>
          </cell>
          <cell r="D244" t="str">
            <v>720-3</v>
          </cell>
          <cell r="E244" t="str">
            <v>N/A</v>
          </cell>
          <cell r="F244" t="str">
            <v>34235233G</v>
          </cell>
          <cell r="G244" t="str">
            <v>N/A</v>
          </cell>
          <cell r="H244" t="str">
            <v>CONCENTRICIDAD</v>
          </cell>
          <cell r="I244">
            <v>18</v>
          </cell>
          <cell r="J244" t="str">
            <v>AUGUSTO</v>
          </cell>
          <cell r="K244">
            <v>44939</v>
          </cell>
          <cell r="L244" t="str">
            <v>Ernesto</v>
          </cell>
          <cell r="M244" t="str">
            <v>PASS</v>
          </cell>
          <cell r="N244" t="str">
            <v>CONCENTRICIDAD</v>
          </cell>
        </row>
        <row r="245">
          <cell r="A245">
            <v>20230242</v>
          </cell>
          <cell r="B245">
            <v>44939</v>
          </cell>
          <cell r="C245">
            <v>3</v>
          </cell>
          <cell r="D245" t="str">
            <v>720-3</v>
          </cell>
          <cell r="E245" t="str">
            <v>N/A</v>
          </cell>
          <cell r="F245" t="str">
            <v>34235233G</v>
          </cell>
          <cell r="G245" t="str">
            <v>N/A</v>
          </cell>
          <cell r="H245" t="str">
            <v>OVALIDAD</v>
          </cell>
          <cell r="I245">
            <v>18</v>
          </cell>
          <cell r="J245" t="str">
            <v>AUGUSTO</v>
          </cell>
          <cell r="K245">
            <v>44939</v>
          </cell>
          <cell r="L245" t="str">
            <v>Ernesto</v>
          </cell>
          <cell r="M245" t="str">
            <v>PASS</v>
          </cell>
          <cell r="N245" t="str">
            <v>OVALIDAD</v>
          </cell>
        </row>
        <row r="246">
          <cell r="A246">
            <v>20230243</v>
          </cell>
          <cell r="B246">
            <v>44939</v>
          </cell>
          <cell r="C246">
            <v>3</v>
          </cell>
          <cell r="D246" t="str">
            <v>720-5</v>
          </cell>
          <cell r="E246" t="str">
            <v>N/A</v>
          </cell>
          <cell r="F246" t="str">
            <v>34324760D</v>
          </cell>
          <cell r="G246" t="str">
            <v>N/A</v>
          </cell>
          <cell r="H246" t="str">
            <v>CONCENTRICIDAD</v>
          </cell>
          <cell r="I246">
            <v>12</v>
          </cell>
          <cell r="J246" t="str">
            <v>AUGUSTO</v>
          </cell>
          <cell r="K246">
            <v>44939</v>
          </cell>
          <cell r="L246" t="str">
            <v>Ernesto</v>
          </cell>
          <cell r="M246" t="str">
            <v>PASS</v>
          </cell>
          <cell r="N246" t="str">
            <v>CONCENTRICIDAD</v>
          </cell>
        </row>
        <row r="247">
          <cell r="A247">
            <v>20230244</v>
          </cell>
          <cell r="B247">
            <v>44939</v>
          </cell>
          <cell r="C247">
            <v>3</v>
          </cell>
          <cell r="D247" t="str">
            <v>720-5</v>
          </cell>
          <cell r="E247" t="str">
            <v>N/A</v>
          </cell>
          <cell r="F247" t="str">
            <v>34324760D</v>
          </cell>
          <cell r="G247" t="str">
            <v>N/A</v>
          </cell>
          <cell r="H247" t="str">
            <v>OVALIDAD</v>
          </cell>
          <cell r="I247">
            <v>12</v>
          </cell>
          <cell r="J247" t="str">
            <v>AUGUSTO</v>
          </cell>
          <cell r="K247">
            <v>44939</v>
          </cell>
          <cell r="L247" t="str">
            <v>Ernesto</v>
          </cell>
          <cell r="M247" t="str">
            <v>PASS</v>
          </cell>
          <cell r="N247" t="str">
            <v>OVALIDAD</v>
          </cell>
        </row>
        <row r="248">
          <cell r="A248">
            <v>20230245</v>
          </cell>
          <cell r="B248">
            <v>44939</v>
          </cell>
          <cell r="C248">
            <v>3</v>
          </cell>
          <cell r="D248" t="str">
            <v>720-6</v>
          </cell>
          <cell r="E248" t="str">
            <v>N/A</v>
          </cell>
          <cell r="F248" t="str">
            <v>A020R619B</v>
          </cell>
          <cell r="G248" t="str">
            <v>N/A</v>
          </cell>
          <cell r="H248" t="str">
            <v>CONCENTRICIDAD</v>
          </cell>
          <cell r="I248">
            <v>12</v>
          </cell>
          <cell r="J248" t="str">
            <v>AUGUSTO</v>
          </cell>
          <cell r="K248">
            <v>44939</v>
          </cell>
          <cell r="L248" t="str">
            <v>Ernesto</v>
          </cell>
          <cell r="M248" t="str">
            <v>PASS</v>
          </cell>
          <cell r="N248" t="str">
            <v>CONCENTRICIDAD</v>
          </cell>
        </row>
        <row r="249">
          <cell r="A249">
            <v>20230246</v>
          </cell>
          <cell r="B249">
            <v>44939</v>
          </cell>
          <cell r="C249">
            <v>3</v>
          </cell>
          <cell r="D249" t="str">
            <v>720-6</v>
          </cell>
          <cell r="E249" t="str">
            <v>N/A</v>
          </cell>
          <cell r="F249" t="str">
            <v>A020R619B</v>
          </cell>
          <cell r="G249" t="str">
            <v>N/A</v>
          </cell>
          <cell r="H249" t="str">
            <v>OVALIDAD</v>
          </cell>
          <cell r="I249">
            <v>12</v>
          </cell>
          <cell r="J249" t="str">
            <v>AUGUSTO</v>
          </cell>
          <cell r="K249">
            <v>44939</v>
          </cell>
          <cell r="L249" t="str">
            <v>Ernesto</v>
          </cell>
          <cell r="M249" t="str">
            <v>PASS</v>
          </cell>
          <cell r="N249" t="str">
            <v>OVALIDAD</v>
          </cell>
        </row>
        <row r="250">
          <cell r="A250">
            <v>20230247</v>
          </cell>
          <cell r="B250">
            <v>44939</v>
          </cell>
          <cell r="C250">
            <v>2</v>
          </cell>
          <cell r="D250" t="str">
            <v>720-4</v>
          </cell>
          <cell r="E250" t="str">
            <v>N/A</v>
          </cell>
          <cell r="F250" t="str">
            <v>34309474B</v>
          </cell>
          <cell r="G250" t="str">
            <v>N/A</v>
          </cell>
          <cell r="H250" t="str">
            <v>CONCENTRICIDAD</v>
          </cell>
          <cell r="I250"/>
          <cell r="J250" t="str">
            <v>AUGUSTO</v>
          </cell>
          <cell r="K250">
            <v>44939</v>
          </cell>
          <cell r="L250" t="str">
            <v>Jose</v>
          </cell>
          <cell r="M250" t="str">
            <v>PASS</v>
          </cell>
          <cell r="N250" t="str">
            <v>CONCENTRICIDAD</v>
          </cell>
        </row>
        <row r="251">
          <cell r="A251">
            <v>20230248</v>
          </cell>
          <cell r="B251">
            <v>44939</v>
          </cell>
          <cell r="C251">
            <v>2</v>
          </cell>
          <cell r="D251" t="str">
            <v>720-4</v>
          </cell>
          <cell r="E251" t="str">
            <v>N/A</v>
          </cell>
          <cell r="F251" t="str">
            <v>34309474B</v>
          </cell>
          <cell r="G251" t="str">
            <v>N/A</v>
          </cell>
          <cell r="H251" t="str">
            <v>OVALIDAD</v>
          </cell>
          <cell r="I251"/>
          <cell r="J251" t="str">
            <v>AUGUSTO</v>
          </cell>
          <cell r="K251">
            <v>44939</v>
          </cell>
          <cell r="L251" t="str">
            <v>Jose</v>
          </cell>
          <cell r="M251" t="str">
            <v>PASS</v>
          </cell>
          <cell r="N251" t="str">
            <v>OVALIDAD</v>
          </cell>
        </row>
        <row r="252">
          <cell r="A252">
            <v>20230249</v>
          </cell>
          <cell r="B252">
            <v>44940</v>
          </cell>
          <cell r="C252">
            <v>1</v>
          </cell>
          <cell r="D252" t="str">
            <v>N/A</v>
          </cell>
          <cell r="E252" t="str">
            <v>N/A</v>
          </cell>
          <cell r="F252" t="str">
            <v>34141784BBB</v>
          </cell>
          <cell r="G252">
            <v>1</v>
          </cell>
          <cell r="H252" t="str">
            <v xml:space="preserve">Conforme al rip </v>
          </cell>
          <cell r="I252" t="str">
            <v>5 pcs</v>
          </cell>
          <cell r="J252" t="str">
            <v>Nuevos programas</v>
          </cell>
          <cell r="K252">
            <v>44940</v>
          </cell>
          <cell r="L252" t="str">
            <v xml:space="preserve">Adela </v>
          </cell>
          <cell r="M252" t="str">
            <v>NO PASS</v>
          </cell>
          <cell r="N252"/>
        </row>
        <row r="253">
          <cell r="A253">
            <v>20230250</v>
          </cell>
          <cell r="B253">
            <v>44940</v>
          </cell>
          <cell r="C253">
            <v>1</v>
          </cell>
          <cell r="D253" t="str">
            <v>720-1</v>
          </cell>
          <cell r="E253" t="str">
            <v>N/A</v>
          </cell>
          <cell r="F253" t="str">
            <v>34324759E</v>
          </cell>
          <cell r="G253" t="str">
            <v>N/A</v>
          </cell>
          <cell r="H253" t="str">
            <v>CONCENTRICIDAD</v>
          </cell>
          <cell r="I253">
            <v>12</v>
          </cell>
          <cell r="J253" t="str">
            <v>Gabriel Ramos</v>
          </cell>
          <cell r="K253">
            <v>44940</v>
          </cell>
          <cell r="L253" t="str">
            <v xml:space="preserve">Adela </v>
          </cell>
          <cell r="M253" t="str">
            <v>PASS</v>
          </cell>
          <cell r="N253" t="str">
            <v>CONCENTRICIDAD</v>
          </cell>
        </row>
        <row r="254">
          <cell r="A254">
            <v>20230251</v>
          </cell>
          <cell r="B254">
            <v>44940</v>
          </cell>
          <cell r="C254">
            <v>1</v>
          </cell>
          <cell r="D254" t="str">
            <v>720-1</v>
          </cell>
          <cell r="E254" t="str">
            <v>N/A</v>
          </cell>
          <cell r="F254" t="str">
            <v>34324759E</v>
          </cell>
          <cell r="G254" t="str">
            <v>N/A</v>
          </cell>
          <cell r="H254" t="str">
            <v>OVALIDAD</v>
          </cell>
          <cell r="I254">
            <v>12</v>
          </cell>
          <cell r="J254" t="str">
            <v>Gabriel Ramos</v>
          </cell>
          <cell r="K254">
            <v>44940</v>
          </cell>
          <cell r="L254" t="str">
            <v xml:space="preserve">Adela </v>
          </cell>
          <cell r="M254" t="str">
            <v>PASS</v>
          </cell>
          <cell r="N254" t="str">
            <v>OVALIDAD</v>
          </cell>
        </row>
        <row r="255">
          <cell r="A255">
            <v>20230252</v>
          </cell>
          <cell r="B255">
            <v>44940</v>
          </cell>
          <cell r="C255">
            <v>1</v>
          </cell>
          <cell r="D255" t="str">
            <v>720-5</v>
          </cell>
          <cell r="E255" t="str">
            <v>N/A</v>
          </cell>
          <cell r="F255" t="str">
            <v>34324760D</v>
          </cell>
          <cell r="G255" t="str">
            <v>N/A</v>
          </cell>
          <cell r="H255" t="str">
            <v>CONCENTRICIDAD</v>
          </cell>
          <cell r="I255">
            <v>6</v>
          </cell>
          <cell r="J255" t="str">
            <v>Gabriel Ramos</v>
          </cell>
          <cell r="K255">
            <v>44940</v>
          </cell>
          <cell r="L255" t="str">
            <v xml:space="preserve">Adela </v>
          </cell>
          <cell r="M255" t="str">
            <v>PASS</v>
          </cell>
          <cell r="N255"/>
        </row>
        <row r="256">
          <cell r="A256">
            <v>20230253</v>
          </cell>
          <cell r="B256">
            <v>44940</v>
          </cell>
          <cell r="C256">
            <v>1</v>
          </cell>
          <cell r="D256" t="str">
            <v>720-5</v>
          </cell>
          <cell r="E256" t="str">
            <v>N/A</v>
          </cell>
          <cell r="F256" t="str">
            <v>34324760D</v>
          </cell>
          <cell r="G256" t="str">
            <v>N/A</v>
          </cell>
          <cell r="H256" t="str">
            <v>OVALIDAD</v>
          </cell>
          <cell r="I256">
            <v>6</v>
          </cell>
          <cell r="J256" t="str">
            <v>Gabriel Ramos</v>
          </cell>
          <cell r="K256">
            <v>44940</v>
          </cell>
          <cell r="L256" t="str">
            <v xml:space="preserve">Adela </v>
          </cell>
          <cell r="M256" t="str">
            <v>PASS</v>
          </cell>
          <cell r="N256"/>
        </row>
        <row r="257">
          <cell r="A257">
            <v>20230254</v>
          </cell>
          <cell r="B257">
            <v>44940</v>
          </cell>
          <cell r="C257">
            <v>3</v>
          </cell>
          <cell r="D257" t="str">
            <v>720-1</v>
          </cell>
          <cell r="E257" t="str">
            <v>N/A</v>
          </cell>
          <cell r="F257" t="str">
            <v>34324760D</v>
          </cell>
          <cell r="G257" t="str">
            <v>N/A</v>
          </cell>
          <cell r="H257" t="str">
            <v>CONCENTRICIDAD</v>
          </cell>
          <cell r="I257">
            <v>6</v>
          </cell>
          <cell r="J257" t="str">
            <v>AUGUSTO</v>
          </cell>
          <cell r="K257">
            <v>44940</v>
          </cell>
          <cell r="L257" t="str">
            <v>Eric</v>
          </cell>
          <cell r="M257" t="str">
            <v>PASS</v>
          </cell>
          <cell r="N257" t="str">
            <v>TUBOS</v>
          </cell>
        </row>
        <row r="258">
          <cell r="A258">
            <v>20230255</v>
          </cell>
          <cell r="B258">
            <v>44940</v>
          </cell>
          <cell r="C258">
            <v>3</v>
          </cell>
          <cell r="D258" t="str">
            <v>720-2</v>
          </cell>
          <cell r="E258" t="str">
            <v>N/A</v>
          </cell>
          <cell r="F258" t="str">
            <v>34296437C</v>
          </cell>
          <cell r="G258" t="str">
            <v>N/A</v>
          </cell>
          <cell r="H258" t="str">
            <v>CONCENTRICIDAD</v>
          </cell>
          <cell r="I258">
            <v>6</v>
          </cell>
          <cell r="J258" t="str">
            <v>AUGUSTO</v>
          </cell>
          <cell r="K258">
            <v>44940</v>
          </cell>
          <cell r="L258" t="str">
            <v>Eric</v>
          </cell>
          <cell r="M258" t="str">
            <v>PASS</v>
          </cell>
          <cell r="N258" t="str">
            <v>TUBOS</v>
          </cell>
        </row>
        <row r="259">
          <cell r="A259">
            <v>20230256</v>
          </cell>
          <cell r="B259">
            <v>44940</v>
          </cell>
          <cell r="C259">
            <v>3</v>
          </cell>
          <cell r="D259" t="str">
            <v>720-1</v>
          </cell>
          <cell r="E259" t="str">
            <v>N/A</v>
          </cell>
          <cell r="F259" t="str">
            <v>34324760D</v>
          </cell>
          <cell r="G259" t="str">
            <v>N/A</v>
          </cell>
          <cell r="H259" t="str">
            <v>OVALIDAD</v>
          </cell>
          <cell r="I259">
            <v>6</v>
          </cell>
          <cell r="J259" t="str">
            <v>AUGUSTO</v>
          </cell>
          <cell r="K259">
            <v>44940</v>
          </cell>
          <cell r="L259" t="str">
            <v>Eric</v>
          </cell>
          <cell r="M259" t="str">
            <v>PASS</v>
          </cell>
          <cell r="N259" t="str">
            <v>TUBOS</v>
          </cell>
        </row>
        <row r="260">
          <cell r="A260">
            <v>20230257</v>
          </cell>
          <cell r="B260">
            <v>44940</v>
          </cell>
          <cell r="C260">
            <v>3</v>
          </cell>
          <cell r="D260" t="str">
            <v>720-2</v>
          </cell>
          <cell r="E260" t="str">
            <v>N/A</v>
          </cell>
          <cell r="F260" t="str">
            <v>34296437C</v>
          </cell>
          <cell r="G260" t="str">
            <v>N/A</v>
          </cell>
          <cell r="H260" t="str">
            <v>OVALIDAD</v>
          </cell>
          <cell r="I260">
            <v>6</v>
          </cell>
          <cell r="J260" t="str">
            <v>AUGUSTO</v>
          </cell>
          <cell r="K260">
            <v>44940</v>
          </cell>
          <cell r="L260" t="str">
            <v>Eric</v>
          </cell>
          <cell r="M260" t="str">
            <v>PASS</v>
          </cell>
          <cell r="N260" t="str">
            <v>TUBOS</v>
          </cell>
        </row>
        <row r="261">
          <cell r="A261">
            <v>20230258</v>
          </cell>
          <cell r="B261">
            <v>44942</v>
          </cell>
          <cell r="C261">
            <v>1</v>
          </cell>
          <cell r="D261">
            <v>427</v>
          </cell>
          <cell r="E261" t="str">
            <v>N/A</v>
          </cell>
          <cell r="F261" t="str">
            <v>34298999A</v>
          </cell>
          <cell r="G261" t="str">
            <v>N/A</v>
          </cell>
          <cell r="H261">
            <v>24</v>
          </cell>
          <cell r="I261">
            <v>3</v>
          </cell>
          <cell r="J261" t="str">
            <v>Javier Bautista</v>
          </cell>
          <cell r="K261">
            <v>44942</v>
          </cell>
          <cell r="L261" t="str">
            <v>Nohemi</v>
          </cell>
          <cell r="M261" t="str">
            <v>PASS</v>
          </cell>
          <cell r="N261" t="str">
            <v>A0034B5526A</v>
          </cell>
        </row>
        <row r="262">
          <cell r="A262">
            <v>20230259</v>
          </cell>
          <cell r="B262">
            <v>44942</v>
          </cell>
          <cell r="C262">
            <v>1</v>
          </cell>
          <cell r="D262" t="str">
            <v>716-3</v>
          </cell>
          <cell r="E262" t="str">
            <v>N/A</v>
          </cell>
          <cell r="F262" t="str">
            <v>34285576C</v>
          </cell>
          <cell r="G262" t="str">
            <v>N/A</v>
          </cell>
          <cell r="H262" t="str">
            <v>102,48,49,50,51,12</v>
          </cell>
          <cell r="I262">
            <v>3</v>
          </cell>
          <cell r="J262" t="str">
            <v>Laura Castillo</v>
          </cell>
          <cell r="K262">
            <v>44942</v>
          </cell>
          <cell r="L262" t="str">
            <v>Nohemi</v>
          </cell>
          <cell r="M262" t="str">
            <v>PASS</v>
          </cell>
          <cell r="N262" t="str">
            <v>CH34229751 A25</v>
          </cell>
        </row>
        <row r="263">
          <cell r="A263">
            <v>20230260</v>
          </cell>
          <cell r="B263">
            <v>44942</v>
          </cell>
          <cell r="C263">
            <v>1</v>
          </cell>
          <cell r="D263" t="str">
            <v>716-3</v>
          </cell>
          <cell r="E263" t="str">
            <v>N/A</v>
          </cell>
          <cell r="F263" t="str">
            <v>34285576C</v>
          </cell>
          <cell r="G263" t="str">
            <v>N/A</v>
          </cell>
          <cell r="H263" t="str">
            <v>3,8,76,103,102,48,49,50,51,12</v>
          </cell>
          <cell r="I263">
            <v>2</v>
          </cell>
          <cell r="J263" t="str">
            <v>Laura Castillo</v>
          </cell>
          <cell r="K263">
            <v>44942</v>
          </cell>
          <cell r="L263" t="str">
            <v>Nohemi</v>
          </cell>
          <cell r="M263" t="str">
            <v>PASS</v>
          </cell>
          <cell r="N263" t="str">
            <v>CH34229751 A25</v>
          </cell>
        </row>
        <row r="264">
          <cell r="A264">
            <v>20230261</v>
          </cell>
          <cell r="B264">
            <v>44942</v>
          </cell>
          <cell r="C264">
            <v>1</v>
          </cell>
          <cell r="D264" t="str">
            <v>N/A</v>
          </cell>
          <cell r="E264" t="str">
            <v>N/A</v>
          </cell>
          <cell r="F264" t="str">
            <v>A026T249A</v>
          </cell>
          <cell r="G264" t="str">
            <v>TT001</v>
          </cell>
          <cell r="H264" t="str">
            <v xml:space="preserve">Conforme al rip </v>
          </cell>
          <cell r="I264" t="str">
            <v>5 pcs</v>
          </cell>
          <cell r="J264" t="str">
            <v>Nuevos programas</v>
          </cell>
          <cell r="K264">
            <v>44942</v>
          </cell>
          <cell r="L264" t="str">
            <v xml:space="preserve">Adela </v>
          </cell>
          <cell r="M264" t="str">
            <v>NO PASS</v>
          </cell>
          <cell r="N264"/>
        </row>
        <row r="265">
          <cell r="A265">
            <v>20230262</v>
          </cell>
          <cell r="B265">
            <v>44942</v>
          </cell>
          <cell r="C265">
            <v>1</v>
          </cell>
          <cell r="D265" t="str">
            <v>720-5</v>
          </cell>
          <cell r="E265" t="str">
            <v>SPR4</v>
          </cell>
          <cell r="F265" t="str">
            <v>GAGE</v>
          </cell>
          <cell r="G265" t="str">
            <v>N/A</v>
          </cell>
          <cell r="H265" t="str">
            <v>R &amp; HRC</v>
          </cell>
          <cell r="I265"/>
          <cell r="J265" t="str">
            <v>MANUEL ITUARTE</v>
          </cell>
          <cell r="K265">
            <v>44942</v>
          </cell>
          <cell r="L265" t="str">
            <v>MAURICIO</v>
          </cell>
          <cell r="M265" t="str">
            <v>PASS</v>
          </cell>
          <cell r="N265" t="str">
            <v>PLANO MARCADO</v>
          </cell>
        </row>
        <row r="266">
          <cell r="A266">
            <v>20230263</v>
          </cell>
          <cell r="B266">
            <v>44942</v>
          </cell>
          <cell r="C266">
            <v>1</v>
          </cell>
          <cell r="D266" t="str">
            <v>N/A</v>
          </cell>
          <cell r="E266" t="str">
            <v>N/A</v>
          </cell>
          <cell r="F266" t="str">
            <v>34130163BBB</v>
          </cell>
          <cell r="G266">
            <v>1</v>
          </cell>
          <cell r="H266" t="str">
            <v xml:space="preserve">Conforme al rip </v>
          </cell>
          <cell r="I266" t="str">
            <v>5 pcs</v>
          </cell>
          <cell r="J266" t="str">
            <v>Nuevos programas</v>
          </cell>
          <cell r="K266">
            <v>44942</v>
          </cell>
          <cell r="L266" t="str">
            <v xml:space="preserve">Adela </v>
          </cell>
          <cell r="M266" t="str">
            <v>NO PASS</v>
          </cell>
          <cell r="N266"/>
        </row>
        <row r="267">
          <cell r="A267">
            <v>20230264</v>
          </cell>
          <cell r="B267">
            <v>44942</v>
          </cell>
          <cell r="C267">
            <v>1</v>
          </cell>
          <cell r="D267" t="str">
            <v>N/A</v>
          </cell>
          <cell r="E267" t="str">
            <v>N/A</v>
          </cell>
          <cell r="F267" t="str">
            <v>34146057BBB</v>
          </cell>
          <cell r="G267">
            <v>1</v>
          </cell>
          <cell r="H267" t="str">
            <v xml:space="preserve">Conforme al rip </v>
          </cell>
          <cell r="I267" t="str">
            <v>5 pcs</v>
          </cell>
          <cell r="J267" t="str">
            <v>Nuevos programas</v>
          </cell>
          <cell r="K267">
            <v>44942</v>
          </cell>
          <cell r="L267" t="str">
            <v xml:space="preserve">Adela </v>
          </cell>
          <cell r="M267" t="str">
            <v>NO PASS</v>
          </cell>
          <cell r="N267"/>
        </row>
        <row r="268">
          <cell r="A268">
            <v>20230265</v>
          </cell>
          <cell r="B268">
            <v>44942</v>
          </cell>
          <cell r="C268">
            <v>1</v>
          </cell>
          <cell r="D268" t="str">
            <v>705-B</v>
          </cell>
          <cell r="E268" t="str">
            <v>BMW</v>
          </cell>
          <cell r="F268" t="str">
            <v>34263818B</v>
          </cell>
          <cell r="G268" t="str">
            <v>N/A</v>
          </cell>
          <cell r="H268" t="str">
            <v>20,22,23,27</v>
          </cell>
          <cell r="I268"/>
          <cell r="J268" t="str">
            <v>Laura Castillo</v>
          </cell>
          <cell r="K268">
            <v>44942</v>
          </cell>
          <cell r="L268" t="str">
            <v>Nohemi</v>
          </cell>
          <cell r="M268" t="str">
            <v>PASS</v>
          </cell>
          <cell r="N268" t="str">
            <v>CH34263830 A16</v>
          </cell>
        </row>
        <row r="269">
          <cell r="A269">
            <v>20230266</v>
          </cell>
          <cell r="B269">
            <v>44942</v>
          </cell>
          <cell r="C269">
            <v>1</v>
          </cell>
          <cell r="D269" t="str">
            <v>720-1</v>
          </cell>
          <cell r="E269" t="str">
            <v>SPR8</v>
          </cell>
          <cell r="F269" t="str">
            <v>34324760D</v>
          </cell>
          <cell r="G269" t="str">
            <v>N/A</v>
          </cell>
          <cell r="H269" t="str">
            <v>CONCENTRICIDAD</v>
          </cell>
          <cell r="I269"/>
          <cell r="J269" t="str">
            <v>EVELYN ESTUDILLO</v>
          </cell>
          <cell r="K269">
            <v>44942</v>
          </cell>
          <cell r="L269" t="str">
            <v>MAURICIO</v>
          </cell>
          <cell r="M269" t="str">
            <v>PASS</v>
          </cell>
          <cell r="N269" t="str">
            <v>CONCENTRICIDAD</v>
          </cell>
        </row>
        <row r="270">
          <cell r="A270">
            <v>20230267</v>
          </cell>
          <cell r="B270">
            <v>44942</v>
          </cell>
          <cell r="C270">
            <v>1</v>
          </cell>
          <cell r="D270" t="str">
            <v>720-2</v>
          </cell>
          <cell r="E270" t="str">
            <v>SPR8</v>
          </cell>
          <cell r="F270" t="str">
            <v>34306788D</v>
          </cell>
          <cell r="G270" t="str">
            <v>N/A</v>
          </cell>
          <cell r="H270" t="str">
            <v>CONCENTRICIDAD</v>
          </cell>
          <cell r="I270"/>
          <cell r="J270" t="str">
            <v>EVELYN ESTUDILLO</v>
          </cell>
          <cell r="K270">
            <v>44942</v>
          </cell>
          <cell r="L270" t="str">
            <v>MAURICIO</v>
          </cell>
          <cell r="M270" t="str">
            <v>PASS</v>
          </cell>
          <cell r="N270" t="str">
            <v>CONCENTRICIDAD</v>
          </cell>
        </row>
        <row r="271">
          <cell r="A271">
            <v>20230268</v>
          </cell>
          <cell r="B271">
            <v>44942</v>
          </cell>
          <cell r="C271">
            <v>1</v>
          </cell>
          <cell r="D271" t="str">
            <v>720-5</v>
          </cell>
          <cell r="E271" t="str">
            <v>SPR8</v>
          </cell>
          <cell r="F271" t="str">
            <v>34324760D</v>
          </cell>
          <cell r="G271" t="str">
            <v>N/A</v>
          </cell>
          <cell r="H271" t="str">
            <v>CONCENTRICIDAD</v>
          </cell>
          <cell r="I271"/>
          <cell r="J271" t="str">
            <v>EVELYN ESTUDILLO</v>
          </cell>
          <cell r="K271">
            <v>44942</v>
          </cell>
          <cell r="L271" t="str">
            <v>MAURICIO</v>
          </cell>
          <cell r="M271" t="str">
            <v>PASS</v>
          </cell>
          <cell r="N271" t="str">
            <v>CONCENTRICIDAD</v>
          </cell>
        </row>
        <row r="272">
          <cell r="A272">
            <v>20230269</v>
          </cell>
          <cell r="B272">
            <v>44942</v>
          </cell>
          <cell r="C272">
            <v>1</v>
          </cell>
          <cell r="D272" t="str">
            <v>720-6</v>
          </cell>
          <cell r="E272" t="str">
            <v>SPR8</v>
          </cell>
          <cell r="F272" t="str">
            <v>A020R620A</v>
          </cell>
          <cell r="G272" t="str">
            <v>N/A</v>
          </cell>
          <cell r="H272" t="str">
            <v>CONCENTRICIDAD</v>
          </cell>
          <cell r="I272"/>
          <cell r="J272" t="str">
            <v>EVELYN ESTUDILLO</v>
          </cell>
          <cell r="K272">
            <v>44942</v>
          </cell>
          <cell r="L272" t="str">
            <v>MAURICIO</v>
          </cell>
          <cell r="M272" t="str">
            <v>PASS</v>
          </cell>
          <cell r="N272" t="str">
            <v>CONCENTRICIDAD</v>
          </cell>
        </row>
        <row r="273">
          <cell r="A273">
            <v>20230270</v>
          </cell>
          <cell r="B273">
            <v>44942</v>
          </cell>
          <cell r="C273">
            <v>1</v>
          </cell>
          <cell r="D273" t="str">
            <v>720-3</v>
          </cell>
          <cell r="E273" t="str">
            <v>SPR8</v>
          </cell>
          <cell r="F273" t="str">
            <v>34271008G</v>
          </cell>
          <cell r="G273" t="str">
            <v>N/A</v>
          </cell>
          <cell r="H273" t="str">
            <v>CONCENTRICIDAD</v>
          </cell>
          <cell r="I273"/>
          <cell r="J273" t="str">
            <v>EVELYN ESTUDILLO</v>
          </cell>
          <cell r="K273">
            <v>44942</v>
          </cell>
          <cell r="L273" t="str">
            <v>MAURICIO</v>
          </cell>
          <cell r="M273" t="str">
            <v>PASS</v>
          </cell>
          <cell r="N273" t="str">
            <v>CONCENTRICIDAD</v>
          </cell>
        </row>
        <row r="274">
          <cell r="A274">
            <v>20230271</v>
          </cell>
          <cell r="B274">
            <v>44942</v>
          </cell>
          <cell r="C274">
            <v>1</v>
          </cell>
          <cell r="D274" t="str">
            <v>720-4</v>
          </cell>
          <cell r="E274" t="str">
            <v>SPR8</v>
          </cell>
          <cell r="F274" t="str">
            <v>34309474B</v>
          </cell>
          <cell r="G274" t="str">
            <v>N/A</v>
          </cell>
          <cell r="H274" t="str">
            <v>CONCENTRICIDAD</v>
          </cell>
          <cell r="I274"/>
          <cell r="J274" t="str">
            <v>EVELYN ESTUDILLO</v>
          </cell>
          <cell r="K274">
            <v>44942</v>
          </cell>
          <cell r="L274" t="str">
            <v>MAURICIO</v>
          </cell>
          <cell r="M274" t="str">
            <v>PASS</v>
          </cell>
          <cell r="N274" t="str">
            <v>CONCENTRICIDAD</v>
          </cell>
        </row>
        <row r="275">
          <cell r="A275">
            <v>20230272</v>
          </cell>
          <cell r="B275">
            <v>44942</v>
          </cell>
          <cell r="C275">
            <v>1</v>
          </cell>
          <cell r="D275" t="str">
            <v>720-1</v>
          </cell>
          <cell r="E275" t="str">
            <v>SPR8</v>
          </cell>
          <cell r="F275" t="str">
            <v>34324760D</v>
          </cell>
          <cell r="G275" t="str">
            <v>N/A</v>
          </cell>
          <cell r="H275" t="str">
            <v>OVALIDAD</v>
          </cell>
          <cell r="I275"/>
          <cell r="J275" t="str">
            <v>EVELYN ESTUDILLO</v>
          </cell>
          <cell r="K275">
            <v>44942</v>
          </cell>
          <cell r="L275" t="str">
            <v>MAURICIO</v>
          </cell>
          <cell r="M275" t="str">
            <v>PASS</v>
          </cell>
          <cell r="N275" t="str">
            <v>OVALIDAD</v>
          </cell>
        </row>
        <row r="276">
          <cell r="A276">
            <v>20230273</v>
          </cell>
          <cell r="B276">
            <v>44942</v>
          </cell>
          <cell r="C276">
            <v>1</v>
          </cell>
          <cell r="D276" t="str">
            <v>720-2</v>
          </cell>
          <cell r="E276" t="str">
            <v>SPR8</v>
          </cell>
          <cell r="F276" t="str">
            <v>34306788D</v>
          </cell>
          <cell r="G276" t="str">
            <v>N/A</v>
          </cell>
          <cell r="H276" t="str">
            <v>OVALIDAD</v>
          </cell>
          <cell r="I276"/>
          <cell r="J276" t="str">
            <v>EVELYN ESTUDILLO</v>
          </cell>
          <cell r="K276">
            <v>44942</v>
          </cell>
          <cell r="L276" t="str">
            <v>MAURICIO</v>
          </cell>
          <cell r="M276" t="str">
            <v>PASS</v>
          </cell>
          <cell r="N276" t="str">
            <v>OVALIDAD</v>
          </cell>
        </row>
        <row r="277">
          <cell r="A277">
            <v>20230274</v>
          </cell>
          <cell r="B277">
            <v>44942</v>
          </cell>
          <cell r="C277">
            <v>1</v>
          </cell>
          <cell r="D277" t="str">
            <v>720-5</v>
          </cell>
          <cell r="E277" t="str">
            <v>SPR8</v>
          </cell>
          <cell r="F277" t="str">
            <v>34324760D</v>
          </cell>
          <cell r="G277" t="str">
            <v>N/A</v>
          </cell>
          <cell r="H277" t="str">
            <v>OVALIDAD</v>
          </cell>
          <cell r="I277"/>
          <cell r="J277" t="str">
            <v>EVELYN ESTUDILLO</v>
          </cell>
          <cell r="K277">
            <v>44942</v>
          </cell>
          <cell r="L277" t="str">
            <v>MAURICIO</v>
          </cell>
          <cell r="M277" t="str">
            <v>PASS</v>
          </cell>
          <cell r="N277" t="str">
            <v>OVALIDAD</v>
          </cell>
        </row>
        <row r="278">
          <cell r="A278">
            <v>20230275</v>
          </cell>
          <cell r="B278">
            <v>44942</v>
          </cell>
          <cell r="C278">
            <v>1</v>
          </cell>
          <cell r="D278" t="str">
            <v>720-6</v>
          </cell>
          <cell r="E278" t="str">
            <v>SPR8</v>
          </cell>
          <cell r="F278" t="str">
            <v>A020R620A</v>
          </cell>
          <cell r="G278" t="str">
            <v>N/A</v>
          </cell>
          <cell r="H278" t="str">
            <v>OVALIDAD</v>
          </cell>
          <cell r="I278"/>
          <cell r="J278" t="str">
            <v>EVELYN ESTUDILLO</v>
          </cell>
          <cell r="K278">
            <v>44942</v>
          </cell>
          <cell r="L278" t="str">
            <v>MAURICIO</v>
          </cell>
          <cell r="M278" t="str">
            <v>PASS</v>
          </cell>
          <cell r="N278" t="str">
            <v>OVALIDAD</v>
          </cell>
        </row>
        <row r="279">
          <cell r="A279">
            <v>20230276</v>
          </cell>
          <cell r="B279">
            <v>44942</v>
          </cell>
          <cell r="C279">
            <v>1</v>
          </cell>
          <cell r="D279" t="str">
            <v>720-3</v>
          </cell>
          <cell r="E279" t="str">
            <v>SPR8</v>
          </cell>
          <cell r="F279" t="str">
            <v>34271008G</v>
          </cell>
          <cell r="G279" t="str">
            <v>N/A</v>
          </cell>
          <cell r="H279" t="str">
            <v>OVALIDAD</v>
          </cell>
          <cell r="I279"/>
          <cell r="J279" t="str">
            <v>EVELYN ESTUDILLO</v>
          </cell>
          <cell r="K279">
            <v>44942</v>
          </cell>
          <cell r="L279" t="str">
            <v>MAURICIO</v>
          </cell>
          <cell r="M279" t="str">
            <v>PASS</v>
          </cell>
          <cell r="N279" t="str">
            <v>OVALIDAD</v>
          </cell>
        </row>
        <row r="280">
          <cell r="A280">
            <v>20230277</v>
          </cell>
          <cell r="B280">
            <v>44942</v>
          </cell>
          <cell r="C280">
            <v>1</v>
          </cell>
          <cell r="D280" t="str">
            <v>720-4</v>
          </cell>
          <cell r="E280" t="str">
            <v>SPR8</v>
          </cell>
          <cell r="F280" t="str">
            <v>34309474B</v>
          </cell>
          <cell r="G280" t="str">
            <v>N/A</v>
          </cell>
          <cell r="H280" t="str">
            <v>OVALIDAD</v>
          </cell>
          <cell r="I280"/>
          <cell r="J280" t="str">
            <v>EVELYN ESTUDILLO</v>
          </cell>
          <cell r="K280">
            <v>44942</v>
          </cell>
          <cell r="L280" t="str">
            <v>MAURICIO</v>
          </cell>
          <cell r="M280" t="str">
            <v>PASS</v>
          </cell>
          <cell r="N280" t="str">
            <v>OVALIDAD</v>
          </cell>
        </row>
        <row r="281">
          <cell r="A281">
            <v>20230278</v>
          </cell>
          <cell r="B281">
            <v>44942</v>
          </cell>
          <cell r="C281">
            <v>1</v>
          </cell>
          <cell r="D281" t="str">
            <v>716-2</v>
          </cell>
          <cell r="E281" t="str">
            <v>SPR8</v>
          </cell>
          <cell r="F281" t="str">
            <v>34285576C</v>
          </cell>
          <cell r="G281" t="str">
            <v>N/A</v>
          </cell>
          <cell r="H281" t="str">
            <v>102,48,49,50,51,12</v>
          </cell>
          <cell r="I281"/>
          <cell r="J281" t="str">
            <v>Laura Castillo</v>
          </cell>
          <cell r="K281">
            <v>44942</v>
          </cell>
          <cell r="L281" t="str">
            <v>Nohemi</v>
          </cell>
          <cell r="M281" t="str">
            <v>PASS</v>
          </cell>
          <cell r="N281" t="str">
            <v>CH34229751 A25</v>
          </cell>
        </row>
        <row r="282">
          <cell r="A282">
            <v>20230279</v>
          </cell>
          <cell r="B282">
            <v>44942</v>
          </cell>
          <cell r="C282">
            <v>3</v>
          </cell>
          <cell r="D282" t="str">
            <v>720-4</v>
          </cell>
          <cell r="E282" t="str">
            <v>SPR8</v>
          </cell>
          <cell r="F282" t="str">
            <v>34361271A</v>
          </cell>
          <cell r="G282" t="str">
            <v>N/A</v>
          </cell>
          <cell r="H282" t="str">
            <v>CONCENTRICIDAD</v>
          </cell>
          <cell r="I282"/>
          <cell r="J282" t="str">
            <v>Augusto rdz</v>
          </cell>
          <cell r="K282">
            <v>44942</v>
          </cell>
          <cell r="L282" t="str">
            <v>Abel</v>
          </cell>
          <cell r="M282" t="str">
            <v>PASS</v>
          </cell>
          <cell r="N282" t="str">
            <v>CONCENTRICIDAD</v>
          </cell>
        </row>
        <row r="283">
          <cell r="A283">
            <v>20230280</v>
          </cell>
          <cell r="B283">
            <v>44942</v>
          </cell>
          <cell r="C283">
            <v>3</v>
          </cell>
          <cell r="D283" t="str">
            <v>720-6</v>
          </cell>
          <cell r="E283" t="str">
            <v>SPR8</v>
          </cell>
          <cell r="F283" t="str">
            <v>A020R619B</v>
          </cell>
          <cell r="G283" t="str">
            <v>N/A</v>
          </cell>
          <cell r="H283" t="str">
            <v>CONCENTRICIDAD</v>
          </cell>
          <cell r="I283"/>
          <cell r="J283" t="str">
            <v>Augusto rdz</v>
          </cell>
          <cell r="K283">
            <v>44942</v>
          </cell>
          <cell r="L283" t="str">
            <v>Abel</v>
          </cell>
          <cell r="M283" t="str">
            <v>PASS</v>
          </cell>
          <cell r="N283" t="str">
            <v>CONCENTRICIDAD</v>
          </cell>
        </row>
        <row r="284">
          <cell r="A284">
            <v>20230281</v>
          </cell>
          <cell r="B284">
            <v>44942</v>
          </cell>
          <cell r="C284">
            <v>3</v>
          </cell>
          <cell r="D284" t="str">
            <v>720-3</v>
          </cell>
          <cell r="E284" t="str">
            <v>SPR8</v>
          </cell>
          <cell r="F284" t="str">
            <v>34235232G</v>
          </cell>
          <cell r="G284" t="str">
            <v>N/A</v>
          </cell>
          <cell r="H284" t="str">
            <v>CONCENTRICIDAD</v>
          </cell>
          <cell r="I284"/>
          <cell r="J284" t="str">
            <v>Augusto rdz</v>
          </cell>
          <cell r="K284">
            <v>44942</v>
          </cell>
          <cell r="L284" t="str">
            <v>Abel</v>
          </cell>
          <cell r="M284" t="str">
            <v>PASS</v>
          </cell>
          <cell r="N284" t="str">
            <v>CONCENTRICIDAD</v>
          </cell>
        </row>
        <row r="285">
          <cell r="A285">
            <v>20230282</v>
          </cell>
          <cell r="B285">
            <v>44942</v>
          </cell>
          <cell r="C285">
            <v>3</v>
          </cell>
          <cell r="D285" t="str">
            <v>720-2</v>
          </cell>
          <cell r="E285" t="str">
            <v>SPR8</v>
          </cell>
          <cell r="F285" t="str">
            <v>34235234G</v>
          </cell>
          <cell r="G285" t="str">
            <v>N/A</v>
          </cell>
          <cell r="H285" t="str">
            <v>CONCENTRICIDAD</v>
          </cell>
          <cell r="I285"/>
          <cell r="J285" t="str">
            <v>Augusto rdz</v>
          </cell>
          <cell r="K285">
            <v>44942</v>
          </cell>
          <cell r="L285" t="str">
            <v>Abel</v>
          </cell>
          <cell r="M285" t="str">
            <v>PASS</v>
          </cell>
          <cell r="N285" t="str">
            <v>CONCENTRICIDAD</v>
          </cell>
        </row>
        <row r="286">
          <cell r="A286">
            <v>20230283</v>
          </cell>
          <cell r="B286">
            <v>44942</v>
          </cell>
          <cell r="C286">
            <v>3</v>
          </cell>
          <cell r="D286" t="str">
            <v>720-5</v>
          </cell>
          <cell r="E286" t="str">
            <v>SPR8</v>
          </cell>
          <cell r="F286" t="str">
            <v>34327460D</v>
          </cell>
          <cell r="G286" t="str">
            <v>N/A</v>
          </cell>
          <cell r="H286" t="str">
            <v>CONCENTRICIDAD</v>
          </cell>
          <cell r="I286"/>
          <cell r="J286" t="str">
            <v>Augusto rdz</v>
          </cell>
          <cell r="K286">
            <v>44942</v>
          </cell>
          <cell r="L286" t="str">
            <v>Abel</v>
          </cell>
          <cell r="M286" t="str">
            <v>PASS</v>
          </cell>
          <cell r="N286" t="str">
            <v>CONCENTRICIDAD</v>
          </cell>
        </row>
        <row r="287">
          <cell r="A287">
            <v>20230284</v>
          </cell>
          <cell r="B287">
            <v>44942</v>
          </cell>
          <cell r="C287">
            <v>3</v>
          </cell>
          <cell r="D287" t="str">
            <v>720-1</v>
          </cell>
          <cell r="E287" t="str">
            <v>SPR8</v>
          </cell>
          <cell r="F287" t="str">
            <v>34324758A</v>
          </cell>
          <cell r="G287" t="str">
            <v>N/A</v>
          </cell>
          <cell r="H287" t="str">
            <v>CONCENTRICIDAD</v>
          </cell>
          <cell r="I287"/>
          <cell r="J287" t="str">
            <v>Augusto rdz</v>
          </cell>
          <cell r="K287">
            <v>44942</v>
          </cell>
          <cell r="L287" t="str">
            <v>Abel</v>
          </cell>
          <cell r="M287" t="str">
            <v>PASS</v>
          </cell>
          <cell r="N287" t="str">
            <v>CONCENTRICIDAD</v>
          </cell>
        </row>
        <row r="288">
          <cell r="A288">
            <v>20230285</v>
          </cell>
          <cell r="B288">
            <v>44942</v>
          </cell>
          <cell r="C288">
            <v>3</v>
          </cell>
          <cell r="D288" t="str">
            <v>720-4</v>
          </cell>
          <cell r="E288" t="str">
            <v>SPR8</v>
          </cell>
          <cell r="F288" t="str">
            <v>34361271A</v>
          </cell>
          <cell r="G288" t="str">
            <v>N/A</v>
          </cell>
          <cell r="H288" t="str">
            <v>OVALIDAD</v>
          </cell>
          <cell r="I288"/>
          <cell r="J288" t="str">
            <v>Augusto rdz</v>
          </cell>
          <cell r="K288">
            <v>44942</v>
          </cell>
          <cell r="L288" t="str">
            <v>Abel</v>
          </cell>
          <cell r="M288" t="str">
            <v>PASS</v>
          </cell>
          <cell r="N288" t="str">
            <v>OVALIDAD</v>
          </cell>
        </row>
        <row r="289">
          <cell r="A289">
            <v>20230286</v>
          </cell>
          <cell r="B289">
            <v>44942</v>
          </cell>
          <cell r="C289">
            <v>3</v>
          </cell>
          <cell r="D289" t="str">
            <v>720-6</v>
          </cell>
          <cell r="E289" t="str">
            <v>SPR8</v>
          </cell>
          <cell r="F289" t="str">
            <v>A020R619B</v>
          </cell>
          <cell r="G289" t="str">
            <v>N/A</v>
          </cell>
          <cell r="H289" t="str">
            <v>OVALIDAD</v>
          </cell>
          <cell r="I289"/>
          <cell r="J289" t="str">
            <v>Augusto rdz</v>
          </cell>
          <cell r="K289">
            <v>44942</v>
          </cell>
          <cell r="L289" t="str">
            <v>Abel</v>
          </cell>
          <cell r="M289" t="str">
            <v>PASS</v>
          </cell>
          <cell r="N289" t="str">
            <v>OVALIDAD</v>
          </cell>
        </row>
        <row r="290">
          <cell r="A290">
            <v>20230287</v>
          </cell>
          <cell r="B290">
            <v>44942</v>
          </cell>
          <cell r="C290">
            <v>3</v>
          </cell>
          <cell r="D290" t="str">
            <v>720-3</v>
          </cell>
          <cell r="E290" t="str">
            <v>SPR8</v>
          </cell>
          <cell r="F290" t="str">
            <v>34235232G</v>
          </cell>
          <cell r="G290" t="str">
            <v>N/A</v>
          </cell>
          <cell r="H290" t="str">
            <v>OVALIDAD</v>
          </cell>
          <cell r="I290"/>
          <cell r="J290" t="str">
            <v>Augusto rdz</v>
          </cell>
          <cell r="K290">
            <v>44942</v>
          </cell>
          <cell r="L290" t="str">
            <v>Abel</v>
          </cell>
          <cell r="M290" t="str">
            <v>PASS</v>
          </cell>
          <cell r="N290" t="str">
            <v>OVALIDAD</v>
          </cell>
        </row>
        <row r="291">
          <cell r="A291">
            <v>20230288</v>
          </cell>
          <cell r="B291">
            <v>44942</v>
          </cell>
          <cell r="C291">
            <v>3</v>
          </cell>
          <cell r="D291" t="str">
            <v>720-2</v>
          </cell>
          <cell r="E291" t="str">
            <v>SPR8</v>
          </cell>
          <cell r="F291" t="str">
            <v>34235234G</v>
          </cell>
          <cell r="G291" t="str">
            <v>N/A</v>
          </cell>
          <cell r="H291" t="str">
            <v>OVALIDAD</v>
          </cell>
          <cell r="I291"/>
          <cell r="J291" t="str">
            <v>Augusto rdz</v>
          </cell>
          <cell r="K291">
            <v>44942</v>
          </cell>
          <cell r="L291" t="str">
            <v>Abel</v>
          </cell>
          <cell r="M291" t="str">
            <v>PASS</v>
          </cell>
          <cell r="N291" t="str">
            <v>OVALIDAD</v>
          </cell>
        </row>
        <row r="292">
          <cell r="A292">
            <v>20230289</v>
          </cell>
          <cell r="B292">
            <v>44942</v>
          </cell>
          <cell r="C292">
            <v>3</v>
          </cell>
          <cell r="D292" t="str">
            <v>720-5</v>
          </cell>
          <cell r="E292" t="str">
            <v>SPR8</v>
          </cell>
          <cell r="F292" t="str">
            <v>34327460D</v>
          </cell>
          <cell r="G292" t="str">
            <v>N/A</v>
          </cell>
          <cell r="H292" t="str">
            <v>OVALIDAD</v>
          </cell>
          <cell r="I292"/>
          <cell r="J292" t="str">
            <v>Augusto rdz</v>
          </cell>
          <cell r="K292">
            <v>44942</v>
          </cell>
          <cell r="L292" t="str">
            <v>Abel</v>
          </cell>
          <cell r="M292" t="str">
            <v>PASS</v>
          </cell>
          <cell r="N292" t="str">
            <v>OVALIDAD</v>
          </cell>
        </row>
        <row r="293">
          <cell r="A293">
            <v>20230290</v>
          </cell>
          <cell r="B293">
            <v>44942</v>
          </cell>
          <cell r="C293">
            <v>3</v>
          </cell>
          <cell r="D293" t="str">
            <v>720-1</v>
          </cell>
          <cell r="E293" t="str">
            <v>SPR8</v>
          </cell>
          <cell r="F293" t="str">
            <v>34324758A</v>
          </cell>
          <cell r="G293" t="str">
            <v>N/A</v>
          </cell>
          <cell r="H293" t="str">
            <v>OVALIDAD</v>
          </cell>
          <cell r="I293"/>
          <cell r="J293" t="str">
            <v>Augusto rdz</v>
          </cell>
          <cell r="K293">
            <v>44942</v>
          </cell>
          <cell r="L293" t="str">
            <v>Abel</v>
          </cell>
          <cell r="M293" t="str">
            <v>PASS</v>
          </cell>
          <cell r="N293" t="str">
            <v>OVALIDAD</v>
          </cell>
        </row>
        <row r="294">
          <cell r="A294">
            <v>20230291</v>
          </cell>
          <cell r="B294">
            <v>44943</v>
          </cell>
          <cell r="C294">
            <v>1</v>
          </cell>
          <cell r="D294" t="str">
            <v>N/A</v>
          </cell>
          <cell r="E294" t="str">
            <v>N/A</v>
          </cell>
          <cell r="F294" t="str">
            <v>34229827A</v>
          </cell>
          <cell r="G294" t="str">
            <v>CAV 25-32</v>
          </cell>
          <cell r="H294" t="str">
            <v xml:space="preserve">Conforme al rip </v>
          </cell>
          <cell r="I294" t="str">
            <v>5 pcs</v>
          </cell>
          <cell r="J294" t="str">
            <v>Nuevos programas</v>
          </cell>
          <cell r="K294">
            <v>44943</v>
          </cell>
          <cell r="L294" t="str">
            <v xml:space="preserve">Adela </v>
          </cell>
          <cell r="M294" t="str">
            <v>PASS</v>
          </cell>
          <cell r="N294" t="str">
            <v>N/A</v>
          </cell>
        </row>
        <row r="295">
          <cell r="A295">
            <v>20230292</v>
          </cell>
          <cell r="B295">
            <v>44943</v>
          </cell>
          <cell r="C295">
            <v>1</v>
          </cell>
          <cell r="D295" t="str">
            <v>720-2</v>
          </cell>
          <cell r="E295" t="str">
            <v>SPR8</v>
          </cell>
          <cell r="F295" t="str">
            <v>34235231G</v>
          </cell>
          <cell r="G295" t="str">
            <v>N/A</v>
          </cell>
          <cell r="H295" t="str">
            <v>CONCENTRICIDAD</v>
          </cell>
          <cell r="I295"/>
          <cell r="J295" t="str">
            <v>EVELYN ESTUDILLO</v>
          </cell>
          <cell r="K295">
            <v>44943</v>
          </cell>
          <cell r="L295" t="str">
            <v>MAURICIO</v>
          </cell>
          <cell r="M295" t="str">
            <v>PASS</v>
          </cell>
          <cell r="N295" t="str">
            <v>CONCENTRICIDAD</v>
          </cell>
        </row>
        <row r="296">
          <cell r="A296">
            <v>20230293</v>
          </cell>
          <cell r="B296">
            <v>44943</v>
          </cell>
          <cell r="C296">
            <v>1</v>
          </cell>
          <cell r="D296" t="str">
            <v>720-4</v>
          </cell>
          <cell r="E296" t="str">
            <v>SPR8</v>
          </cell>
          <cell r="F296" t="str">
            <v>34309473B</v>
          </cell>
          <cell r="G296" t="str">
            <v>N/A</v>
          </cell>
          <cell r="H296" t="str">
            <v>CONCENTRICIDAD</v>
          </cell>
          <cell r="I296"/>
          <cell r="J296" t="str">
            <v>EVELYN ESTUDILLO</v>
          </cell>
          <cell r="K296">
            <v>44943</v>
          </cell>
          <cell r="L296" t="str">
            <v>MAURICIO</v>
          </cell>
          <cell r="M296" t="str">
            <v>PASS</v>
          </cell>
          <cell r="N296" t="str">
            <v>CONCENTRICIDAD</v>
          </cell>
        </row>
        <row r="297">
          <cell r="A297">
            <v>20230294</v>
          </cell>
          <cell r="B297">
            <v>44943</v>
          </cell>
          <cell r="C297">
            <v>1</v>
          </cell>
          <cell r="D297" t="str">
            <v>720-5</v>
          </cell>
          <cell r="E297" t="str">
            <v>SPR8</v>
          </cell>
          <cell r="F297" t="str">
            <v>34364568B</v>
          </cell>
          <cell r="G297" t="str">
            <v>N/A</v>
          </cell>
          <cell r="H297" t="str">
            <v>CONCENTRICIDAD</v>
          </cell>
          <cell r="I297"/>
          <cell r="J297" t="str">
            <v>EVELYN ESTUDILLO</v>
          </cell>
          <cell r="K297">
            <v>44943</v>
          </cell>
          <cell r="L297" t="str">
            <v>MAURICIO</v>
          </cell>
          <cell r="M297" t="str">
            <v>PASS</v>
          </cell>
          <cell r="N297" t="str">
            <v>CONCENTRICIDAD</v>
          </cell>
        </row>
        <row r="298">
          <cell r="A298">
            <v>20230295</v>
          </cell>
          <cell r="B298">
            <v>44943</v>
          </cell>
          <cell r="C298">
            <v>1</v>
          </cell>
          <cell r="D298" t="str">
            <v>720-1</v>
          </cell>
          <cell r="E298" t="str">
            <v>SPR8</v>
          </cell>
          <cell r="F298" t="str">
            <v>34324759E</v>
          </cell>
          <cell r="G298" t="str">
            <v>N/A</v>
          </cell>
          <cell r="H298" t="str">
            <v>CONCENTRICIDAD</v>
          </cell>
          <cell r="I298"/>
          <cell r="J298" t="str">
            <v>EVELYN ESTUDILLO</v>
          </cell>
          <cell r="K298">
            <v>44943</v>
          </cell>
          <cell r="L298" t="str">
            <v>MAURICIO</v>
          </cell>
          <cell r="M298" t="str">
            <v>PASS</v>
          </cell>
          <cell r="N298" t="str">
            <v>CONCENTRICIDAD</v>
          </cell>
        </row>
        <row r="299">
          <cell r="A299">
            <v>20230296</v>
          </cell>
          <cell r="B299">
            <v>44943</v>
          </cell>
          <cell r="C299">
            <v>1</v>
          </cell>
          <cell r="D299" t="str">
            <v>720-3</v>
          </cell>
          <cell r="E299" t="str">
            <v>SPR8</v>
          </cell>
          <cell r="F299" t="str">
            <v>34235233G</v>
          </cell>
          <cell r="G299" t="str">
            <v>N/A</v>
          </cell>
          <cell r="H299" t="str">
            <v>CONCENTRICIDAD</v>
          </cell>
          <cell r="I299"/>
          <cell r="J299" t="str">
            <v>EVELYN ESTUDILLO</v>
          </cell>
          <cell r="K299">
            <v>44943</v>
          </cell>
          <cell r="L299" t="str">
            <v>MAURICIO</v>
          </cell>
          <cell r="M299" t="str">
            <v>PASS</v>
          </cell>
          <cell r="N299" t="str">
            <v>CONCENTRICIDAD</v>
          </cell>
        </row>
        <row r="300">
          <cell r="A300">
            <v>20230297</v>
          </cell>
          <cell r="B300">
            <v>44943</v>
          </cell>
          <cell r="C300">
            <v>1</v>
          </cell>
          <cell r="D300" t="str">
            <v>720-6</v>
          </cell>
          <cell r="E300" t="str">
            <v>SPR8</v>
          </cell>
          <cell r="F300" t="str">
            <v>A020R617B</v>
          </cell>
          <cell r="G300" t="str">
            <v>N/A</v>
          </cell>
          <cell r="H300" t="str">
            <v>CONCENTRICIDAD</v>
          </cell>
          <cell r="I300"/>
          <cell r="J300" t="str">
            <v>EVELYN ESTUDILLO</v>
          </cell>
          <cell r="K300">
            <v>44943</v>
          </cell>
          <cell r="L300" t="str">
            <v>MAURICIO</v>
          </cell>
          <cell r="M300" t="str">
            <v>PASS</v>
          </cell>
          <cell r="N300" t="str">
            <v>CONCENTRICIDAD</v>
          </cell>
        </row>
        <row r="301">
          <cell r="A301">
            <v>20230298</v>
          </cell>
          <cell r="B301">
            <v>44943</v>
          </cell>
          <cell r="C301">
            <v>1</v>
          </cell>
          <cell r="D301" t="str">
            <v>720-2</v>
          </cell>
          <cell r="E301" t="str">
            <v>SPR8</v>
          </cell>
          <cell r="F301" t="str">
            <v>34235231G</v>
          </cell>
          <cell r="G301" t="str">
            <v>N/A</v>
          </cell>
          <cell r="H301" t="str">
            <v>OVALIDAD</v>
          </cell>
          <cell r="I301"/>
          <cell r="J301" t="str">
            <v>EVELYN ESTUDILLO</v>
          </cell>
          <cell r="K301">
            <v>44943</v>
          </cell>
          <cell r="L301" t="str">
            <v>MAURICIO</v>
          </cell>
          <cell r="M301" t="str">
            <v>PASS</v>
          </cell>
          <cell r="N301" t="str">
            <v>OVALIDAD</v>
          </cell>
        </row>
        <row r="302">
          <cell r="A302">
            <v>20230299</v>
          </cell>
          <cell r="B302">
            <v>44943</v>
          </cell>
          <cell r="C302">
            <v>1</v>
          </cell>
          <cell r="D302" t="str">
            <v>720-4</v>
          </cell>
          <cell r="E302" t="str">
            <v>SPR8</v>
          </cell>
          <cell r="F302" t="str">
            <v>34309473B</v>
          </cell>
          <cell r="G302" t="str">
            <v>N/A</v>
          </cell>
          <cell r="H302" t="str">
            <v>OVALIDAD</v>
          </cell>
          <cell r="I302"/>
          <cell r="J302" t="str">
            <v>EVELYN ESTUDILLO</v>
          </cell>
          <cell r="K302">
            <v>44943</v>
          </cell>
          <cell r="L302" t="str">
            <v>MAURICIO</v>
          </cell>
          <cell r="M302" t="str">
            <v>PASS</v>
          </cell>
          <cell r="N302" t="str">
            <v>OVALIDAD</v>
          </cell>
        </row>
        <row r="303">
          <cell r="A303">
            <v>20230300</v>
          </cell>
          <cell r="B303">
            <v>44943</v>
          </cell>
          <cell r="C303">
            <v>1</v>
          </cell>
          <cell r="D303" t="str">
            <v>720-5</v>
          </cell>
          <cell r="E303" t="str">
            <v>SPR8</v>
          </cell>
          <cell r="F303" t="str">
            <v>34364568B</v>
          </cell>
          <cell r="G303" t="str">
            <v>N/A</v>
          </cell>
          <cell r="H303" t="str">
            <v>OVALIDAD</v>
          </cell>
          <cell r="I303"/>
          <cell r="J303" t="str">
            <v>EVELYN ESTUDILLO</v>
          </cell>
          <cell r="K303">
            <v>44943</v>
          </cell>
          <cell r="L303" t="str">
            <v>MAURICIO</v>
          </cell>
          <cell r="M303" t="str">
            <v>PASS</v>
          </cell>
          <cell r="N303" t="str">
            <v>OVALIDAD</v>
          </cell>
        </row>
        <row r="304">
          <cell r="A304">
            <v>20230301</v>
          </cell>
          <cell r="B304">
            <v>44943</v>
          </cell>
          <cell r="C304">
            <v>1</v>
          </cell>
          <cell r="D304" t="str">
            <v>720-1</v>
          </cell>
          <cell r="E304" t="str">
            <v>SPR8</v>
          </cell>
          <cell r="F304" t="str">
            <v>34324759E</v>
          </cell>
          <cell r="G304" t="str">
            <v>N/A</v>
          </cell>
          <cell r="H304" t="str">
            <v>OVALIDAD</v>
          </cell>
          <cell r="I304"/>
          <cell r="J304" t="str">
            <v>EVELYN ESTUDILLO</v>
          </cell>
          <cell r="K304">
            <v>44943</v>
          </cell>
          <cell r="L304" t="str">
            <v>MAURICIO</v>
          </cell>
          <cell r="M304" t="str">
            <v>PASS</v>
          </cell>
          <cell r="N304" t="str">
            <v>OVALIDAD</v>
          </cell>
        </row>
        <row r="305">
          <cell r="A305">
            <v>20230302</v>
          </cell>
          <cell r="B305">
            <v>44943</v>
          </cell>
          <cell r="C305">
            <v>1</v>
          </cell>
          <cell r="D305" t="str">
            <v>720-3</v>
          </cell>
          <cell r="E305" t="str">
            <v>SPR8</v>
          </cell>
          <cell r="F305" t="str">
            <v>34235233G</v>
          </cell>
          <cell r="G305" t="str">
            <v>N/A</v>
          </cell>
          <cell r="H305" t="str">
            <v>OVALIDAD</v>
          </cell>
          <cell r="I305"/>
          <cell r="J305" t="str">
            <v>EVELYN ESTUDILLO</v>
          </cell>
          <cell r="K305">
            <v>44943</v>
          </cell>
          <cell r="L305" t="str">
            <v>MAURICIO</v>
          </cell>
          <cell r="M305" t="str">
            <v>PASS</v>
          </cell>
          <cell r="N305" t="str">
            <v>OVALIDAD</v>
          </cell>
        </row>
        <row r="306">
          <cell r="A306">
            <v>20230303</v>
          </cell>
          <cell r="B306">
            <v>44943</v>
          </cell>
          <cell r="C306">
            <v>1</v>
          </cell>
          <cell r="D306" t="str">
            <v>720-6</v>
          </cell>
          <cell r="E306" t="str">
            <v>SPR8</v>
          </cell>
          <cell r="F306" t="str">
            <v>A020R617B</v>
          </cell>
          <cell r="G306" t="str">
            <v>N/A</v>
          </cell>
          <cell r="H306" t="str">
            <v>OVALIDAD</v>
          </cell>
          <cell r="I306"/>
          <cell r="J306" t="str">
            <v>EVELYN ESTUDILLO</v>
          </cell>
          <cell r="K306">
            <v>44943</v>
          </cell>
          <cell r="L306" t="str">
            <v>MAURICIO</v>
          </cell>
          <cell r="M306" t="str">
            <v>PASS</v>
          </cell>
          <cell r="N306" t="str">
            <v>OVALIDAD</v>
          </cell>
        </row>
        <row r="307">
          <cell r="A307">
            <v>20230304</v>
          </cell>
          <cell r="B307">
            <v>44943</v>
          </cell>
          <cell r="C307">
            <v>1</v>
          </cell>
          <cell r="D307" t="str">
            <v>N/A</v>
          </cell>
          <cell r="E307" t="str">
            <v>N/A</v>
          </cell>
          <cell r="F307" t="str">
            <v>GAGE</v>
          </cell>
          <cell r="G307" t="str">
            <v>N/A</v>
          </cell>
          <cell r="H307" t="str">
            <v>DIS 109.02 ± 0.25</v>
          </cell>
          <cell r="I307"/>
          <cell r="J307" t="str">
            <v>CRISTIAN ARNOLDO</v>
          </cell>
          <cell r="K307">
            <v>44943</v>
          </cell>
          <cell r="L307" t="str">
            <v>MAURICIO</v>
          </cell>
          <cell r="M307" t="str">
            <v>NO PASS</v>
          </cell>
          <cell r="N307" t="str">
            <v>PLANO MARCADO</v>
          </cell>
        </row>
        <row r="308">
          <cell r="A308">
            <v>20230305</v>
          </cell>
          <cell r="B308">
            <v>44943</v>
          </cell>
          <cell r="C308">
            <v>1</v>
          </cell>
          <cell r="D308" t="str">
            <v>N/A</v>
          </cell>
          <cell r="E308" t="str">
            <v>N/A</v>
          </cell>
          <cell r="F308" t="str">
            <v>A024R306B</v>
          </cell>
          <cell r="G308">
            <v>330161</v>
          </cell>
          <cell r="H308" t="str">
            <v xml:space="preserve">Conforme al rip </v>
          </cell>
          <cell r="I308" t="str">
            <v>5 pcs</v>
          </cell>
          <cell r="J308" t="str">
            <v>Nuevos programas</v>
          </cell>
          <cell r="K308">
            <v>44943</v>
          </cell>
          <cell r="L308" t="str">
            <v xml:space="preserve">Adela </v>
          </cell>
          <cell r="M308" t="str">
            <v>NO PASS</v>
          </cell>
          <cell r="N308" t="str">
            <v>N/A</v>
          </cell>
        </row>
        <row r="309">
          <cell r="A309">
            <v>20230306</v>
          </cell>
          <cell r="B309">
            <v>44943</v>
          </cell>
          <cell r="C309">
            <v>1</v>
          </cell>
          <cell r="D309" t="str">
            <v>720-1</v>
          </cell>
          <cell r="E309" t="str">
            <v>SPR8</v>
          </cell>
          <cell r="F309" t="str">
            <v>34324759E</v>
          </cell>
          <cell r="G309" t="str">
            <v>N/A</v>
          </cell>
          <cell r="H309" t="str">
            <v>CONCENTRICIDAD</v>
          </cell>
          <cell r="I309"/>
          <cell r="J309" t="str">
            <v>Gabriel Ramos</v>
          </cell>
          <cell r="K309">
            <v>44943</v>
          </cell>
          <cell r="L309" t="str">
            <v>Nohemi</v>
          </cell>
          <cell r="M309" t="str">
            <v>PASS</v>
          </cell>
          <cell r="N309" t="str">
            <v>CONCENTRICIDAD</v>
          </cell>
        </row>
        <row r="310">
          <cell r="A310">
            <v>20230307</v>
          </cell>
          <cell r="B310">
            <v>44943</v>
          </cell>
          <cell r="C310">
            <v>1</v>
          </cell>
          <cell r="D310" t="str">
            <v>720-4</v>
          </cell>
          <cell r="E310" t="str">
            <v>SPR8</v>
          </cell>
          <cell r="F310" t="str">
            <v>34361270A</v>
          </cell>
          <cell r="G310" t="str">
            <v>N/A</v>
          </cell>
          <cell r="H310" t="str">
            <v>CONCENTRICIDAD</v>
          </cell>
          <cell r="I310"/>
          <cell r="J310" t="str">
            <v>Gabriel Ramos</v>
          </cell>
          <cell r="K310">
            <v>44943</v>
          </cell>
          <cell r="L310" t="str">
            <v>Nohemi</v>
          </cell>
          <cell r="M310" t="str">
            <v>PASS</v>
          </cell>
          <cell r="N310" t="str">
            <v>CONCENTRICIDAD</v>
          </cell>
        </row>
        <row r="311">
          <cell r="A311">
            <v>20230308</v>
          </cell>
          <cell r="B311">
            <v>44943</v>
          </cell>
          <cell r="C311">
            <v>1</v>
          </cell>
          <cell r="D311" t="str">
            <v>720-1</v>
          </cell>
          <cell r="E311" t="str">
            <v>SPR8</v>
          </cell>
          <cell r="F311" t="str">
            <v>34324759E</v>
          </cell>
          <cell r="G311" t="str">
            <v>N/A</v>
          </cell>
          <cell r="H311" t="str">
            <v>OVALIDAD</v>
          </cell>
          <cell r="I311"/>
          <cell r="J311" t="str">
            <v>Gabriel Ramos</v>
          </cell>
          <cell r="K311">
            <v>44943</v>
          </cell>
          <cell r="L311" t="str">
            <v>Nohemi</v>
          </cell>
          <cell r="M311" t="str">
            <v>PASS</v>
          </cell>
          <cell r="N311" t="str">
            <v>OVALIDAD</v>
          </cell>
        </row>
        <row r="312">
          <cell r="A312">
            <v>20230309</v>
          </cell>
          <cell r="B312">
            <v>44943</v>
          </cell>
          <cell r="C312">
            <v>1</v>
          </cell>
          <cell r="D312" t="str">
            <v>720-4</v>
          </cell>
          <cell r="E312" t="str">
            <v>SPR8</v>
          </cell>
          <cell r="F312" t="str">
            <v>34361270A</v>
          </cell>
          <cell r="G312" t="str">
            <v>N/A</v>
          </cell>
          <cell r="H312" t="str">
            <v>OVALIDAD</v>
          </cell>
          <cell r="I312"/>
          <cell r="J312" t="str">
            <v>Gabriel Ramos</v>
          </cell>
          <cell r="K312">
            <v>44943</v>
          </cell>
          <cell r="L312" t="str">
            <v>Nohemi</v>
          </cell>
          <cell r="M312" t="str">
            <v>PASS</v>
          </cell>
          <cell r="N312" t="str">
            <v>OVALIDAD</v>
          </cell>
        </row>
        <row r="313">
          <cell r="A313">
            <v>20230310</v>
          </cell>
          <cell r="B313">
            <v>44943</v>
          </cell>
          <cell r="C313">
            <v>2</v>
          </cell>
          <cell r="D313" t="str">
            <v>720-2</v>
          </cell>
          <cell r="E313" t="str">
            <v>SPR8</v>
          </cell>
          <cell r="F313" t="str">
            <v>34285573C</v>
          </cell>
          <cell r="G313" t="str">
            <v>N/A</v>
          </cell>
          <cell r="H313" t="str">
            <v>CONCENTRICIDAD</v>
          </cell>
          <cell r="I313"/>
          <cell r="J313" t="str">
            <v>Augusto rdz</v>
          </cell>
          <cell r="K313">
            <v>44943</v>
          </cell>
          <cell r="L313" t="str">
            <v>Jose</v>
          </cell>
          <cell r="M313" t="str">
            <v>PASS</v>
          </cell>
          <cell r="N313" t="str">
            <v>CONCENTRICIDAD</v>
          </cell>
        </row>
        <row r="314">
          <cell r="A314">
            <v>20230311</v>
          </cell>
          <cell r="B314">
            <v>44943</v>
          </cell>
          <cell r="C314">
            <v>2</v>
          </cell>
          <cell r="D314" t="str">
            <v>720-2</v>
          </cell>
          <cell r="E314" t="str">
            <v>SPR8</v>
          </cell>
          <cell r="F314" t="str">
            <v>34285573C</v>
          </cell>
          <cell r="G314" t="str">
            <v>N/A</v>
          </cell>
          <cell r="H314" t="str">
            <v>OVALIDAD</v>
          </cell>
          <cell r="I314"/>
          <cell r="J314" t="str">
            <v>Augusto rdz</v>
          </cell>
          <cell r="K314">
            <v>44943</v>
          </cell>
          <cell r="L314" t="str">
            <v>Jose</v>
          </cell>
          <cell r="M314" t="str">
            <v>PASS</v>
          </cell>
          <cell r="N314" t="str">
            <v>OVALIDAD</v>
          </cell>
        </row>
        <row r="315">
          <cell r="A315">
            <v>20230312</v>
          </cell>
          <cell r="B315">
            <v>44943</v>
          </cell>
          <cell r="C315">
            <v>2</v>
          </cell>
          <cell r="D315" t="str">
            <v>720-3</v>
          </cell>
          <cell r="E315" t="str">
            <v>SPR8</v>
          </cell>
          <cell r="F315" t="str">
            <v>34235233G</v>
          </cell>
          <cell r="G315" t="str">
            <v>N/A</v>
          </cell>
          <cell r="H315" t="str">
            <v>CONCENTRICIDAD</v>
          </cell>
          <cell r="I315"/>
          <cell r="J315" t="str">
            <v>Augusto rdz</v>
          </cell>
          <cell r="K315">
            <v>44943</v>
          </cell>
          <cell r="L315" t="str">
            <v>Jose</v>
          </cell>
          <cell r="M315" t="str">
            <v>PASS</v>
          </cell>
          <cell r="N315" t="str">
            <v>CONCENTRICIDAD</v>
          </cell>
        </row>
        <row r="316">
          <cell r="A316">
            <v>20230313</v>
          </cell>
          <cell r="B316">
            <v>44943</v>
          </cell>
          <cell r="C316">
            <v>2</v>
          </cell>
          <cell r="D316" t="str">
            <v>720-3</v>
          </cell>
          <cell r="E316" t="str">
            <v>SPR8</v>
          </cell>
          <cell r="F316" t="str">
            <v>34235233G</v>
          </cell>
          <cell r="G316" t="str">
            <v>N/A</v>
          </cell>
          <cell r="H316" t="str">
            <v>OVALIDAD</v>
          </cell>
          <cell r="I316"/>
          <cell r="J316" t="str">
            <v>Augusto rdz</v>
          </cell>
          <cell r="K316">
            <v>44943</v>
          </cell>
          <cell r="L316" t="str">
            <v>Jose</v>
          </cell>
          <cell r="M316" t="str">
            <v>PASS</v>
          </cell>
          <cell r="N316" t="str">
            <v>OVALIDAD</v>
          </cell>
        </row>
        <row r="317">
          <cell r="A317">
            <v>20230314</v>
          </cell>
          <cell r="B317">
            <v>44943</v>
          </cell>
          <cell r="C317">
            <v>2</v>
          </cell>
          <cell r="D317" t="str">
            <v>720-5</v>
          </cell>
          <cell r="E317" t="str">
            <v>SPR8</v>
          </cell>
          <cell r="F317" t="str">
            <v>34327671B</v>
          </cell>
          <cell r="G317" t="str">
            <v>N/A</v>
          </cell>
          <cell r="H317" t="str">
            <v>CONCENTRICIDAD</v>
          </cell>
          <cell r="I317"/>
          <cell r="J317" t="str">
            <v>Augusto rdz</v>
          </cell>
          <cell r="K317">
            <v>44943</v>
          </cell>
          <cell r="L317" t="str">
            <v>Jose</v>
          </cell>
          <cell r="M317" t="str">
            <v>PASS</v>
          </cell>
          <cell r="N317" t="str">
            <v>CONCENTRICIDAD</v>
          </cell>
        </row>
        <row r="318">
          <cell r="A318">
            <v>20230315</v>
          </cell>
          <cell r="B318">
            <v>44943</v>
          </cell>
          <cell r="C318">
            <v>2</v>
          </cell>
          <cell r="D318" t="str">
            <v>720-5</v>
          </cell>
          <cell r="E318" t="str">
            <v>SPR8</v>
          </cell>
          <cell r="F318" t="str">
            <v>34327671B</v>
          </cell>
          <cell r="G318" t="str">
            <v>N/A</v>
          </cell>
          <cell r="H318" t="str">
            <v>OVALIDAD</v>
          </cell>
          <cell r="I318"/>
          <cell r="J318" t="str">
            <v>Augusto rdz</v>
          </cell>
          <cell r="K318">
            <v>44943</v>
          </cell>
          <cell r="L318" t="str">
            <v>Jose</v>
          </cell>
          <cell r="M318" t="str">
            <v>PASS</v>
          </cell>
          <cell r="N318" t="str">
            <v>OVALIDAD</v>
          </cell>
        </row>
        <row r="319">
          <cell r="A319">
            <v>20230316</v>
          </cell>
          <cell r="B319">
            <v>44943</v>
          </cell>
          <cell r="C319">
            <v>2</v>
          </cell>
          <cell r="D319" t="str">
            <v>720-6</v>
          </cell>
          <cell r="E319" t="str">
            <v>SPR8</v>
          </cell>
          <cell r="F319" t="str">
            <v>A020R621B</v>
          </cell>
          <cell r="G319" t="str">
            <v>N/A</v>
          </cell>
          <cell r="H319" t="str">
            <v>CONCENTRICIDAD</v>
          </cell>
          <cell r="I319"/>
          <cell r="J319" t="str">
            <v>Augusto rdz</v>
          </cell>
          <cell r="K319">
            <v>44943</v>
          </cell>
          <cell r="L319" t="str">
            <v>Jose</v>
          </cell>
          <cell r="M319" t="str">
            <v>PASS</v>
          </cell>
          <cell r="N319" t="str">
            <v>CONCENTRICIDAD</v>
          </cell>
        </row>
        <row r="320">
          <cell r="A320">
            <v>20230317</v>
          </cell>
          <cell r="B320">
            <v>44943</v>
          </cell>
          <cell r="C320">
            <v>2</v>
          </cell>
          <cell r="D320" t="str">
            <v>720-6</v>
          </cell>
          <cell r="E320" t="str">
            <v>SPR8</v>
          </cell>
          <cell r="F320" t="str">
            <v>A020R621B</v>
          </cell>
          <cell r="G320" t="str">
            <v>N/A</v>
          </cell>
          <cell r="H320" t="str">
            <v>OVALIDAD</v>
          </cell>
          <cell r="I320"/>
          <cell r="J320" t="str">
            <v>Augusto rdz</v>
          </cell>
          <cell r="K320">
            <v>44943</v>
          </cell>
          <cell r="L320" t="str">
            <v>Jose</v>
          </cell>
          <cell r="M320" t="str">
            <v>PASS</v>
          </cell>
          <cell r="N320" t="str">
            <v>OVALIDAD</v>
          </cell>
        </row>
        <row r="321">
          <cell r="A321">
            <v>20230318</v>
          </cell>
          <cell r="B321">
            <v>44944</v>
          </cell>
          <cell r="C321">
            <v>2</v>
          </cell>
          <cell r="D321" t="str">
            <v>720-2</v>
          </cell>
          <cell r="E321" t="str">
            <v>SPR8</v>
          </cell>
          <cell r="F321" t="str">
            <v>34301470D</v>
          </cell>
          <cell r="G321" t="str">
            <v>N/A</v>
          </cell>
          <cell r="H321" t="str">
            <v>CONCENTRICIDAD</v>
          </cell>
          <cell r="I321"/>
          <cell r="J321" t="str">
            <v>Augusto rdz</v>
          </cell>
          <cell r="K321">
            <v>44944</v>
          </cell>
          <cell r="L321" t="str">
            <v>Jose</v>
          </cell>
          <cell r="M321" t="str">
            <v>PASS</v>
          </cell>
          <cell r="N321" t="str">
            <v>CONCENTRICIDAD</v>
          </cell>
        </row>
        <row r="322">
          <cell r="A322">
            <v>20230319</v>
          </cell>
          <cell r="B322">
            <v>44944</v>
          </cell>
          <cell r="C322">
            <v>2</v>
          </cell>
          <cell r="D322" t="str">
            <v>720-2</v>
          </cell>
          <cell r="E322" t="str">
            <v>SPR8</v>
          </cell>
          <cell r="F322" t="str">
            <v>34301470D</v>
          </cell>
          <cell r="G322" t="str">
            <v>N/A</v>
          </cell>
          <cell r="H322" t="str">
            <v>OVALIDAD</v>
          </cell>
          <cell r="I322"/>
          <cell r="J322" t="str">
            <v>Augusto rdz</v>
          </cell>
          <cell r="K322">
            <v>44944</v>
          </cell>
          <cell r="L322" t="str">
            <v>Jose</v>
          </cell>
          <cell r="M322" t="str">
            <v>PASS</v>
          </cell>
          <cell r="N322" t="str">
            <v>OVALIDAD</v>
          </cell>
        </row>
        <row r="323">
          <cell r="A323">
            <v>20230320</v>
          </cell>
          <cell r="B323">
            <v>44944</v>
          </cell>
          <cell r="C323">
            <v>1</v>
          </cell>
          <cell r="D323" t="str">
            <v>N/A</v>
          </cell>
          <cell r="E323" t="str">
            <v>SPR8</v>
          </cell>
          <cell r="F323" t="str">
            <v>P34309473B</v>
          </cell>
          <cell r="G323" t="str">
            <v>N/A</v>
          </cell>
          <cell r="H323" t="str">
            <v>BASES CONCENTRICIDAD</v>
          </cell>
          <cell r="I323"/>
          <cell r="J323" t="str">
            <v>FIDEL ZAPATA</v>
          </cell>
          <cell r="K323">
            <v>44944</v>
          </cell>
          <cell r="L323" t="str">
            <v>MAURICIO</v>
          </cell>
          <cell r="M323" t="str">
            <v>NO PASS</v>
          </cell>
          <cell r="N323" t="str">
            <v>BASES CONCENTRICIDAD</v>
          </cell>
        </row>
        <row r="324">
          <cell r="A324">
            <v>20230321</v>
          </cell>
          <cell r="B324">
            <v>44944</v>
          </cell>
          <cell r="C324">
            <v>1</v>
          </cell>
          <cell r="D324" t="str">
            <v>N/A</v>
          </cell>
          <cell r="E324" t="str">
            <v>N/A</v>
          </cell>
          <cell r="F324" t="str">
            <v>33056397B</v>
          </cell>
          <cell r="G324">
            <v>2301095023</v>
          </cell>
          <cell r="H324" t="str">
            <v xml:space="preserve">Conforme al rip </v>
          </cell>
          <cell r="I324" t="str">
            <v>5 pcs</v>
          </cell>
          <cell r="J324" t="str">
            <v>Nuevos programas</v>
          </cell>
          <cell r="K324">
            <v>44944</v>
          </cell>
          <cell r="L324" t="str">
            <v xml:space="preserve">Adela </v>
          </cell>
          <cell r="M324" t="str">
            <v>PASS</v>
          </cell>
          <cell r="N324" t="str">
            <v>N/A</v>
          </cell>
        </row>
        <row r="325">
          <cell r="A325">
            <v>20230322</v>
          </cell>
          <cell r="B325">
            <v>44944</v>
          </cell>
          <cell r="C325">
            <v>1</v>
          </cell>
          <cell r="D325" t="str">
            <v>N/A</v>
          </cell>
          <cell r="E325" t="str">
            <v>N/A</v>
          </cell>
          <cell r="F325" t="str">
            <v>34328619B</v>
          </cell>
          <cell r="G325" t="str">
            <v>N/A</v>
          </cell>
          <cell r="H325" t="str">
            <v>QA#23 DUREZA</v>
          </cell>
          <cell r="I325"/>
          <cell r="J325" t="str">
            <v>Rogelio Del Angel</v>
          </cell>
          <cell r="K325">
            <v>44944</v>
          </cell>
          <cell r="L325" t="str">
            <v xml:space="preserve">Adela </v>
          </cell>
          <cell r="M325" t="str">
            <v>PASS</v>
          </cell>
          <cell r="N325" t="str">
            <v>N/A</v>
          </cell>
        </row>
        <row r="326">
          <cell r="A326">
            <v>20230323</v>
          </cell>
          <cell r="B326">
            <v>44944</v>
          </cell>
          <cell r="C326">
            <v>1</v>
          </cell>
          <cell r="D326" t="str">
            <v>AGRATI-TIFFIN</v>
          </cell>
          <cell r="E326" t="str">
            <v>N/A</v>
          </cell>
          <cell r="F326" t="str">
            <v>33024457D</v>
          </cell>
          <cell r="G326">
            <v>5110</v>
          </cell>
          <cell r="H326" t="str">
            <v>40 42 44 46 x3</v>
          </cell>
          <cell r="I326"/>
          <cell r="J326" t="str">
            <v>JORGE GONZALEZ</v>
          </cell>
          <cell r="K326">
            <v>44944</v>
          </cell>
          <cell r="L326" t="str">
            <v>MAURICIO</v>
          </cell>
          <cell r="M326" t="str">
            <v>NO PASS</v>
          </cell>
          <cell r="N326" t="str">
            <v>PLANO MARCADO</v>
          </cell>
        </row>
        <row r="327">
          <cell r="A327">
            <v>20230324</v>
          </cell>
          <cell r="B327">
            <v>44944</v>
          </cell>
          <cell r="C327">
            <v>1</v>
          </cell>
          <cell r="D327" t="str">
            <v>720-6</v>
          </cell>
          <cell r="E327" t="str">
            <v>SPR8</v>
          </cell>
          <cell r="F327" t="str">
            <v>A020R315B</v>
          </cell>
          <cell r="G327" t="str">
            <v>N/A</v>
          </cell>
          <cell r="H327" t="str">
            <v>CONCENTRICIDAD</v>
          </cell>
          <cell r="I327"/>
          <cell r="J327" t="str">
            <v>EVELYN ESTUDILLO</v>
          </cell>
          <cell r="K327">
            <v>44944</v>
          </cell>
          <cell r="L327" t="str">
            <v>MAURICIO</v>
          </cell>
          <cell r="M327" t="str">
            <v>PASS</v>
          </cell>
          <cell r="N327" t="str">
            <v>CONCENTRICIDAD</v>
          </cell>
        </row>
        <row r="328">
          <cell r="A328">
            <v>20230325</v>
          </cell>
          <cell r="B328">
            <v>44944</v>
          </cell>
          <cell r="C328">
            <v>1</v>
          </cell>
          <cell r="D328" t="str">
            <v>720-1</v>
          </cell>
          <cell r="E328" t="str">
            <v>SPR8</v>
          </cell>
          <cell r="F328" t="str">
            <v>34296437C</v>
          </cell>
          <cell r="G328" t="str">
            <v>N/A</v>
          </cell>
          <cell r="H328" t="str">
            <v>CONCENTRICIDAD</v>
          </cell>
          <cell r="I328"/>
          <cell r="J328" t="str">
            <v>EVELYN ESTUDILLO</v>
          </cell>
          <cell r="K328">
            <v>44944</v>
          </cell>
          <cell r="L328" t="str">
            <v>MAURICIO</v>
          </cell>
          <cell r="M328" t="str">
            <v>PASS</v>
          </cell>
          <cell r="N328" t="str">
            <v>CONCENTRICIDAD</v>
          </cell>
        </row>
        <row r="329">
          <cell r="A329">
            <v>20230326</v>
          </cell>
          <cell r="B329">
            <v>44944</v>
          </cell>
          <cell r="C329">
            <v>1</v>
          </cell>
          <cell r="D329" t="str">
            <v>720-5</v>
          </cell>
          <cell r="E329" t="str">
            <v>SPR8</v>
          </cell>
          <cell r="F329" t="str">
            <v>34327672C</v>
          </cell>
          <cell r="G329" t="str">
            <v>N/A</v>
          </cell>
          <cell r="H329" t="str">
            <v>CONCENTRICIDAD</v>
          </cell>
          <cell r="I329"/>
          <cell r="J329" t="str">
            <v>EVELYN ESTUDILLO</v>
          </cell>
          <cell r="K329">
            <v>44944</v>
          </cell>
          <cell r="L329" t="str">
            <v>MAURICIO</v>
          </cell>
          <cell r="M329" t="str">
            <v>PASS</v>
          </cell>
          <cell r="N329" t="str">
            <v>CONCENTRICIDAD</v>
          </cell>
        </row>
        <row r="330">
          <cell r="A330">
            <v>20230327</v>
          </cell>
          <cell r="B330">
            <v>44944</v>
          </cell>
          <cell r="C330">
            <v>1</v>
          </cell>
          <cell r="D330" t="str">
            <v>720-3</v>
          </cell>
          <cell r="E330" t="str">
            <v>SPR8</v>
          </cell>
          <cell r="F330" t="str">
            <v>34235232G</v>
          </cell>
          <cell r="G330" t="str">
            <v>N/A</v>
          </cell>
          <cell r="H330" t="str">
            <v>CONCENTRICIDAD</v>
          </cell>
          <cell r="I330"/>
          <cell r="J330" t="str">
            <v>EVELYN ESTUDILLO</v>
          </cell>
          <cell r="K330">
            <v>44944</v>
          </cell>
          <cell r="L330" t="str">
            <v>MAURICIO</v>
          </cell>
          <cell r="M330" t="str">
            <v>PASS</v>
          </cell>
          <cell r="N330" t="str">
            <v>CONCENTRICIDAD</v>
          </cell>
        </row>
        <row r="331">
          <cell r="A331">
            <v>20230328</v>
          </cell>
          <cell r="B331">
            <v>44944</v>
          </cell>
          <cell r="C331">
            <v>1</v>
          </cell>
          <cell r="D331" t="str">
            <v>720-2</v>
          </cell>
          <cell r="E331" t="str">
            <v>SPR8</v>
          </cell>
          <cell r="F331" t="str">
            <v>34301470D</v>
          </cell>
          <cell r="G331" t="str">
            <v>N/A</v>
          </cell>
          <cell r="H331" t="str">
            <v>CONCENTRICIDAD</v>
          </cell>
          <cell r="I331"/>
          <cell r="J331" t="str">
            <v>EVELYN ESTUDILLO</v>
          </cell>
          <cell r="K331">
            <v>44944</v>
          </cell>
          <cell r="L331" t="str">
            <v>MAURICIO</v>
          </cell>
          <cell r="M331" t="str">
            <v>PASS</v>
          </cell>
          <cell r="N331" t="str">
            <v>CONCENTRICIDAD</v>
          </cell>
        </row>
        <row r="332">
          <cell r="A332">
            <v>20230329</v>
          </cell>
          <cell r="B332">
            <v>44944</v>
          </cell>
          <cell r="C332">
            <v>1</v>
          </cell>
          <cell r="D332" t="str">
            <v>720-6</v>
          </cell>
          <cell r="E332" t="str">
            <v>SPR8</v>
          </cell>
          <cell r="F332" t="str">
            <v>A020R315B</v>
          </cell>
          <cell r="G332" t="str">
            <v>N/A</v>
          </cell>
          <cell r="H332" t="str">
            <v>OVALIDAD</v>
          </cell>
          <cell r="I332"/>
          <cell r="J332" t="str">
            <v>EVELYN ESTUDILLO</v>
          </cell>
          <cell r="K332">
            <v>44944</v>
          </cell>
          <cell r="L332" t="str">
            <v>MAURICIO</v>
          </cell>
          <cell r="M332" t="str">
            <v>PASS</v>
          </cell>
          <cell r="N332" t="str">
            <v>OVALIDAD</v>
          </cell>
        </row>
        <row r="333">
          <cell r="A333">
            <v>20230330</v>
          </cell>
          <cell r="B333">
            <v>44944</v>
          </cell>
          <cell r="C333">
            <v>1</v>
          </cell>
          <cell r="D333" t="str">
            <v>720-1</v>
          </cell>
          <cell r="E333" t="str">
            <v>SPR8</v>
          </cell>
          <cell r="F333" t="str">
            <v>34296437C</v>
          </cell>
          <cell r="G333" t="str">
            <v>N/A</v>
          </cell>
          <cell r="H333" t="str">
            <v>OVALIDAD</v>
          </cell>
          <cell r="I333"/>
          <cell r="J333" t="str">
            <v>EVELYN ESTUDILLO</v>
          </cell>
          <cell r="K333">
            <v>44944</v>
          </cell>
          <cell r="L333" t="str">
            <v>MAURICIO</v>
          </cell>
          <cell r="M333" t="str">
            <v>PASS</v>
          </cell>
          <cell r="N333" t="str">
            <v>OVALIDAD</v>
          </cell>
        </row>
        <row r="334">
          <cell r="A334">
            <v>20230331</v>
          </cell>
          <cell r="B334">
            <v>44944</v>
          </cell>
          <cell r="C334">
            <v>1</v>
          </cell>
          <cell r="D334" t="str">
            <v>720-5</v>
          </cell>
          <cell r="E334" t="str">
            <v>SPR8</v>
          </cell>
          <cell r="F334" t="str">
            <v>34327672C</v>
          </cell>
          <cell r="G334" t="str">
            <v>N/A</v>
          </cell>
          <cell r="H334" t="str">
            <v>OVALIDAD</v>
          </cell>
          <cell r="I334"/>
          <cell r="J334" t="str">
            <v>EVELYN ESTUDILLO</v>
          </cell>
          <cell r="K334">
            <v>44944</v>
          </cell>
          <cell r="L334" t="str">
            <v>MAURICIO</v>
          </cell>
          <cell r="M334" t="str">
            <v>PASS</v>
          </cell>
          <cell r="N334" t="str">
            <v>OVALIDAD</v>
          </cell>
        </row>
        <row r="335">
          <cell r="A335">
            <v>20230332</v>
          </cell>
          <cell r="B335">
            <v>44944</v>
          </cell>
          <cell r="C335">
            <v>1</v>
          </cell>
          <cell r="D335" t="str">
            <v>720-3</v>
          </cell>
          <cell r="E335" t="str">
            <v>SPR8</v>
          </cell>
          <cell r="F335" t="str">
            <v>34235232G</v>
          </cell>
          <cell r="G335" t="str">
            <v>N/A</v>
          </cell>
          <cell r="H335" t="str">
            <v>OVALIDAD</v>
          </cell>
          <cell r="I335"/>
          <cell r="J335" t="str">
            <v>EVELYN ESTUDILLO</v>
          </cell>
          <cell r="K335">
            <v>44944</v>
          </cell>
          <cell r="L335" t="str">
            <v>MAURICIO</v>
          </cell>
          <cell r="M335" t="str">
            <v>PASS</v>
          </cell>
          <cell r="N335" t="str">
            <v>OVALIDAD</v>
          </cell>
        </row>
        <row r="336">
          <cell r="A336">
            <v>20230333</v>
          </cell>
          <cell r="B336">
            <v>44944</v>
          </cell>
          <cell r="C336">
            <v>1</v>
          </cell>
          <cell r="D336" t="str">
            <v>720-2</v>
          </cell>
          <cell r="E336" t="str">
            <v>SPR8</v>
          </cell>
          <cell r="F336" t="str">
            <v>34301470D</v>
          </cell>
          <cell r="G336" t="str">
            <v>N/A</v>
          </cell>
          <cell r="H336" t="str">
            <v>OVALIDAD</v>
          </cell>
          <cell r="I336"/>
          <cell r="J336" t="str">
            <v>EVELYN ESTUDILLO</v>
          </cell>
          <cell r="K336">
            <v>44944</v>
          </cell>
          <cell r="L336" t="str">
            <v>MAURICIO</v>
          </cell>
          <cell r="M336" t="str">
            <v>PASS</v>
          </cell>
          <cell r="N336" t="str">
            <v>OVALIDAD</v>
          </cell>
        </row>
        <row r="337">
          <cell r="A337">
            <v>20230334</v>
          </cell>
          <cell r="B337">
            <v>44944</v>
          </cell>
          <cell r="C337">
            <v>1</v>
          </cell>
          <cell r="D337">
            <v>761</v>
          </cell>
          <cell r="E337" t="str">
            <v>N/A</v>
          </cell>
          <cell r="F337" t="str">
            <v>34242430C</v>
          </cell>
          <cell r="G337" t="str">
            <v>N/A</v>
          </cell>
          <cell r="H337">
            <v>7</v>
          </cell>
          <cell r="I337"/>
          <cell r="J337" t="str">
            <v>Yesenia Venegas</v>
          </cell>
          <cell r="K337">
            <v>44944</v>
          </cell>
          <cell r="L337" t="str">
            <v>Nohemi</v>
          </cell>
          <cell r="M337" t="str">
            <v>NO PASS</v>
          </cell>
          <cell r="N337" t="str">
            <v>CH34243004A A20</v>
          </cell>
        </row>
        <row r="338">
          <cell r="A338">
            <v>20230335</v>
          </cell>
          <cell r="B338">
            <v>44944</v>
          </cell>
          <cell r="C338">
            <v>1</v>
          </cell>
          <cell r="D338" t="str">
            <v>716-3</v>
          </cell>
          <cell r="E338" t="str">
            <v>JL MCA</v>
          </cell>
          <cell r="F338" t="str">
            <v>A024V115A</v>
          </cell>
          <cell r="G338" t="str">
            <v>N/A</v>
          </cell>
          <cell r="H338" t="str">
            <v>102,48,49,50,51,12,3,8,76,103</v>
          </cell>
          <cell r="I338"/>
          <cell r="J338" t="str">
            <v>Laura Castillo</v>
          </cell>
          <cell r="K338">
            <v>44944</v>
          </cell>
          <cell r="L338" t="str">
            <v>Nohemi</v>
          </cell>
          <cell r="M338" t="str">
            <v>NO PASS</v>
          </cell>
          <cell r="N338" t="str">
            <v>A0033G4854 A-B</v>
          </cell>
        </row>
        <row r="339">
          <cell r="A339">
            <v>20230336</v>
          </cell>
          <cell r="B339">
            <v>44944</v>
          </cell>
          <cell r="C339">
            <v>1</v>
          </cell>
          <cell r="D339" t="str">
            <v>N/A</v>
          </cell>
          <cell r="E339" t="str">
            <v>N/A</v>
          </cell>
          <cell r="F339" t="str">
            <v>34235240B</v>
          </cell>
          <cell r="G339" t="str">
            <v>13-16</v>
          </cell>
          <cell r="H339" t="str">
            <v xml:space="preserve">Conforme al rip </v>
          </cell>
          <cell r="I339" t="str">
            <v>5 pcs</v>
          </cell>
          <cell r="J339" t="str">
            <v>Nuevos programas</v>
          </cell>
          <cell r="K339">
            <v>44944</v>
          </cell>
          <cell r="L339" t="str">
            <v xml:space="preserve">Adela </v>
          </cell>
          <cell r="M339" t="str">
            <v>NO PASS</v>
          </cell>
          <cell r="N339" t="str">
            <v>N/A</v>
          </cell>
        </row>
        <row r="340">
          <cell r="A340">
            <v>20230337</v>
          </cell>
          <cell r="B340">
            <v>44944</v>
          </cell>
          <cell r="C340">
            <v>1</v>
          </cell>
          <cell r="D340" t="str">
            <v>720-5</v>
          </cell>
          <cell r="E340" t="str">
            <v>SPR8</v>
          </cell>
          <cell r="F340" t="str">
            <v>34327672C</v>
          </cell>
          <cell r="G340" t="str">
            <v>N/A</v>
          </cell>
          <cell r="H340" t="str">
            <v>CONCENTRICIDAD</v>
          </cell>
          <cell r="I340"/>
          <cell r="J340" t="str">
            <v>Gabriel Ramos</v>
          </cell>
          <cell r="K340">
            <v>44944</v>
          </cell>
          <cell r="L340" t="str">
            <v>Nohemi</v>
          </cell>
          <cell r="M340" t="str">
            <v>PASS</v>
          </cell>
          <cell r="N340" t="str">
            <v>CONCENTRICIDAD</v>
          </cell>
        </row>
        <row r="341">
          <cell r="A341">
            <v>20230338</v>
          </cell>
          <cell r="B341">
            <v>44944</v>
          </cell>
          <cell r="C341">
            <v>1</v>
          </cell>
          <cell r="D341" t="str">
            <v>720-6</v>
          </cell>
          <cell r="E341" t="str">
            <v>SPR8</v>
          </cell>
          <cell r="F341" t="str">
            <v>A020R620A</v>
          </cell>
          <cell r="G341" t="str">
            <v>N/A</v>
          </cell>
          <cell r="H341" t="str">
            <v>CONCENTRICIDAD</v>
          </cell>
          <cell r="I341"/>
          <cell r="J341" t="str">
            <v>Gabriel Ramos</v>
          </cell>
          <cell r="K341">
            <v>44944</v>
          </cell>
          <cell r="L341" t="str">
            <v>Nohemi</v>
          </cell>
          <cell r="M341" t="str">
            <v>PASS</v>
          </cell>
          <cell r="N341" t="str">
            <v>CONCENTRICIDAD</v>
          </cell>
        </row>
        <row r="342">
          <cell r="A342">
            <v>20230339</v>
          </cell>
          <cell r="B342">
            <v>44944</v>
          </cell>
          <cell r="C342">
            <v>1</v>
          </cell>
          <cell r="D342" t="str">
            <v>720-5</v>
          </cell>
          <cell r="E342" t="str">
            <v>SPR8</v>
          </cell>
          <cell r="F342" t="str">
            <v>34327672C</v>
          </cell>
          <cell r="G342" t="str">
            <v>N/A</v>
          </cell>
          <cell r="H342" t="str">
            <v>OVALIDAD</v>
          </cell>
          <cell r="I342"/>
          <cell r="J342" t="str">
            <v>Gabriel Ramos</v>
          </cell>
          <cell r="K342">
            <v>44944</v>
          </cell>
          <cell r="L342" t="str">
            <v>Nohemi</v>
          </cell>
          <cell r="M342" t="str">
            <v>PASS</v>
          </cell>
          <cell r="N342" t="str">
            <v>OVALIDAD</v>
          </cell>
        </row>
        <row r="343">
          <cell r="A343">
            <v>20230340</v>
          </cell>
          <cell r="B343">
            <v>44944</v>
          </cell>
          <cell r="C343">
            <v>1</v>
          </cell>
          <cell r="D343" t="str">
            <v>720-6</v>
          </cell>
          <cell r="E343" t="str">
            <v>SPR8</v>
          </cell>
          <cell r="F343" t="str">
            <v>A020R620A</v>
          </cell>
          <cell r="G343" t="str">
            <v>N/A</v>
          </cell>
          <cell r="H343" t="str">
            <v>OVALIDAD</v>
          </cell>
          <cell r="I343"/>
          <cell r="J343" t="str">
            <v>Gabriel Ramos</v>
          </cell>
          <cell r="K343">
            <v>44944</v>
          </cell>
          <cell r="L343" t="str">
            <v>Nohemi</v>
          </cell>
          <cell r="M343" t="str">
            <v>PASS</v>
          </cell>
          <cell r="N343" t="str">
            <v>OVALIDAD</v>
          </cell>
        </row>
        <row r="344">
          <cell r="A344">
            <v>20230341</v>
          </cell>
          <cell r="B344">
            <v>44944</v>
          </cell>
          <cell r="C344">
            <v>2</v>
          </cell>
          <cell r="D344" t="str">
            <v>720-1</v>
          </cell>
          <cell r="E344" t="str">
            <v>SPR8</v>
          </cell>
          <cell r="F344" t="str">
            <v>34296438C</v>
          </cell>
          <cell r="G344" t="str">
            <v>N/A</v>
          </cell>
          <cell r="H344" t="str">
            <v>CONCENTRICIDAD</v>
          </cell>
          <cell r="I344"/>
          <cell r="J344" t="str">
            <v>Augusto rdz</v>
          </cell>
          <cell r="K344">
            <v>44944</v>
          </cell>
          <cell r="L344" t="str">
            <v>Jose</v>
          </cell>
          <cell r="M344" t="str">
            <v>PASS</v>
          </cell>
          <cell r="N344" t="str">
            <v>CONCENTRICIDAD</v>
          </cell>
        </row>
        <row r="345">
          <cell r="A345">
            <v>20230342</v>
          </cell>
          <cell r="B345">
            <v>44944</v>
          </cell>
          <cell r="C345">
            <v>2</v>
          </cell>
          <cell r="D345" t="str">
            <v>720-1</v>
          </cell>
          <cell r="E345" t="str">
            <v>SPR8</v>
          </cell>
          <cell r="F345" t="str">
            <v>34296438C</v>
          </cell>
          <cell r="G345" t="str">
            <v>N/A</v>
          </cell>
          <cell r="H345" t="str">
            <v>OVALIDAD</v>
          </cell>
          <cell r="I345"/>
          <cell r="J345" t="str">
            <v>Augusto rdz</v>
          </cell>
          <cell r="K345">
            <v>44944</v>
          </cell>
          <cell r="L345" t="str">
            <v>Jose</v>
          </cell>
          <cell r="M345" t="str">
            <v>PASS</v>
          </cell>
          <cell r="N345" t="str">
            <v>OVALIDAD</v>
          </cell>
        </row>
        <row r="346">
          <cell r="A346">
            <v>20230343</v>
          </cell>
          <cell r="B346">
            <v>44944</v>
          </cell>
          <cell r="C346">
            <v>2</v>
          </cell>
          <cell r="D346" t="str">
            <v>720-2</v>
          </cell>
          <cell r="E346" t="str">
            <v>SPR8</v>
          </cell>
          <cell r="F346" t="str">
            <v>34235231G</v>
          </cell>
          <cell r="G346" t="str">
            <v>N/A</v>
          </cell>
          <cell r="H346" t="str">
            <v>CONCENTRICIDAD</v>
          </cell>
          <cell r="I346"/>
          <cell r="J346" t="str">
            <v>Augusto rdz</v>
          </cell>
          <cell r="K346">
            <v>44944</v>
          </cell>
          <cell r="L346" t="str">
            <v>Jose</v>
          </cell>
          <cell r="M346" t="str">
            <v>PASS</v>
          </cell>
          <cell r="N346" t="str">
            <v>CONCENTRICIDAD</v>
          </cell>
        </row>
        <row r="347">
          <cell r="A347">
            <v>20230344</v>
          </cell>
          <cell r="B347">
            <v>44944</v>
          </cell>
          <cell r="C347">
            <v>3</v>
          </cell>
          <cell r="D347" t="str">
            <v>720-2</v>
          </cell>
          <cell r="E347" t="str">
            <v>SPR8</v>
          </cell>
          <cell r="F347" t="str">
            <v>34235231G</v>
          </cell>
          <cell r="G347" t="str">
            <v>N/A</v>
          </cell>
          <cell r="H347" t="str">
            <v>OVALIDAD</v>
          </cell>
          <cell r="I347"/>
          <cell r="J347" t="str">
            <v>Augusto rdz</v>
          </cell>
          <cell r="K347">
            <v>44944</v>
          </cell>
          <cell r="L347" t="str">
            <v>Jose</v>
          </cell>
          <cell r="M347" t="str">
            <v>PASS</v>
          </cell>
          <cell r="N347" t="str">
            <v>OVALIDAD</v>
          </cell>
        </row>
        <row r="348">
          <cell r="A348">
            <v>20230345</v>
          </cell>
          <cell r="B348">
            <v>44944</v>
          </cell>
          <cell r="C348">
            <v>3</v>
          </cell>
          <cell r="D348" t="str">
            <v>720-3</v>
          </cell>
          <cell r="E348" t="str">
            <v>SPR8</v>
          </cell>
          <cell r="F348" t="str">
            <v>34235234G</v>
          </cell>
          <cell r="G348" t="str">
            <v>N/A</v>
          </cell>
          <cell r="H348" t="str">
            <v>CONCENTRICIDAD</v>
          </cell>
          <cell r="I348"/>
          <cell r="J348" t="str">
            <v>Augusto rdz</v>
          </cell>
          <cell r="K348">
            <v>44944</v>
          </cell>
          <cell r="L348" t="str">
            <v>Jose</v>
          </cell>
          <cell r="M348" t="str">
            <v>PASS</v>
          </cell>
          <cell r="N348" t="str">
            <v>CONCENTRICIDAD</v>
          </cell>
        </row>
        <row r="349">
          <cell r="A349">
            <v>20230346</v>
          </cell>
          <cell r="B349">
            <v>44944</v>
          </cell>
          <cell r="C349">
            <v>3</v>
          </cell>
          <cell r="D349" t="str">
            <v>720-3</v>
          </cell>
          <cell r="E349" t="str">
            <v>SPR8</v>
          </cell>
          <cell r="F349" t="str">
            <v>34235234G</v>
          </cell>
          <cell r="G349" t="str">
            <v>N/A</v>
          </cell>
          <cell r="H349" t="str">
            <v>OVALIDAD</v>
          </cell>
          <cell r="I349"/>
          <cell r="J349" t="str">
            <v>Augusto rdz</v>
          </cell>
          <cell r="K349">
            <v>44944</v>
          </cell>
          <cell r="L349" t="str">
            <v>Jose</v>
          </cell>
          <cell r="M349" t="str">
            <v>PASS</v>
          </cell>
          <cell r="N349" t="str">
            <v>OVALIDAD</v>
          </cell>
        </row>
        <row r="350">
          <cell r="A350">
            <v>20230347</v>
          </cell>
          <cell r="B350">
            <v>44944</v>
          </cell>
          <cell r="C350">
            <v>3</v>
          </cell>
          <cell r="D350" t="str">
            <v>720-4</v>
          </cell>
          <cell r="E350" t="str">
            <v>SPR8</v>
          </cell>
          <cell r="F350" t="str">
            <v>34361271A</v>
          </cell>
          <cell r="G350" t="str">
            <v>N/A</v>
          </cell>
          <cell r="H350" t="str">
            <v>CONCENTRICIDAD</v>
          </cell>
          <cell r="I350"/>
          <cell r="J350" t="str">
            <v>Augusto rdz</v>
          </cell>
          <cell r="K350">
            <v>44944</v>
          </cell>
          <cell r="L350" t="str">
            <v>Jose</v>
          </cell>
          <cell r="M350" t="str">
            <v>PASS</v>
          </cell>
          <cell r="N350" t="str">
            <v>CONCENTRICIDAD</v>
          </cell>
        </row>
        <row r="351">
          <cell r="A351">
            <v>20230348</v>
          </cell>
          <cell r="B351">
            <v>44944</v>
          </cell>
          <cell r="C351">
            <v>3</v>
          </cell>
          <cell r="D351" t="str">
            <v>720-4</v>
          </cell>
          <cell r="E351" t="str">
            <v>SPR8</v>
          </cell>
          <cell r="F351" t="str">
            <v>34361271A</v>
          </cell>
          <cell r="G351" t="str">
            <v>N/A</v>
          </cell>
          <cell r="H351" t="str">
            <v>OVALIDAD</v>
          </cell>
          <cell r="I351"/>
          <cell r="J351" t="str">
            <v>Augusto rdz</v>
          </cell>
          <cell r="K351">
            <v>44944</v>
          </cell>
          <cell r="L351" t="str">
            <v>Jose</v>
          </cell>
          <cell r="M351" t="str">
            <v>PASS</v>
          </cell>
          <cell r="N351" t="str">
            <v>OVALIDAD</v>
          </cell>
        </row>
        <row r="352">
          <cell r="A352">
            <v>20230349</v>
          </cell>
          <cell r="B352">
            <v>44945</v>
          </cell>
          <cell r="C352">
            <v>1</v>
          </cell>
          <cell r="D352" t="str">
            <v>720-3</v>
          </cell>
          <cell r="E352" t="str">
            <v>SPR8</v>
          </cell>
          <cell r="F352" t="str">
            <v>A023P560B</v>
          </cell>
          <cell r="G352" t="str">
            <v>N/A</v>
          </cell>
          <cell r="H352" t="str">
            <v>CONCENTRICIDAD</v>
          </cell>
          <cell r="I352"/>
          <cell r="J352" t="str">
            <v>Laura Castillo</v>
          </cell>
          <cell r="K352">
            <v>44945</v>
          </cell>
          <cell r="L352" t="str">
            <v>Nohemi</v>
          </cell>
          <cell r="M352" t="str">
            <v>PASS</v>
          </cell>
          <cell r="N352" t="str">
            <v>CONCENTRICIDAD</v>
          </cell>
        </row>
        <row r="353">
          <cell r="A353">
            <v>20230350</v>
          </cell>
          <cell r="B353">
            <v>44945</v>
          </cell>
          <cell r="C353">
            <v>1</v>
          </cell>
          <cell r="D353" t="str">
            <v>720-3</v>
          </cell>
          <cell r="E353" t="str">
            <v>SPR8</v>
          </cell>
          <cell r="F353" t="str">
            <v>A023P560B</v>
          </cell>
          <cell r="G353" t="str">
            <v>N/A</v>
          </cell>
          <cell r="H353" t="str">
            <v>OVALIDAD</v>
          </cell>
          <cell r="I353"/>
          <cell r="J353" t="str">
            <v>Laura Castillo</v>
          </cell>
          <cell r="K353">
            <v>44945</v>
          </cell>
          <cell r="L353" t="str">
            <v>Nohemi</v>
          </cell>
          <cell r="M353" t="str">
            <v>PASS</v>
          </cell>
          <cell r="N353" t="str">
            <v>OVALIDAD</v>
          </cell>
        </row>
        <row r="354">
          <cell r="A354">
            <v>20230351</v>
          </cell>
          <cell r="B354">
            <v>44945</v>
          </cell>
          <cell r="C354">
            <v>1</v>
          </cell>
          <cell r="D354">
            <v>761</v>
          </cell>
          <cell r="E354" t="str">
            <v>BT1CC</v>
          </cell>
          <cell r="F354" t="str">
            <v>34242414B</v>
          </cell>
          <cell r="G354" t="str">
            <v>N/A</v>
          </cell>
          <cell r="H354">
            <v>15</v>
          </cell>
          <cell r="I354"/>
          <cell r="J354" t="str">
            <v>Yesenia Venegas</v>
          </cell>
          <cell r="K354">
            <v>44945</v>
          </cell>
          <cell r="L354" t="str">
            <v>Nohemi</v>
          </cell>
          <cell r="M354" t="str">
            <v>NO PASS</v>
          </cell>
          <cell r="N354" t="str">
            <v>CH34174173 A33</v>
          </cell>
        </row>
        <row r="355">
          <cell r="A355">
            <v>20230352</v>
          </cell>
          <cell r="B355">
            <v>44945</v>
          </cell>
          <cell r="C355">
            <v>1</v>
          </cell>
          <cell r="D355" t="str">
            <v>714-3</v>
          </cell>
          <cell r="E355" t="str">
            <v>SPR8</v>
          </cell>
          <cell r="F355" t="str">
            <v>A023P560B</v>
          </cell>
          <cell r="G355" t="str">
            <v>N/A</v>
          </cell>
          <cell r="H355" t="str">
            <v>7,8,9,10,11,Z,17,18,19</v>
          </cell>
          <cell r="I355"/>
          <cell r="J355" t="str">
            <v>Laura Castillo</v>
          </cell>
          <cell r="K355">
            <v>44945</v>
          </cell>
          <cell r="L355" t="str">
            <v>Nohemi</v>
          </cell>
          <cell r="M355" t="str">
            <v>PASS</v>
          </cell>
          <cell r="N355" t="str">
            <v>A0054G8117A-C</v>
          </cell>
        </row>
        <row r="356">
          <cell r="A356">
            <v>20230353</v>
          </cell>
          <cell r="B356">
            <v>44945</v>
          </cell>
          <cell r="C356">
            <v>1</v>
          </cell>
          <cell r="D356" t="str">
            <v>720-3</v>
          </cell>
          <cell r="E356" t="str">
            <v>SPR8</v>
          </cell>
          <cell r="F356" t="str">
            <v>34257331B</v>
          </cell>
          <cell r="G356" t="str">
            <v>N/A</v>
          </cell>
          <cell r="H356" t="str">
            <v>15,16,17,19</v>
          </cell>
          <cell r="I356"/>
          <cell r="J356" t="str">
            <v>Laura Castillo</v>
          </cell>
          <cell r="K356">
            <v>44945</v>
          </cell>
          <cell r="L356" t="str">
            <v>Nohemi</v>
          </cell>
          <cell r="M356" t="str">
            <v>NO PASS</v>
          </cell>
          <cell r="N356" t="str">
            <v>CH34259297 A15</v>
          </cell>
        </row>
        <row r="357">
          <cell r="A357">
            <v>20230354</v>
          </cell>
          <cell r="B357">
            <v>44945</v>
          </cell>
          <cell r="C357">
            <v>1</v>
          </cell>
          <cell r="D357" t="str">
            <v>716-3</v>
          </cell>
          <cell r="E357" t="str">
            <v>SPR8</v>
          </cell>
          <cell r="F357" t="str">
            <v>A024V116A</v>
          </cell>
          <cell r="G357" t="str">
            <v>N/A</v>
          </cell>
          <cell r="H357" t="str">
            <v>102,48,49,50,51,3,8,76,103,12</v>
          </cell>
          <cell r="I357"/>
          <cell r="J357" t="str">
            <v>Laura Castillo</v>
          </cell>
          <cell r="K357">
            <v>44945</v>
          </cell>
          <cell r="L357" t="str">
            <v>Nohemi</v>
          </cell>
          <cell r="M357" t="str">
            <v>NO PASS</v>
          </cell>
          <cell r="N357" t="str">
            <v>A0033G4854 A-B</v>
          </cell>
        </row>
        <row r="358">
          <cell r="A358">
            <v>20230355</v>
          </cell>
          <cell r="B358">
            <v>44945</v>
          </cell>
          <cell r="C358">
            <v>1</v>
          </cell>
          <cell r="D358" t="str">
            <v>N/A</v>
          </cell>
          <cell r="E358" t="str">
            <v>N/A</v>
          </cell>
          <cell r="F358" t="str">
            <v>34324865B</v>
          </cell>
          <cell r="G358" t="str">
            <v>TC001</v>
          </cell>
          <cell r="H358" t="str">
            <v xml:space="preserve">Conforme al rip </v>
          </cell>
          <cell r="I358" t="str">
            <v>5 pcs</v>
          </cell>
          <cell r="J358" t="str">
            <v>Nuevos programas</v>
          </cell>
          <cell r="K358">
            <v>44945</v>
          </cell>
          <cell r="L358" t="str">
            <v xml:space="preserve">Adela </v>
          </cell>
          <cell r="M358" t="str">
            <v>NO PASS</v>
          </cell>
          <cell r="N358" t="str">
            <v>N/A</v>
          </cell>
        </row>
        <row r="359">
          <cell r="A359">
            <v>20230356</v>
          </cell>
          <cell r="B359">
            <v>44945</v>
          </cell>
          <cell r="C359">
            <v>1</v>
          </cell>
          <cell r="D359">
            <v>604</v>
          </cell>
          <cell r="E359" t="str">
            <v>SPR8</v>
          </cell>
          <cell r="F359" t="str">
            <v>34336033A</v>
          </cell>
          <cell r="G359" t="str">
            <v>N/A</v>
          </cell>
          <cell r="H359" t="str">
            <v>16,17,18</v>
          </cell>
          <cell r="I359"/>
          <cell r="J359" t="str">
            <v>Javier Bautista</v>
          </cell>
          <cell r="K359">
            <v>44945</v>
          </cell>
          <cell r="L359" t="str">
            <v>Nohemi</v>
          </cell>
          <cell r="M359" t="str">
            <v>NO PASS</v>
          </cell>
          <cell r="N359" t="str">
            <v>A0034B4178A B</v>
          </cell>
        </row>
        <row r="360">
          <cell r="A360">
            <v>20230357</v>
          </cell>
          <cell r="B360">
            <v>44945</v>
          </cell>
          <cell r="C360">
            <v>1</v>
          </cell>
          <cell r="D360" t="str">
            <v>720-5</v>
          </cell>
          <cell r="E360" t="str">
            <v>SPR8</v>
          </cell>
          <cell r="F360" t="str">
            <v>34324980B</v>
          </cell>
          <cell r="G360" t="str">
            <v>N/A</v>
          </cell>
          <cell r="H360" t="str">
            <v>16,15,17,19</v>
          </cell>
          <cell r="I360"/>
          <cell r="J360" t="str">
            <v>Javier Bautista</v>
          </cell>
          <cell r="K360">
            <v>44945</v>
          </cell>
          <cell r="L360" t="str">
            <v>Nohemi</v>
          </cell>
          <cell r="M360" t="str">
            <v>NO PASS</v>
          </cell>
          <cell r="N360" t="str">
            <v>CH34259297 A11</v>
          </cell>
        </row>
        <row r="361">
          <cell r="A361">
            <v>20230358</v>
          </cell>
          <cell r="B361">
            <v>44945</v>
          </cell>
          <cell r="C361">
            <v>1</v>
          </cell>
          <cell r="D361" t="str">
            <v>N/A</v>
          </cell>
          <cell r="E361" t="str">
            <v>N/A</v>
          </cell>
          <cell r="F361" t="str">
            <v>34141784BBB</v>
          </cell>
          <cell r="G361" t="str">
            <v>01</v>
          </cell>
          <cell r="H361" t="str">
            <v xml:space="preserve">Conforme al rip </v>
          </cell>
          <cell r="I361" t="str">
            <v>5 pcs</v>
          </cell>
          <cell r="J361" t="str">
            <v>Nuevos programas</v>
          </cell>
          <cell r="K361">
            <v>44945</v>
          </cell>
          <cell r="L361" t="str">
            <v xml:space="preserve">Adela </v>
          </cell>
          <cell r="M361" t="str">
            <v>NO PASS</v>
          </cell>
          <cell r="N361" t="str">
            <v>N/A</v>
          </cell>
        </row>
        <row r="362">
          <cell r="A362">
            <v>20230359</v>
          </cell>
          <cell r="B362">
            <v>44945</v>
          </cell>
          <cell r="C362">
            <v>1</v>
          </cell>
          <cell r="D362" t="str">
            <v>N/A</v>
          </cell>
          <cell r="E362" t="str">
            <v>N/A</v>
          </cell>
          <cell r="F362" t="str">
            <v>34130163BBB</v>
          </cell>
          <cell r="G362" t="str">
            <v>01</v>
          </cell>
          <cell r="H362" t="str">
            <v xml:space="preserve">Conforme al rip </v>
          </cell>
          <cell r="I362" t="str">
            <v>5 pcs</v>
          </cell>
          <cell r="J362" t="str">
            <v>Nuevos programas</v>
          </cell>
          <cell r="K362">
            <v>44945</v>
          </cell>
          <cell r="L362" t="str">
            <v xml:space="preserve">Adela </v>
          </cell>
          <cell r="M362" t="str">
            <v>NO PASS</v>
          </cell>
          <cell r="N362" t="str">
            <v>N/A</v>
          </cell>
        </row>
        <row r="363">
          <cell r="A363">
            <v>20230360</v>
          </cell>
          <cell r="B363">
            <v>44945</v>
          </cell>
          <cell r="C363">
            <v>1</v>
          </cell>
          <cell r="D363" t="str">
            <v>N/A</v>
          </cell>
          <cell r="E363" t="str">
            <v>N/A</v>
          </cell>
          <cell r="F363" t="str">
            <v>34146057BBB</v>
          </cell>
          <cell r="G363" t="str">
            <v>01</v>
          </cell>
          <cell r="H363" t="str">
            <v xml:space="preserve">Conforme al rip </v>
          </cell>
          <cell r="I363" t="str">
            <v>5 pcs</v>
          </cell>
          <cell r="J363" t="str">
            <v>Nuevos programas</v>
          </cell>
          <cell r="K363">
            <v>44945</v>
          </cell>
          <cell r="L363" t="str">
            <v xml:space="preserve">Adela </v>
          </cell>
          <cell r="M363" t="str">
            <v>NO PASS</v>
          </cell>
          <cell r="N363" t="str">
            <v>N/A</v>
          </cell>
        </row>
        <row r="364">
          <cell r="A364">
            <v>20230361</v>
          </cell>
          <cell r="B364">
            <v>44945</v>
          </cell>
          <cell r="C364">
            <v>1</v>
          </cell>
          <cell r="D364" t="str">
            <v>720-3</v>
          </cell>
          <cell r="E364" t="str">
            <v>SPR8</v>
          </cell>
          <cell r="F364">
            <v>34262544</v>
          </cell>
          <cell r="G364" t="str">
            <v>N/A</v>
          </cell>
          <cell r="H364" t="str">
            <v>CONCENTRICIDAD</v>
          </cell>
          <cell r="I364"/>
          <cell r="J364" t="str">
            <v>EVELYN ESTUDILLO</v>
          </cell>
          <cell r="K364">
            <v>44945</v>
          </cell>
          <cell r="L364" t="str">
            <v>MAURICIO</v>
          </cell>
          <cell r="M364" t="str">
            <v>PASS</v>
          </cell>
          <cell r="N364" t="str">
            <v>CONCENTRICIDAD</v>
          </cell>
        </row>
        <row r="365">
          <cell r="A365">
            <v>20230362</v>
          </cell>
          <cell r="B365">
            <v>44945</v>
          </cell>
          <cell r="C365">
            <v>1</v>
          </cell>
          <cell r="D365" t="str">
            <v>720-2</v>
          </cell>
          <cell r="E365" t="str">
            <v>SPR8</v>
          </cell>
          <cell r="F365" t="str">
            <v>34296441C</v>
          </cell>
          <cell r="G365" t="str">
            <v>N/A</v>
          </cell>
          <cell r="H365" t="str">
            <v>CONCENTRICIDAD</v>
          </cell>
          <cell r="I365"/>
          <cell r="J365" t="str">
            <v>EVELYN ESTUDILLO</v>
          </cell>
          <cell r="K365">
            <v>44945</v>
          </cell>
          <cell r="L365" t="str">
            <v>MAURICIO</v>
          </cell>
          <cell r="M365" t="str">
            <v>PASS</v>
          </cell>
          <cell r="N365" t="str">
            <v>CONCENTRICIDAD</v>
          </cell>
        </row>
        <row r="366">
          <cell r="A366">
            <v>20230363</v>
          </cell>
          <cell r="B366">
            <v>44945</v>
          </cell>
          <cell r="C366">
            <v>1</v>
          </cell>
          <cell r="D366" t="str">
            <v>720-4</v>
          </cell>
          <cell r="E366" t="str">
            <v>SPR8</v>
          </cell>
          <cell r="F366" t="str">
            <v>34361270A</v>
          </cell>
          <cell r="G366" t="str">
            <v>N/A</v>
          </cell>
          <cell r="H366" t="str">
            <v>CONCENTRICIDAD</v>
          </cell>
          <cell r="I366"/>
          <cell r="J366" t="str">
            <v>EVELYN ESTUDILLO</v>
          </cell>
          <cell r="K366">
            <v>44945</v>
          </cell>
          <cell r="L366" t="str">
            <v>MAURICIO</v>
          </cell>
          <cell r="M366" t="str">
            <v>PASS</v>
          </cell>
          <cell r="N366" t="str">
            <v>CONCENTRICIDAD</v>
          </cell>
        </row>
        <row r="367">
          <cell r="A367">
            <v>20230364</v>
          </cell>
          <cell r="B367">
            <v>44945</v>
          </cell>
          <cell r="C367">
            <v>1</v>
          </cell>
          <cell r="D367" t="str">
            <v>720-5</v>
          </cell>
          <cell r="E367" t="str">
            <v>SPR8</v>
          </cell>
          <cell r="F367" t="str">
            <v>34327673B</v>
          </cell>
          <cell r="G367" t="str">
            <v>N/A</v>
          </cell>
          <cell r="H367" t="str">
            <v>CONCENTRICIDAD</v>
          </cell>
          <cell r="I367"/>
          <cell r="J367" t="str">
            <v>EVELYN ESTUDILLO</v>
          </cell>
          <cell r="K367">
            <v>44945</v>
          </cell>
          <cell r="L367" t="str">
            <v>MAURICIO</v>
          </cell>
          <cell r="M367" t="str">
            <v>PASS</v>
          </cell>
          <cell r="N367" t="str">
            <v>CONCENTRICIDAD</v>
          </cell>
        </row>
        <row r="368">
          <cell r="A368">
            <v>20230365</v>
          </cell>
          <cell r="B368">
            <v>44945</v>
          </cell>
          <cell r="C368">
            <v>1</v>
          </cell>
          <cell r="D368" t="str">
            <v>720-6</v>
          </cell>
          <cell r="E368" t="str">
            <v>SPR8</v>
          </cell>
          <cell r="F368" t="str">
            <v>A020R620A</v>
          </cell>
          <cell r="G368" t="str">
            <v>N/A</v>
          </cell>
          <cell r="H368" t="str">
            <v>CONCENTRICIDAD</v>
          </cell>
          <cell r="I368"/>
          <cell r="J368" t="str">
            <v>EVELYN ESTUDILLO</v>
          </cell>
          <cell r="K368">
            <v>44945</v>
          </cell>
          <cell r="L368" t="str">
            <v>MAURICIO</v>
          </cell>
          <cell r="M368" t="str">
            <v>PASS</v>
          </cell>
          <cell r="N368" t="str">
            <v>CONCENTRICIDAD</v>
          </cell>
        </row>
        <row r="369">
          <cell r="A369">
            <v>20230366</v>
          </cell>
          <cell r="B369">
            <v>44945</v>
          </cell>
          <cell r="C369">
            <v>1</v>
          </cell>
          <cell r="D369" t="str">
            <v>720-1</v>
          </cell>
          <cell r="E369" t="str">
            <v>SPR8</v>
          </cell>
          <cell r="F369" t="str">
            <v>34296437C</v>
          </cell>
          <cell r="G369" t="str">
            <v>N/A</v>
          </cell>
          <cell r="H369" t="str">
            <v>CONCENTRICIDAD</v>
          </cell>
          <cell r="I369"/>
          <cell r="J369" t="str">
            <v>EVELYN ESTUDILLO</v>
          </cell>
          <cell r="K369">
            <v>44945</v>
          </cell>
          <cell r="L369" t="str">
            <v>MAURICIO</v>
          </cell>
          <cell r="M369" t="str">
            <v>PASS</v>
          </cell>
          <cell r="N369" t="str">
            <v>CONCENTRICIDAD</v>
          </cell>
        </row>
        <row r="370">
          <cell r="A370">
            <v>20230367</v>
          </cell>
          <cell r="B370">
            <v>44945</v>
          </cell>
          <cell r="C370">
            <v>1</v>
          </cell>
          <cell r="D370" t="str">
            <v>720-3</v>
          </cell>
          <cell r="E370" t="str">
            <v>SPR8</v>
          </cell>
          <cell r="F370">
            <v>34262544</v>
          </cell>
          <cell r="G370" t="str">
            <v>N/A</v>
          </cell>
          <cell r="H370" t="str">
            <v>OVALIDAD</v>
          </cell>
          <cell r="I370"/>
          <cell r="J370" t="str">
            <v>EVELYN ESTUDILLO</v>
          </cell>
          <cell r="K370">
            <v>44945</v>
          </cell>
          <cell r="L370" t="str">
            <v>MAURICIO</v>
          </cell>
          <cell r="M370" t="str">
            <v>PASS</v>
          </cell>
          <cell r="N370" t="str">
            <v>OVALIDAD</v>
          </cell>
        </row>
        <row r="371">
          <cell r="A371">
            <v>20230368</v>
          </cell>
          <cell r="B371">
            <v>44945</v>
          </cell>
          <cell r="C371">
            <v>1</v>
          </cell>
          <cell r="D371" t="str">
            <v>720-2</v>
          </cell>
          <cell r="E371" t="str">
            <v>SPR8</v>
          </cell>
          <cell r="F371" t="str">
            <v>34296441C</v>
          </cell>
          <cell r="G371" t="str">
            <v>N/A</v>
          </cell>
          <cell r="H371" t="str">
            <v>OVALIDAD</v>
          </cell>
          <cell r="I371"/>
          <cell r="J371" t="str">
            <v>EVELYN ESTUDILLO</v>
          </cell>
          <cell r="K371">
            <v>44945</v>
          </cell>
          <cell r="L371" t="str">
            <v>MAURICIO</v>
          </cell>
          <cell r="M371" t="str">
            <v>PASS</v>
          </cell>
          <cell r="N371" t="str">
            <v>OVALIDAD</v>
          </cell>
        </row>
        <row r="372">
          <cell r="A372">
            <v>20230369</v>
          </cell>
          <cell r="B372">
            <v>44945</v>
          </cell>
          <cell r="C372">
            <v>1</v>
          </cell>
          <cell r="D372" t="str">
            <v>720-4</v>
          </cell>
          <cell r="E372" t="str">
            <v>SPR8</v>
          </cell>
          <cell r="F372" t="str">
            <v>34361270A</v>
          </cell>
          <cell r="G372" t="str">
            <v>N/A</v>
          </cell>
          <cell r="H372" t="str">
            <v>OVALIDAD</v>
          </cell>
          <cell r="I372"/>
          <cell r="J372" t="str">
            <v>EVELYN ESTUDILLO</v>
          </cell>
          <cell r="K372">
            <v>44945</v>
          </cell>
          <cell r="L372" t="str">
            <v>MAURICIO</v>
          </cell>
          <cell r="M372" t="str">
            <v>PASS</v>
          </cell>
          <cell r="N372" t="str">
            <v>OVALIDAD</v>
          </cell>
        </row>
        <row r="373">
          <cell r="A373">
            <v>20230370</v>
          </cell>
          <cell r="B373">
            <v>44945</v>
          </cell>
          <cell r="C373">
            <v>1</v>
          </cell>
          <cell r="D373" t="str">
            <v>720-5</v>
          </cell>
          <cell r="E373" t="str">
            <v>SPR8</v>
          </cell>
          <cell r="F373" t="str">
            <v>34327673B</v>
          </cell>
          <cell r="G373" t="str">
            <v>N/A</v>
          </cell>
          <cell r="H373" t="str">
            <v>OVALIDAD</v>
          </cell>
          <cell r="I373"/>
          <cell r="J373" t="str">
            <v>EVELYN ESTUDILLO</v>
          </cell>
          <cell r="K373">
            <v>44945</v>
          </cell>
          <cell r="L373" t="str">
            <v>MAURICIO</v>
          </cell>
          <cell r="M373" t="str">
            <v>PASS</v>
          </cell>
          <cell r="N373" t="str">
            <v>OVALIDAD</v>
          </cell>
        </row>
        <row r="374">
          <cell r="A374">
            <v>20230371</v>
          </cell>
          <cell r="B374">
            <v>44945</v>
          </cell>
          <cell r="C374">
            <v>1</v>
          </cell>
          <cell r="D374" t="str">
            <v>720-6</v>
          </cell>
          <cell r="E374" t="str">
            <v>SPR8</v>
          </cell>
          <cell r="F374" t="str">
            <v>A020R620A</v>
          </cell>
          <cell r="G374" t="str">
            <v>N/A</v>
          </cell>
          <cell r="H374" t="str">
            <v>OVALIDAD</v>
          </cell>
          <cell r="I374"/>
          <cell r="J374" t="str">
            <v>EVELYN ESTUDILLO</v>
          </cell>
          <cell r="K374">
            <v>44945</v>
          </cell>
          <cell r="L374" t="str">
            <v>MAURICIO</v>
          </cell>
          <cell r="M374" t="str">
            <v>PASS</v>
          </cell>
          <cell r="N374" t="str">
            <v>OVALIDAD</v>
          </cell>
        </row>
        <row r="375">
          <cell r="A375">
            <v>20230372</v>
          </cell>
          <cell r="B375">
            <v>44945</v>
          </cell>
          <cell r="C375">
            <v>1</v>
          </cell>
          <cell r="D375" t="str">
            <v>720-1</v>
          </cell>
          <cell r="E375" t="str">
            <v>SPR8</v>
          </cell>
          <cell r="F375" t="str">
            <v>34296437C</v>
          </cell>
          <cell r="G375" t="str">
            <v>N/A</v>
          </cell>
          <cell r="H375" t="str">
            <v>OVALIDAD</v>
          </cell>
          <cell r="I375"/>
          <cell r="J375" t="str">
            <v>EVELYN ESTUDILLO</v>
          </cell>
          <cell r="K375">
            <v>44945</v>
          </cell>
          <cell r="L375" t="str">
            <v>MAURICIO</v>
          </cell>
          <cell r="M375" t="str">
            <v>PASS</v>
          </cell>
          <cell r="N375" t="str">
            <v>OVALIDAD</v>
          </cell>
        </row>
        <row r="376">
          <cell r="A376">
            <v>20230373</v>
          </cell>
          <cell r="B376">
            <v>44945</v>
          </cell>
          <cell r="C376">
            <v>1</v>
          </cell>
          <cell r="D376" t="str">
            <v>AGRATI-TIFFIN</v>
          </cell>
          <cell r="E376" t="str">
            <v>N/A</v>
          </cell>
          <cell r="F376" t="str">
            <v>33024457D</v>
          </cell>
          <cell r="G376">
            <v>5110</v>
          </cell>
          <cell r="H376" t="str">
            <v>40 42 44 46 x3</v>
          </cell>
          <cell r="I376"/>
          <cell r="J376" t="str">
            <v>JORGE GONZALEZ</v>
          </cell>
          <cell r="K376">
            <v>44945</v>
          </cell>
          <cell r="L376" t="str">
            <v>MAURICIO</v>
          </cell>
          <cell r="M376" t="str">
            <v>NO PASS</v>
          </cell>
          <cell r="N376" t="str">
            <v>PLANO MARCADO</v>
          </cell>
        </row>
        <row r="377">
          <cell r="A377">
            <v>20230374</v>
          </cell>
          <cell r="B377">
            <v>44945</v>
          </cell>
          <cell r="C377">
            <v>1</v>
          </cell>
          <cell r="D377" t="str">
            <v>720-2</v>
          </cell>
          <cell r="E377" t="str">
            <v>SPR8</v>
          </cell>
          <cell r="F377" t="str">
            <v>34285573C</v>
          </cell>
          <cell r="G377" t="str">
            <v>N/A</v>
          </cell>
          <cell r="H377" t="str">
            <v>CONCENTRICIDAD</v>
          </cell>
          <cell r="I377"/>
          <cell r="J377" t="str">
            <v>Gabriel Ramos</v>
          </cell>
          <cell r="K377">
            <v>44945</v>
          </cell>
          <cell r="L377" t="str">
            <v>Nohemi</v>
          </cell>
          <cell r="M377" t="str">
            <v>PASS</v>
          </cell>
          <cell r="N377" t="str">
            <v>CONCENTRICIDAD</v>
          </cell>
        </row>
        <row r="378">
          <cell r="A378">
            <v>20230375</v>
          </cell>
          <cell r="B378">
            <v>44945</v>
          </cell>
          <cell r="C378">
            <v>1</v>
          </cell>
          <cell r="D378" t="str">
            <v>720-3</v>
          </cell>
          <cell r="E378" t="str">
            <v>SPR8</v>
          </cell>
          <cell r="F378" t="str">
            <v>34235234G</v>
          </cell>
          <cell r="G378" t="str">
            <v>N/A</v>
          </cell>
          <cell r="H378" t="str">
            <v>CONCENTRICIDAD</v>
          </cell>
          <cell r="I378"/>
          <cell r="J378" t="str">
            <v>Gabriel Ramos</v>
          </cell>
          <cell r="K378">
            <v>44945</v>
          </cell>
          <cell r="L378" t="str">
            <v>Nohemi</v>
          </cell>
          <cell r="M378" t="str">
            <v>PASS</v>
          </cell>
          <cell r="N378" t="str">
            <v>CONCENTRICIDAD</v>
          </cell>
        </row>
        <row r="379">
          <cell r="A379">
            <v>20230376</v>
          </cell>
          <cell r="B379">
            <v>44945</v>
          </cell>
          <cell r="C379">
            <v>1</v>
          </cell>
          <cell r="D379" t="str">
            <v>720-2</v>
          </cell>
          <cell r="E379" t="str">
            <v>SPR8</v>
          </cell>
          <cell r="F379" t="str">
            <v>34285573C</v>
          </cell>
          <cell r="G379" t="str">
            <v>N/A</v>
          </cell>
          <cell r="H379" t="str">
            <v>OVALIDAD</v>
          </cell>
          <cell r="I379"/>
          <cell r="J379" t="str">
            <v>Gabriel Ramos</v>
          </cell>
          <cell r="K379">
            <v>44945</v>
          </cell>
          <cell r="L379" t="str">
            <v>Nohemi</v>
          </cell>
          <cell r="M379" t="str">
            <v>PASS</v>
          </cell>
          <cell r="N379" t="str">
            <v>OVALIDAD</v>
          </cell>
        </row>
        <row r="380">
          <cell r="A380">
            <v>20230377</v>
          </cell>
          <cell r="B380">
            <v>44945</v>
          </cell>
          <cell r="C380">
            <v>1</v>
          </cell>
          <cell r="D380" t="str">
            <v>720-3</v>
          </cell>
          <cell r="E380" t="str">
            <v>SPR8</v>
          </cell>
          <cell r="F380" t="str">
            <v>34235234G</v>
          </cell>
          <cell r="G380" t="str">
            <v>N/A</v>
          </cell>
          <cell r="H380" t="str">
            <v>OVALIDAD</v>
          </cell>
          <cell r="I380"/>
          <cell r="J380" t="str">
            <v>Gabriel Ramos</v>
          </cell>
          <cell r="K380">
            <v>44945</v>
          </cell>
          <cell r="L380" t="str">
            <v>Nohemi</v>
          </cell>
          <cell r="M380" t="str">
            <v>PASS</v>
          </cell>
          <cell r="N380" t="str">
            <v>OVALIDAD</v>
          </cell>
        </row>
        <row r="381">
          <cell r="A381">
            <v>20230378</v>
          </cell>
          <cell r="B381">
            <v>44945</v>
          </cell>
          <cell r="C381">
            <v>3</v>
          </cell>
          <cell r="D381" t="str">
            <v>720-1</v>
          </cell>
          <cell r="E381" t="str">
            <v>SPR8</v>
          </cell>
          <cell r="F381" t="str">
            <v>34296438C</v>
          </cell>
          <cell r="G381" t="str">
            <v>N/A</v>
          </cell>
          <cell r="H381" t="str">
            <v>CONCENTRICIDAD</v>
          </cell>
          <cell r="I381"/>
          <cell r="J381" t="str">
            <v>Augusto rdz</v>
          </cell>
          <cell r="K381">
            <v>44945</v>
          </cell>
          <cell r="L381" t="str">
            <v>Abel</v>
          </cell>
          <cell r="M381" t="str">
            <v>PASS</v>
          </cell>
          <cell r="N381" t="str">
            <v>CONCENTRICIDAD</v>
          </cell>
        </row>
        <row r="382">
          <cell r="A382">
            <v>20230379</v>
          </cell>
          <cell r="B382">
            <v>44945</v>
          </cell>
          <cell r="C382">
            <v>3</v>
          </cell>
          <cell r="D382" t="str">
            <v>720-6</v>
          </cell>
          <cell r="E382" t="str">
            <v>SPR8</v>
          </cell>
          <cell r="F382" t="str">
            <v>A020R619B</v>
          </cell>
          <cell r="G382" t="str">
            <v>N/A</v>
          </cell>
          <cell r="H382" t="str">
            <v>CONCENTRICIDAD</v>
          </cell>
          <cell r="I382"/>
          <cell r="J382" t="str">
            <v>Augusto rdz</v>
          </cell>
          <cell r="K382">
            <v>44945</v>
          </cell>
          <cell r="L382" t="str">
            <v>Abel</v>
          </cell>
          <cell r="M382" t="str">
            <v>PASS</v>
          </cell>
          <cell r="N382" t="str">
            <v>CONCENTRICIDAD</v>
          </cell>
        </row>
        <row r="383">
          <cell r="A383">
            <v>20230380</v>
          </cell>
          <cell r="B383">
            <v>44945</v>
          </cell>
          <cell r="C383">
            <v>3</v>
          </cell>
          <cell r="D383" t="str">
            <v>720-5</v>
          </cell>
          <cell r="E383" t="str">
            <v>SPR8</v>
          </cell>
          <cell r="F383" t="str">
            <v>34324760D</v>
          </cell>
          <cell r="G383" t="str">
            <v>N/A</v>
          </cell>
          <cell r="H383" t="str">
            <v>CONCENTRICIDAD</v>
          </cell>
          <cell r="I383"/>
          <cell r="J383" t="str">
            <v>Augusto rdz</v>
          </cell>
          <cell r="K383">
            <v>44945</v>
          </cell>
          <cell r="L383" t="str">
            <v>Abel</v>
          </cell>
          <cell r="M383" t="str">
            <v>PASS</v>
          </cell>
          <cell r="N383" t="str">
            <v>CONCENTRICIDAD</v>
          </cell>
        </row>
        <row r="384">
          <cell r="A384">
            <v>20230381</v>
          </cell>
          <cell r="B384">
            <v>44945</v>
          </cell>
          <cell r="C384">
            <v>3</v>
          </cell>
          <cell r="D384" t="str">
            <v>720-4</v>
          </cell>
          <cell r="E384" t="str">
            <v>SPR8</v>
          </cell>
          <cell r="F384" t="str">
            <v>34309474B</v>
          </cell>
          <cell r="G384" t="str">
            <v>N/A</v>
          </cell>
          <cell r="H384" t="str">
            <v>CONCENTRICIDAD</v>
          </cell>
          <cell r="I384"/>
          <cell r="J384" t="str">
            <v>Augusto rdz</v>
          </cell>
          <cell r="K384">
            <v>44945</v>
          </cell>
          <cell r="L384" t="str">
            <v>Abel</v>
          </cell>
          <cell r="M384" t="str">
            <v>PASS</v>
          </cell>
          <cell r="N384" t="str">
            <v>CONCENTRICIDAD</v>
          </cell>
        </row>
        <row r="385">
          <cell r="A385">
            <v>20230382</v>
          </cell>
          <cell r="B385">
            <v>44945</v>
          </cell>
          <cell r="C385">
            <v>3</v>
          </cell>
          <cell r="D385" t="str">
            <v>720-1</v>
          </cell>
          <cell r="E385" t="str">
            <v>SPR8</v>
          </cell>
          <cell r="F385" t="str">
            <v>34296438C</v>
          </cell>
          <cell r="G385" t="str">
            <v>N/A</v>
          </cell>
          <cell r="H385" t="str">
            <v>OVALIDAD</v>
          </cell>
          <cell r="I385"/>
          <cell r="J385" t="str">
            <v>Augusto rdz</v>
          </cell>
          <cell r="K385">
            <v>44945</v>
          </cell>
          <cell r="L385" t="str">
            <v>Abel</v>
          </cell>
          <cell r="M385" t="str">
            <v>PASS</v>
          </cell>
          <cell r="N385" t="str">
            <v>OVALIDAD</v>
          </cell>
        </row>
        <row r="386">
          <cell r="A386">
            <v>20230383</v>
          </cell>
          <cell r="B386">
            <v>44945</v>
          </cell>
          <cell r="C386">
            <v>3</v>
          </cell>
          <cell r="D386" t="str">
            <v>720-6</v>
          </cell>
          <cell r="E386" t="str">
            <v>SPR8</v>
          </cell>
          <cell r="F386" t="str">
            <v>A020R619B</v>
          </cell>
          <cell r="G386" t="str">
            <v>N/A</v>
          </cell>
          <cell r="H386" t="str">
            <v>OVALIDAD</v>
          </cell>
          <cell r="I386"/>
          <cell r="J386" t="str">
            <v>Augusto rdz</v>
          </cell>
          <cell r="K386">
            <v>44945</v>
          </cell>
          <cell r="L386" t="str">
            <v>Abel</v>
          </cell>
          <cell r="M386" t="str">
            <v>PASS</v>
          </cell>
          <cell r="N386" t="str">
            <v>OVALIDAD</v>
          </cell>
        </row>
        <row r="387">
          <cell r="A387">
            <v>20230384</v>
          </cell>
          <cell r="B387">
            <v>44945</v>
          </cell>
          <cell r="C387">
            <v>3</v>
          </cell>
          <cell r="D387" t="str">
            <v>720-5</v>
          </cell>
          <cell r="E387" t="str">
            <v>SPR8</v>
          </cell>
          <cell r="F387" t="str">
            <v>34324760D</v>
          </cell>
          <cell r="G387" t="str">
            <v>N/A</v>
          </cell>
          <cell r="H387" t="str">
            <v>OVALIDAD</v>
          </cell>
          <cell r="I387"/>
          <cell r="J387" t="str">
            <v>Augusto rdz</v>
          </cell>
          <cell r="K387">
            <v>44945</v>
          </cell>
          <cell r="L387" t="str">
            <v>Abel</v>
          </cell>
          <cell r="M387" t="str">
            <v>PASS</v>
          </cell>
          <cell r="N387" t="str">
            <v>OVALIDAD</v>
          </cell>
        </row>
        <row r="388">
          <cell r="A388">
            <v>20230385</v>
          </cell>
          <cell r="B388">
            <v>44945</v>
          </cell>
          <cell r="C388">
            <v>3</v>
          </cell>
          <cell r="D388" t="str">
            <v>720-4</v>
          </cell>
          <cell r="E388" t="str">
            <v>SPR8</v>
          </cell>
          <cell r="F388" t="str">
            <v>34309474B</v>
          </cell>
          <cell r="G388" t="str">
            <v>N/A</v>
          </cell>
          <cell r="H388" t="str">
            <v>OVALIDAD</v>
          </cell>
          <cell r="I388"/>
          <cell r="J388" t="str">
            <v>Augusto rdz</v>
          </cell>
          <cell r="K388">
            <v>44945</v>
          </cell>
          <cell r="L388" t="str">
            <v>Abel</v>
          </cell>
          <cell r="M388" t="str">
            <v>PASS</v>
          </cell>
          <cell r="N388" t="str">
            <v>OVALIDAD</v>
          </cell>
        </row>
        <row r="389">
          <cell r="A389">
            <v>20230386</v>
          </cell>
          <cell r="B389">
            <v>44946</v>
          </cell>
          <cell r="C389">
            <v>1</v>
          </cell>
          <cell r="D389" t="str">
            <v>AGRATI-TIFFIN</v>
          </cell>
          <cell r="E389" t="str">
            <v>N/A</v>
          </cell>
          <cell r="F389" t="str">
            <v>33024457D</v>
          </cell>
          <cell r="G389">
            <v>5110</v>
          </cell>
          <cell r="H389" t="str">
            <v>40 42 44 46</v>
          </cell>
          <cell r="I389"/>
          <cell r="J389" t="str">
            <v>ALEJANDRO ORTIZ</v>
          </cell>
          <cell r="K389">
            <v>44946</v>
          </cell>
          <cell r="L389" t="str">
            <v>MAURICIO</v>
          </cell>
          <cell r="M389" t="str">
            <v>NO PASS</v>
          </cell>
          <cell r="N389" t="str">
            <v>PLANO MARCADO</v>
          </cell>
        </row>
        <row r="390">
          <cell r="A390">
            <v>20230387</v>
          </cell>
          <cell r="B390">
            <v>44946</v>
          </cell>
          <cell r="C390">
            <v>1</v>
          </cell>
          <cell r="D390">
            <v>532</v>
          </cell>
          <cell r="E390" t="str">
            <v>N/A</v>
          </cell>
          <cell r="F390" t="str">
            <v>GAGE PARA GROMMET</v>
          </cell>
          <cell r="G390" t="str">
            <v>N/A</v>
          </cell>
          <cell r="H390" t="str">
            <v>Ø 12.75 mm  ± 0.0254</v>
          </cell>
          <cell r="I390"/>
          <cell r="J390" t="str">
            <v>Raul Hernandez</v>
          </cell>
          <cell r="K390">
            <v>44946</v>
          </cell>
          <cell r="L390" t="str">
            <v>MAURICIO</v>
          </cell>
          <cell r="M390"/>
          <cell r="N390" t="str">
            <v>PLANO MARCADO</v>
          </cell>
        </row>
        <row r="391">
          <cell r="A391">
            <v>20230388</v>
          </cell>
          <cell r="B391">
            <v>44946</v>
          </cell>
          <cell r="C391">
            <v>1</v>
          </cell>
          <cell r="D391" t="str">
            <v>715-4</v>
          </cell>
          <cell r="E391" t="str">
            <v>SPR8</v>
          </cell>
          <cell r="F391" t="str">
            <v>34364768A</v>
          </cell>
          <cell r="G391" t="str">
            <v>N/A</v>
          </cell>
          <cell r="H391" t="str">
            <v>6,15,17,7</v>
          </cell>
          <cell r="I391"/>
          <cell r="J391" t="str">
            <v>Laura Castillo</v>
          </cell>
          <cell r="K391">
            <v>44946</v>
          </cell>
          <cell r="L391" t="str">
            <v>Nohemi</v>
          </cell>
          <cell r="M391" t="str">
            <v>NO PASS</v>
          </cell>
          <cell r="N391" t="str">
            <v>A0033G4801-C</v>
          </cell>
        </row>
        <row r="392">
          <cell r="A392">
            <v>20230389</v>
          </cell>
          <cell r="B392">
            <v>44946</v>
          </cell>
          <cell r="C392">
            <v>1</v>
          </cell>
          <cell r="D392" t="str">
            <v>720-4</v>
          </cell>
          <cell r="E392" t="str">
            <v>SPR8</v>
          </cell>
          <cell r="F392" t="str">
            <v>34361271A</v>
          </cell>
          <cell r="G392" t="str">
            <v>N/A</v>
          </cell>
          <cell r="H392" t="str">
            <v>CONCENTRICIDAD</v>
          </cell>
          <cell r="I392"/>
          <cell r="J392" t="str">
            <v>EVELYN ESTUDILLO</v>
          </cell>
          <cell r="K392">
            <v>44946</v>
          </cell>
          <cell r="L392" t="str">
            <v>MAURICIO</v>
          </cell>
          <cell r="M392" t="str">
            <v>PASS</v>
          </cell>
          <cell r="N392" t="str">
            <v>CONCENTRICIDAD</v>
          </cell>
        </row>
        <row r="393">
          <cell r="A393">
            <v>20230390</v>
          </cell>
          <cell r="B393">
            <v>44946</v>
          </cell>
          <cell r="C393">
            <v>1</v>
          </cell>
          <cell r="D393" t="str">
            <v>720-5</v>
          </cell>
          <cell r="E393" t="str">
            <v>SPR8</v>
          </cell>
          <cell r="F393" t="str">
            <v>34346842C</v>
          </cell>
          <cell r="G393" t="str">
            <v>N/A</v>
          </cell>
          <cell r="H393" t="str">
            <v>CONCENTRICIDAD</v>
          </cell>
          <cell r="I393"/>
          <cell r="J393" t="str">
            <v>EVELYN ESTUDILLO</v>
          </cell>
          <cell r="K393">
            <v>44946</v>
          </cell>
          <cell r="L393" t="str">
            <v>MAURICIO</v>
          </cell>
          <cell r="M393" t="str">
            <v>PASS</v>
          </cell>
          <cell r="N393" t="str">
            <v>CONCENTRICIDAD</v>
          </cell>
        </row>
        <row r="394">
          <cell r="A394">
            <v>20230391</v>
          </cell>
          <cell r="B394">
            <v>44946</v>
          </cell>
          <cell r="C394">
            <v>1</v>
          </cell>
          <cell r="D394" t="str">
            <v>720-6</v>
          </cell>
          <cell r="E394" t="str">
            <v>SPR8</v>
          </cell>
          <cell r="F394" t="str">
            <v>A020R621B</v>
          </cell>
          <cell r="G394" t="str">
            <v>N/A</v>
          </cell>
          <cell r="H394" t="str">
            <v>CONCENTRICIDAD</v>
          </cell>
          <cell r="I394"/>
          <cell r="J394" t="str">
            <v>EVELYN ESTUDILLO</v>
          </cell>
          <cell r="K394">
            <v>44946</v>
          </cell>
          <cell r="L394" t="str">
            <v>MAURICIO</v>
          </cell>
          <cell r="M394" t="str">
            <v>PASS</v>
          </cell>
          <cell r="N394" t="str">
            <v>CONCENTRICIDAD</v>
          </cell>
        </row>
        <row r="395">
          <cell r="A395">
            <v>20230392</v>
          </cell>
          <cell r="B395">
            <v>44946</v>
          </cell>
          <cell r="C395">
            <v>1</v>
          </cell>
          <cell r="D395" t="str">
            <v>720-1</v>
          </cell>
          <cell r="E395" t="str">
            <v>SPR8</v>
          </cell>
          <cell r="F395" t="str">
            <v>34324758A</v>
          </cell>
          <cell r="G395" t="str">
            <v>N/A</v>
          </cell>
          <cell r="H395" t="str">
            <v>CONCENTRICIDAD</v>
          </cell>
          <cell r="I395"/>
          <cell r="J395" t="str">
            <v>EVELYN ESTUDILLO</v>
          </cell>
          <cell r="K395">
            <v>44946</v>
          </cell>
          <cell r="L395" t="str">
            <v>MAURICIO</v>
          </cell>
          <cell r="M395" t="str">
            <v>PASS</v>
          </cell>
          <cell r="N395" t="str">
            <v>CONCENTRICIDAD</v>
          </cell>
        </row>
        <row r="396">
          <cell r="A396">
            <v>20230393</v>
          </cell>
          <cell r="B396">
            <v>44946</v>
          </cell>
          <cell r="C396">
            <v>1</v>
          </cell>
          <cell r="D396" t="str">
            <v>720-2</v>
          </cell>
          <cell r="E396" t="str">
            <v>SPR8</v>
          </cell>
          <cell r="F396" t="str">
            <v>34235232G</v>
          </cell>
          <cell r="G396" t="str">
            <v>N/A</v>
          </cell>
          <cell r="H396" t="str">
            <v>CONCENTRICIDAD</v>
          </cell>
          <cell r="I396"/>
          <cell r="J396" t="str">
            <v>EVELYN ESTUDILLO</v>
          </cell>
          <cell r="K396">
            <v>44946</v>
          </cell>
          <cell r="L396" t="str">
            <v>MAURICIO</v>
          </cell>
          <cell r="M396" t="str">
            <v>PASS</v>
          </cell>
          <cell r="N396" t="str">
            <v>CONCENTRICIDAD</v>
          </cell>
        </row>
        <row r="397">
          <cell r="A397">
            <v>20230394</v>
          </cell>
          <cell r="B397">
            <v>44946</v>
          </cell>
          <cell r="C397">
            <v>1</v>
          </cell>
          <cell r="D397" t="str">
            <v>720-3</v>
          </cell>
          <cell r="E397" t="str">
            <v>SPR8</v>
          </cell>
          <cell r="F397" t="str">
            <v>34235233G</v>
          </cell>
          <cell r="G397" t="str">
            <v>N/A</v>
          </cell>
          <cell r="H397" t="str">
            <v>CONCENTRICIDAD</v>
          </cell>
          <cell r="I397"/>
          <cell r="J397" t="str">
            <v>EVELYN ESTUDILLO</v>
          </cell>
          <cell r="K397">
            <v>44946</v>
          </cell>
          <cell r="L397" t="str">
            <v>MAURICIO</v>
          </cell>
          <cell r="M397" t="str">
            <v>PASS</v>
          </cell>
          <cell r="N397" t="str">
            <v>CONCENTRICIDAD</v>
          </cell>
        </row>
        <row r="398">
          <cell r="A398">
            <v>20230395</v>
          </cell>
          <cell r="B398">
            <v>44946</v>
          </cell>
          <cell r="C398">
            <v>1</v>
          </cell>
          <cell r="D398" t="str">
            <v>720-4</v>
          </cell>
          <cell r="E398" t="str">
            <v>SPR8</v>
          </cell>
          <cell r="F398" t="str">
            <v>34361271A</v>
          </cell>
          <cell r="G398" t="str">
            <v>N/A</v>
          </cell>
          <cell r="H398" t="str">
            <v>OVALIDAD</v>
          </cell>
          <cell r="I398"/>
          <cell r="J398" t="str">
            <v>EVELYN ESTUDILLO</v>
          </cell>
          <cell r="K398">
            <v>44946</v>
          </cell>
          <cell r="L398" t="str">
            <v>MAURICIO</v>
          </cell>
          <cell r="M398" t="str">
            <v>PASS</v>
          </cell>
          <cell r="N398" t="str">
            <v>OVALIDAD</v>
          </cell>
        </row>
        <row r="399">
          <cell r="A399">
            <v>20230396</v>
          </cell>
          <cell r="B399">
            <v>44946</v>
          </cell>
          <cell r="C399">
            <v>1</v>
          </cell>
          <cell r="D399" t="str">
            <v>720-5</v>
          </cell>
          <cell r="E399" t="str">
            <v>SPR8</v>
          </cell>
          <cell r="F399" t="str">
            <v>34346842C</v>
          </cell>
          <cell r="G399" t="str">
            <v>N/A</v>
          </cell>
          <cell r="H399" t="str">
            <v>OVALIDAD</v>
          </cell>
          <cell r="I399"/>
          <cell r="J399" t="str">
            <v>EVELYN ESTUDILLO</v>
          </cell>
          <cell r="K399">
            <v>44946</v>
          </cell>
          <cell r="L399" t="str">
            <v>MAURICIO</v>
          </cell>
          <cell r="M399" t="str">
            <v>PASS</v>
          </cell>
          <cell r="N399" t="str">
            <v>OVALIDAD</v>
          </cell>
        </row>
        <row r="400">
          <cell r="A400">
            <v>20230397</v>
          </cell>
          <cell r="B400">
            <v>44946</v>
          </cell>
          <cell r="C400">
            <v>1</v>
          </cell>
          <cell r="D400" t="str">
            <v>720-6</v>
          </cell>
          <cell r="E400" t="str">
            <v>SPR8</v>
          </cell>
          <cell r="F400" t="str">
            <v>A020R621B</v>
          </cell>
          <cell r="G400" t="str">
            <v>N/A</v>
          </cell>
          <cell r="H400" t="str">
            <v>OVALIDAD</v>
          </cell>
          <cell r="I400"/>
          <cell r="J400" t="str">
            <v>EVELYN ESTUDILLO</v>
          </cell>
          <cell r="K400">
            <v>44946</v>
          </cell>
          <cell r="L400" t="str">
            <v>MAURICIO</v>
          </cell>
          <cell r="M400" t="str">
            <v>PASS</v>
          </cell>
          <cell r="N400" t="str">
            <v>OVALIDAD</v>
          </cell>
        </row>
        <row r="401">
          <cell r="A401">
            <v>20230398</v>
          </cell>
          <cell r="B401">
            <v>44946</v>
          </cell>
          <cell r="C401">
            <v>1</v>
          </cell>
          <cell r="D401" t="str">
            <v>720-1</v>
          </cell>
          <cell r="E401" t="str">
            <v>SPR8</v>
          </cell>
          <cell r="F401" t="str">
            <v>34324758A</v>
          </cell>
          <cell r="G401" t="str">
            <v>N/A</v>
          </cell>
          <cell r="H401" t="str">
            <v>OVALIDAD</v>
          </cell>
          <cell r="I401"/>
          <cell r="J401" t="str">
            <v>EVELYN ESTUDILLO</v>
          </cell>
          <cell r="K401">
            <v>44946</v>
          </cell>
          <cell r="L401" t="str">
            <v>MAURICIO</v>
          </cell>
          <cell r="M401" t="str">
            <v>PASS</v>
          </cell>
          <cell r="N401" t="str">
            <v>OVALIDAD</v>
          </cell>
        </row>
        <row r="402">
          <cell r="A402">
            <v>20230399</v>
          </cell>
          <cell r="B402">
            <v>44946</v>
          </cell>
          <cell r="C402">
            <v>1</v>
          </cell>
          <cell r="D402" t="str">
            <v>720-2</v>
          </cell>
          <cell r="E402" t="str">
            <v>SPR8</v>
          </cell>
          <cell r="F402" t="str">
            <v>34235232G</v>
          </cell>
          <cell r="G402" t="str">
            <v>N/A</v>
          </cell>
          <cell r="H402" t="str">
            <v>OVALIDAD</v>
          </cell>
          <cell r="I402"/>
          <cell r="J402" t="str">
            <v>EVELYN ESTUDILLO</v>
          </cell>
          <cell r="K402">
            <v>44946</v>
          </cell>
          <cell r="L402" t="str">
            <v>MAURICIO</v>
          </cell>
          <cell r="M402" t="str">
            <v>PASS</v>
          </cell>
          <cell r="N402" t="str">
            <v>OVALIDAD</v>
          </cell>
        </row>
        <row r="403">
          <cell r="A403">
            <v>20230400</v>
          </cell>
          <cell r="B403">
            <v>44946</v>
          </cell>
          <cell r="C403">
            <v>1</v>
          </cell>
          <cell r="D403" t="str">
            <v>720-3</v>
          </cell>
          <cell r="E403" t="str">
            <v>SPR8</v>
          </cell>
          <cell r="F403" t="str">
            <v>34235233G</v>
          </cell>
          <cell r="G403" t="str">
            <v>N/A</v>
          </cell>
          <cell r="H403" t="str">
            <v>OVALIDAD</v>
          </cell>
          <cell r="I403"/>
          <cell r="J403" t="str">
            <v>EVELYN ESTUDILLO</v>
          </cell>
          <cell r="K403">
            <v>44946</v>
          </cell>
          <cell r="L403" t="str">
            <v>MAURICIO</v>
          </cell>
          <cell r="M403" t="str">
            <v>PASS</v>
          </cell>
          <cell r="N403" t="str">
            <v>OVALIDAD</v>
          </cell>
        </row>
        <row r="404">
          <cell r="A404">
            <v>20230401</v>
          </cell>
          <cell r="B404">
            <v>44946</v>
          </cell>
          <cell r="C404">
            <v>1</v>
          </cell>
          <cell r="D404" t="str">
            <v>N/A</v>
          </cell>
          <cell r="E404" t="str">
            <v>N/A</v>
          </cell>
          <cell r="F404" t="str">
            <v>34350791B</v>
          </cell>
          <cell r="G404" t="str">
            <v>TC001</v>
          </cell>
          <cell r="H404" t="str">
            <v xml:space="preserve">Conforme al rip </v>
          </cell>
          <cell r="I404" t="str">
            <v>5 pcs</v>
          </cell>
          <cell r="J404" t="str">
            <v>Nuevos programas</v>
          </cell>
          <cell r="K404">
            <v>44946</v>
          </cell>
          <cell r="L404" t="str">
            <v xml:space="preserve">Adela </v>
          </cell>
          <cell r="M404" t="str">
            <v>NO PASS</v>
          </cell>
          <cell r="N404" t="str">
            <v>N/A</v>
          </cell>
        </row>
        <row r="405">
          <cell r="A405">
            <v>20230402</v>
          </cell>
          <cell r="B405">
            <v>44946</v>
          </cell>
          <cell r="C405">
            <v>1</v>
          </cell>
          <cell r="D405" t="str">
            <v>702-6</v>
          </cell>
          <cell r="E405" t="str">
            <v>SPR4</v>
          </cell>
          <cell r="F405" t="str">
            <v>34312447A</v>
          </cell>
          <cell r="G405" t="str">
            <v>N/A</v>
          </cell>
          <cell r="H405" t="str">
            <v>37,41,42,45</v>
          </cell>
          <cell r="I405"/>
          <cell r="J405" t="str">
            <v>Javier Bautista</v>
          </cell>
          <cell r="K405">
            <v>44946</v>
          </cell>
          <cell r="L405" t="str">
            <v>Nohemi</v>
          </cell>
          <cell r="M405" t="str">
            <v>NO PASS</v>
          </cell>
          <cell r="N405" t="str">
            <v>A0034F7508A-A</v>
          </cell>
        </row>
        <row r="406">
          <cell r="A406">
            <v>20230403</v>
          </cell>
          <cell r="B406">
            <v>44946</v>
          </cell>
          <cell r="C406">
            <v>1</v>
          </cell>
          <cell r="D406" t="str">
            <v>716-2</v>
          </cell>
          <cell r="E406" t="str">
            <v>SPR8</v>
          </cell>
          <cell r="F406" t="str">
            <v>34368404A</v>
          </cell>
          <cell r="G406" t="str">
            <v>N/A</v>
          </cell>
          <cell r="H406" t="str">
            <v>102,48,49,50,51,3,8,76,103,12</v>
          </cell>
          <cell r="I406"/>
          <cell r="J406" t="str">
            <v>Laura Castillo</v>
          </cell>
          <cell r="K406">
            <v>44946</v>
          </cell>
          <cell r="L406" t="str">
            <v>Nohemi</v>
          </cell>
          <cell r="M406" t="str">
            <v>NO PASS</v>
          </cell>
          <cell r="N406" t="str">
            <v>CH34229751 A25</v>
          </cell>
        </row>
        <row r="407">
          <cell r="A407">
            <v>20230404</v>
          </cell>
          <cell r="B407">
            <v>44946</v>
          </cell>
          <cell r="C407">
            <v>1</v>
          </cell>
          <cell r="D407" t="str">
            <v>N/A</v>
          </cell>
          <cell r="E407" t="str">
            <v>N/A</v>
          </cell>
          <cell r="F407" t="str">
            <v>34138932F</v>
          </cell>
          <cell r="G407" t="str">
            <v>CAV 57-64</v>
          </cell>
          <cell r="H407" t="str">
            <v xml:space="preserve">Conforme al rip </v>
          </cell>
          <cell r="I407" t="str">
            <v>5 pcs</v>
          </cell>
          <cell r="J407" t="str">
            <v>Nuevos programas</v>
          </cell>
          <cell r="K407">
            <v>44946</v>
          </cell>
          <cell r="L407" t="str">
            <v xml:space="preserve">Adela </v>
          </cell>
          <cell r="M407" t="str">
            <v>NO PASS</v>
          </cell>
          <cell r="N407" t="str">
            <v>N/A</v>
          </cell>
        </row>
        <row r="408">
          <cell r="A408">
            <v>20230405</v>
          </cell>
          <cell r="B408">
            <v>44946</v>
          </cell>
          <cell r="C408">
            <v>1</v>
          </cell>
          <cell r="D408">
            <v>754</v>
          </cell>
          <cell r="E408" t="str">
            <v>N/A</v>
          </cell>
          <cell r="F408" t="str">
            <v>34160254D</v>
          </cell>
          <cell r="G408" t="str">
            <v>N/A</v>
          </cell>
          <cell r="H408" t="str">
            <v>1,2</v>
          </cell>
          <cell r="I408"/>
          <cell r="J408" t="str">
            <v>Javier Bautista</v>
          </cell>
          <cell r="K408">
            <v>44946</v>
          </cell>
          <cell r="L408" t="str">
            <v>Nohemi</v>
          </cell>
          <cell r="M408" t="str">
            <v>PASS</v>
          </cell>
          <cell r="N408" t="str">
            <v>CH34160246 A04</v>
          </cell>
        </row>
        <row r="409">
          <cell r="A409">
            <v>20230406</v>
          </cell>
          <cell r="B409">
            <v>44946</v>
          </cell>
          <cell r="C409">
            <v>3</v>
          </cell>
          <cell r="D409" t="str">
            <v>720-3</v>
          </cell>
          <cell r="E409" t="str">
            <v>SPR8</v>
          </cell>
          <cell r="F409" t="str">
            <v>34271009G</v>
          </cell>
          <cell r="G409" t="str">
            <v>N/A</v>
          </cell>
          <cell r="H409" t="str">
            <v>CONCENTRICIDAD</v>
          </cell>
          <cell r="I409"/>
          <cell r="J409" t="str">
            <v>Augusto rdz</v>
          </cell>
          <cell r="K409">
            <v>44946</v>
          </cell>
          <cell r="L409" t="str">
            <v>Abel</v>
          </cell>
          <cell r="M409" t="str">
            <v>PASS</v>
          </cell>
          <cell r="N409" t="str">
            <v>CONCENTRICIDAD</v>
          </cell>
        </row>
        <row r="410">
          <cell r="A410">
            <v>20230407</v>
          </cell>
          <cell r="B410">
            <v>44946</v>
          </cell>
          <cell r="C410">
            <v>3</v>
          </cell>
          <cell r="D410" t="str">
            <v>720-2</v>
          </cell>
          <cell r="E410" t="str">
            <v>SPR8</v>
          </cell>
          <cell r="F410" t="str">
            <v>34296437C</v>
          </cell>
          <cell r="G410" t="str">
            <v>N/A</v>
          </cell>
          <cell r="H410" t="str">
            <v>CONCENTRICIDAD</v>
          </cell>
          <cell r="I410"/>
          <cell r="J410" t="str">
            <v>Augusto rdz</v>
          </cell>
          <cell r="K410">
            <v>44946</v>
          </cell>
          <cell r="L410" t="str">
            <v>Abel</v>
          </cell>
          <cell r="M410" t="str">
            <v>PASS</v>
          </cell>
          <cell r="N410" t="str">
            <v>CONCENTRICIDAD</v>
          </cell>
        </row>
        <row r="411">
          <cell r="A411">
            <v>20230408</v>
          </cell>
          <cell r="B411">
            <v>44946</v>
          </cell>
          <cell r="C411">
            <v>3</v>
          </cell>
          <cell r="D411" t="str">
            <v>720-5</v>
          </cell>
          <cell r="E411" t="str">
            <v>SPR8</v>
          </cell>
          <cell r="F411" t="str">
            <v>34324759E</v>
          </cell>
          <cell r="G411" t="str">
            <v>N/A</v>
          </cell>
          <cell r="H411" t="str">
            <v>CONCENTRICIDAD</v>
          </cell>
          <cell r="I411"/>
          <cell r="J411" t="str">
            <v>Augusto rdz</v>
          </cell>
          <cell r="K411">
            <v>44946</v>
          </cell>
          <cell r="L411" t="str">
            <v>Abel</v>
          </cell>
          <cell r="M411" t="str">
            <v>PASS</v>
          </cell>
          <cell r="N411" t="str">
            <v>CONCENTRICIDAD</v>
          </cell>
        </row>
        <row r="412">
          <cell r="A412">
            <v>20230409</v>
          </cell>
          <cell r="B412">
            <v>44946</v>
          </cell>
          <cell r="C412">
            <v>3</v>
          </cell>
          <cell r="D412" t="str">
            <v>720-1</v>
          </cell>
          <cell r="E412" t="str">
            <v>SPR8</v>
          </cell>
          <cell r="F412" t="str">
            <v>34324759E</v>
          </cell>
          <cell r="G412" t="str">
            <v>N/A</v>
          </cell>
          <cell r="H412" t="str">
            <v>CONCENTRICIDAD</v>
          </cell>
          <cell r="I412"/>
          <cell r="J412" t="str">
            <v>Augusto rdz</v>
          </cell>
          <cell r="K412">
            <v>44946</v>
          </cell>
          <cell r="L412" t="str">
            <v>Abel</v>
          </cell>
          <cell r="M412" t="str">
            <v>PASS</v>
          </cell>
          <cell r="N412" t="str">
            <v>CONCENTRICIDAD</v>
          </cell>
        </row>
        <row r="413">
          <cell r="A413">
            <v>20230410</v>
          </cell>
          <cell r="B413">
            <v>44946</v>
          </cell>
          <cell r="C413">
            <v>3</v>
          </cell>
          <cell r="D413" t="str">
            <v>720-3</v>
          </cell>
          <cell r="E413" t="str">
            <v>SPR8</v>
          </cell>
          <cell r="F413" t="str">
            <v>34271009G</v>
          </cell>
          <cell r="G413" t="str">
            <v>N/A</v>
          </cell>
          <cell r="H413" t="str">
            <v>OVALIDAD</v>
          </cell>
          <cell r="I413"/>
          <cell r="J413" t="str">
            <v>Augusto rdz</v>
          </cell>
          <cell r="K413">
            <v>44946</v>
          </cell>
          <cell r="L413" t="str">
            <v>Abel</v>
          </cell>
          <cell r="M413" t="str">
            <v>PASS</v>
          </cell>
          <cell r="N413" t="str">
            <v>OVALIDAD</v>
          </cell>
        </row>
        <row r="414">
          <cell r="A414">
            <v>20230411</v>
          </cell>
          <cell r="B414">
            <v>44946</v>
          </cell>
          <cell r="C414">
            <v>3</v>
          </cell>
          <cell r="D414" t="str">
            <v>720-2</v>
          </cell>
          <cell r="E414" t="str">
            <v>SPR8</v>
          </cell>
          <cell r="F414" t="str">
            <v>34296437C</v>
          </cell>
          <cell r="G414" t="str">
            <v>N/A</v>
          </cell>
          <cell r="H414" t="str">
            <v>OVALIDAD</v>
          </cell>
          <cell r="I414"/>
          <cell r="J414" t="str">
            <v>Augusto rdz</v>
          </cell>
          <cell r="K414">
            <v>44946</v>
          </cell>
          <cell r="L414" t="str">
            <v>Abel</v>
          </cell>
          <cell r="M414" t="str">
            <v>PASS</v>
          </cell>
          <cell r="N414" t="str">
            <v>OVALIDAD</v>
          </cell>
        </row>
        <row r="415">
          <cell r="A415">
            <v>20230412</v>
          </cell>
          <cell r="B415">
            <v>44946</v>
          </cell>
          <cell r="C415">
            <v>3</v>
          </cell>
          <cell r="D415" t="str">
            <v>720-5</v>
          </cell>
          <cell r="E415" t="str">
            <v>SPR8</v>
          </cell>
          <cell r="F415" t="str">
            <v>34324759E</v>
          </cell>
          <cell r="G415" t="str">
            <v>N/A</v>
          </cell>
          <cell r="H415" t="str">
            <v>OVALIDAD</v>
          </cell>
          <cell r="I415"/>
          <cell r="J415" t="str">
            <v>Augusto rdz</v>
          </cell>
          <cell r="K415">
            <v>44946</v>
          </cell>
          <cell r="L415" t="str">
            <v>Abel</v>
          </cell>
          <cell r="M415" t="str">
            <v>PASS</v>
          </cell>
          <cell r="N415" t="str">
            <v>OVALIDAD</v>
          </cell>
        </row>
        <row r="416">
          <cell r="A416">
            <v>20230413</v>
          </cell>
          <cell r="B416">
            <v>44946</v>
          </cell>
          <cell r="C416">
            <v>3</v>
          </cell>
          <cell r="D416" t="str">
            <v>720-1</v>
          </cell>
          <cell r="E416" t="str">
            <v>SPR8</v>
          </cell>
          <cell r="F416" t="str">
            <v>34324759E</v>
          </cell>
          <cell r="G416" t="str">
            <v>N/A</v>
          </cell>
          <cell r="H416" t="str">
            <v>OVALIDAD</v>
          </cell>
          <cell r="I416"/>
          <cell r="J416" t="str">
            <v>Augusto rdz</v>
          </cell>
          <cell r="K416">
            <v>44946</v>
          </cell>
          <cell r="L416" t="str">
            <v>Abel</v>
          </cell>
          <cell r="M416" t="str">
            <v>PASS</v>
          </cell>
          <cell r="N416" t="str">
            <v>OVALIDAD</v>
          </cell>
        </row>
        <row r="417">
          <cell r="A417">
            <v>20230414</v>
          </cell>
          <cell r="B417">
            <v>44582</v>
          </cell>
          <cell r="C417"/>
          <cell r="D417" t="str">
            <v>720-2</v>
          </cell>
          <cell r="E417" t="str">
            <v>SPR8</v>
          </cell>
          <cell r="F417" t="str">
            <v>34235234G</v>
          </cell>
          <cell r="G417" t="str">
            <v>N/A</v>
          </cell>
          <cell r="H417" t="str">
            <v>CONCENTRICIDAD</v>
          </cell>
          <cell r="I417"/>
          <cell r="J417" t="str">
            <v>Gabriel Ramos</v>
          </cell>
          <cell r="K417">
            <v>44947</v>
          </cell>
          <cell r="L417" t="str">
            <v>Luis</v>
          </cell>
          <cell r="M417" t="str">
            <v>PASS</v>
          </cell>
          <cell r="N417" t="str">
            <v>CONCENTRICIDAD</v>
          </cell>
        </row>
        <row r="418">
          <cell r="A418">
            <v>20230415</v>
          </cell>
          <cell r="B418">
            <v>44582</v>
          </cell>
          <cell r="C418"/>
          <cell r="D418" t="str">
            <v>720-1</v>
          </cell>
          <cell r="E418" t="str">
            <v>SPR8</v>
          </cell>
          <cell r="F418" t="str">
            <v>34306788D</v>
          </cell>
          <cell r="G418" t="str">
            <v>N/A</v>
          </cell>
          <cell r="H418" t="str">
            <v>CONCENTRICIDAD</v>
          </cell>
          <cell r="I418"/>
          <cell r="J418" t="str">
            <v>Gabriel Ramos</v>
          </cell>
          <cell r="K418">
            <v>44947</v>
          </cell>
          <cell r="L418" t="str">
            <v>Luis</v>
          </cell>
          <cell r="M418" t="str">
            <v>PASS</v>
          </cell>
          <cell r="N418" t="str">
            <v>CONCENTRICIDAD</v>
          </cell>
        </row>
        <row r="419">
          <cell r="A419">
            <v>20230416</v>
          </cell>
          <cell r="B419">
            <v>44582</v>
          </cell>
          <cell r="C419"/>
          <cell r="D419" t="str">
            <v>720-5</v>
          </cell>
          <cell r="E419" t="str">
            <v>SPR8</v>
          </cell>
          <cell r="F419" t="str">
            <v>37324760D</v>
          </cell>
          <cell r="G419" t="str">
            <v>N/A</v>
          </cell>
          <cell r="H419" t="str">
            <v>CONCENTRICIDAD</v>
          </cell>
          <cell r="I419"/>
          <cell r="J419" t="str">
            <v>Gabriel Ramos</v>
          </cell>
          <cell r="K419">
            <v>44947</v>
          </cell>
          <cell r="L419" t="str">
            <v>Luis</v>
          </cell>
          <cell r="M419" t="str">
            <v>PASS</v>
          </cell>
          <cell r="N419" t="str">
            <v>CONCENTRICIDAD</v>
          </cell>
        </row>
        <row r="420">
          <cell r="A420">
            <v>20230417</v>
          </cell>
          <cell r="B420">
            <v>44582</v>
          </cell>
          <cell r="C420"/>
          <cell r="D420" t="str">
            <v>720-2</v>
          </cell>
          <cell r="E420" t="str">
            <v>SPR8</v>
          </cell>
          <cell r="F420" t="str">
            <v>34235234G</v>
          </cell>
          <cell r="G420" t="str">
            <v>N/A</v>
          </cell>
          <cell r="H420" t="str">
            <v>OVALIDAD</v>
          </cell>
          <cell r="I420"/>
          <cell r="J420" t="str">
            <v>Gabriel Ramos</v>
          </cell>
          <cell r="K420">
            <v>44947</v>
          </cell>
          <cell r="L420" t="str">
            <v>Luis</v>
          </cell>
          <cell r="M420" t="str">
            <v>PASS</v>
          </cell>
          <cell r="N420" t="str">
            <v>OVALIDAD</v>
          </cell>
        </row>
        <row r="421">
          <cell r="A421">
            <v>20230418</v>
          </cell>
          <cell r="B421">
            <v>44582</v>
          </cell>
          <cell r="C421"/>
          <cell r="D421" t="str">
            <v>720-1</v>
          </cell>
          <cell r="E421" t="str">
            <v>SPR8</v>
          </cell>
          <cell r="F421" t="str">
            <v>34306788D</v>
          </cell>
          <cell r="G421" t="str">
            <v>N/A</v>
          </cell>
          <cell r="H421" t="str">
            <v>OVALIDAD</v>
          </cell>
          <cell r="I421"/>
          <cell r="J421" t="str">
            <v>Gabriel Ramos</v>
          </cell>
          <cell r="K421">
            <v>44947</v>
          </cell>
          <cell r="L421" t="str">
            <v>Luis</v>
          </cell>
          <cell r="M421" t="str">
            <v>PASS</v>
          </cell>
          <cell r="N421" t="str">
            <v>OVALIDAD</v>
          </cell>
        </row>
        <row r="422">
          <cell r="A422">
            <v>20230419</v>
          </cell>
          <cell r="B422">
            <v>44582</v>
          </cell>
          <cell r="C422"/>
          <cell r="D422" t="str">
            <v>720-5</v>
          </cell>
          <cell r="E422" t="str">
            <v>SPR8</v>
          </cell>
          <cell r="F422" t="str">
            <v>37324760D</v>
          </cell>
          <cell r="G422" t="str">
            <v>N/A</v>
          </cell>
          <cell r="H422" t="str">
            <v>OVALIDAD</v>
          </cell>
          <cell r="I422"/>
          <cell r="J422" t="str">
            <v>Gabriel Ramos</v>
          </cell>
          <cell r="K422">
            <v>44947</v>
          </cell>
          <cell r="L422" t="str">
            <v>Luis</v>
          </cell>
          <cell r="M422" t="str">
            <v>PASS</v>
          </cell>
          <cell r="N422" t="str">
            <v>OVALIDAD</v>
          </cell>
        </row>
        <row r="423">
          <cell r="A423">
            <v>20230420</v>
          </cell>
          <cell r="B423">
            <v>44582</v>
          </cell>
          <cell r="C423">
            <v>3</v>
          </cell>
          <cell r="D423" t="str">
            <v>720-1</v>
          </cell>
          <cell r="E423" t="str">
            <v>SPR8</v>
          </cell>
          <cell r="F423" t="str">
            <v>34296437C</v>
          </cell>
          <cell r="G423" t="str">
            <v>N/A</v>
          </cell>
          <cell r="H423" t="str">
            <v>CONCENTRICIDAD</v>
          </cell>
          <cell r="I423">
            <v>12</v>
          </cell>
          <cell r="J423" t="str">
            <v>MAYRA HERNANDEZ</v>
          </cell>
          <cell r="K423">
            <v>44947</v>
          </cell>
          <cell r="L423" t="str">
            <v>Ernesto</v>
          </cell>
          <cell r="M423" t="str">
            <v>PASS</v>
          </cell>
          <cell r="N423" t="str">
            <v>CONCENTRICIDAD</v>
          </cell>
        </row>
        <row r="424">
          <cell r="A424">
            <v>20230421</v>
          </cell>
          <cell r="B424">
            <v>44582</v>
          </cell>
          <cell r="C424">
            <v>3</v>
          </cell>
          <cell r="D424" t="str">
            <v>720-1</v>
          </cell>
          <cell r="E424" t="str">
            <v>SPR8</v>
          </cell>
          <cell r="F424" t="str">
            <v>34296437C</v>
          </cell>
          <cell r="G424" t="str">
            <v>N/A</v>
          </cell>
          <cell r="H424" t="str">
            <v>OVALIDAD</v>
          </cell>
          <cell r="I424">
            <v>12</v>
          </cell>
          <cell r="J424" t="str">
            <v>MAYRA HERNANDEZ</v>
          </cell>
          <cell r="K424">
            <v>44947</v>
          </cell>
          <cell r="L424" t="str">
            <v>Ernesto</v>
          </cell>
          <cell r="M424" t="str">
            <v>PASS</v>
          </cell>
          <cell r="N424" t="str">
            <v>OVALIDAD</v>
          </cell>
        </row>
        <row r="425">
          <cell r="A425">
            <v>20230422</v>
          </cell>
          <cell r="B425">
            <v>44582</v>
          </cell>
          <cell r="C425">
            <v>3</v>
          </cell>
          <cell r="D425" t="str">
            <v>720-2</v>
          </cell>
          <cell r="E425" t="str">
            <v>SPR8</v>
          </cell>
          <cell r="F425" t="str">
            <v>34235231G</v>
          </cell>
          <cell r="G425" t="str">
            <v>N/A</v>
          </cell>
          <cell r="H425" t="str">
            <v>CONCENTRICIDAD</v>
          </cell>
          <cell r="I425">
            <v>12</v>
          </cell>
          <cell r="J425" t="str">
            <v>MAYRA HERNANDEZ</v>
          </cell>
          <cell r="K425">
            <v>44947</v>
          </cell>
          <cell r="L425" t="str">
            <v>Ernesto</v>
          </cell>
          <cell r="M425" t="str">
            <v>PASS</v>
          </cell>
          <cell r="N425" t="str">
            <v>CONCENTRICIDAD</v>
          </cell>
        </row>
        <row r="426">
          <cell r="A426">
            <v>20230423</v>
          </cell>
          <cell r="B426">
            <v>44582</v>
          </cell>
          <cell r="C426">
            <v>3</v>
          </cell>
          <cell r="D426" t="str">
            <v>720-2</v>
          </cell>
          <cell r="E426" t="str">
            <v>SPR8</v>
          </cell>
          <cell r="F426" t="str">
            <v>34235231G</v>
          </cell>
          <cell r="G426" t="str">
            <v>N/A</v>
          </cell>
          <cell r="H426" t="str">
            <v>OVALIDAD</v>
          </cell>
          <cell r="I426">
            <v>12</v>
          </cell>
          <cell r="J426" t="str">
            <v>MAYRA HERNANDEZ</v>
          </cell>
          <cell r="K426">
            <v>44947</v>
          </cell>
          <cell r="L426" t="str">
            <v>Ernesto</v>
          </cell>
          <cell r="M426" t="str">
            <v>PASS</v>
          </cell>
          <cell r="N426" t="str">
            <v>OVALIDAD</v>
          </cell>
        </row>
        <row r="427">
          <cell r="A427">
            <v>20230424</v>
          </cell>
          <cell r="B427">
            <v>44582</v>
          </cell>
          <cell r="C427">
            <v>3</v>
          </cell>
          <cell r="D427" t="str">
            <v>720-3</v>
          </cell>
          <cell r="E427" t="str">
            <v>SPR8</v>
          </cell>
          <cell r="F427" t="str">
            <v>34235233G</v>
          </cell>
          <cell r="G427" t="str">
            <v>N/A</v>
          </cell>
          <cell r="H427" t="str">
            <v>CONCENTRICIDAD</v>
          </cell>
          <cell r="I427">
            <v>18</v>
          </cell>
          <cell r="J427" t="str">
            <v>MAYRA HERNANDEZ</v>
          </cell>
          <cell r="K427">
            <v>44947</v>
          </cell>
          <cell r="L427" t="str">
            <v>Ernesto</v>
          </cell>
          <cell r="M427" t="str">
            <v>PASS</v>
          </cell>
          <cell r="N427" t="str">
            <v>CONCENTRICIDAD</v>
          </cell>
        </row>
        <row r="428">
          <cell r="A428">
            <v>20230425</v>
          </cell>
          <cell r="B428">
            <v>44582</v>
          </cell>
          <cell r="C428">
            <v>3</v>
          </cell>
          <cell r="D428" t="str">
            <v>720-3</v>
          </cell>
          <cell r="E428" t="str">
            <v>SPR8</v>
          </cell>
          <cell r="F428" t="str">
            <v>34235233G</v>
          </cell>
          <cell r="G428" t="str">
            <v>N/A</v>
          </cell>
          <cell r="H428" t="str">
            <v>OVALIDAD</v>
          </cell>
          <cell r="I428">
            <v>18</v>
          </cell>
          <cell r="J428" t="str">
            <v>MAYRA HERNANDEZ</v>
          </cell>
          <cell r="K428">
            <v>44947</v>
          </cell>
          <cell r="L428" t="str">
            <v>Ernesto</v>
          </cell>
          <cell r="M428" t="str">
            <v>PASS</v>
          </cell>
          <cell r="N428" t="str">
            <v>OVALIDAD</v>
          </cell>
        </row>
        <row r="429">
          <cell r="A429">
            <v>20230426</v>
          </cell>
          <cell r="B429">
            <v>44582</v>
          </cell>
          <cell r="C429">
            <v>3</v>
          </cell>
          <cell r="D429" t="str">
            <v>720-5</v>
          </cell>
          <cell r="E429" t="str">
            <v>SPR8</v>
          </cell>
          <cell r="F429" t="str">
            <v>34324759E</v>
          </cell>
          <cell r="G429" t="str">
            <v>N/A</v>
          </cell>
          <cell r="H429" t="str">
            <v>CONCENTRICIDAD</v>
          </cell>
          <cell r="I429">
            <v>12</v>
          </cell>
          <cell r="J429" t="str">
            <v>MAYRA HERNANDEZ</v>
          </cell>
          <cell r="K429">
            <v>44947</v>
          </cell>
          <cell r="L429" t="str">
            <v>Ernesto</v>
          </cell>
          <cell r="M429" t="str">
            <v>PASS</v>
          </cell>
          <cell r="N429" t="str">
            <v>CONCENTRICIDAD</v>
          </cell>
        </row>
        <row r="430">
          <cell r="A430">
            <v>20230427</v>
          </cell>
          <cell r="B430">
            <v>44582</v>
          </cell>
          <cell r="C430">
            <v>3</v>
          </cell>
          <cell r="D430" t="str">
            <v>720-5</v>
          </cell>
          <cell r="E430" t="str">
            <v>SPR8</v>
          </cell>
          <cell r="F430" t="str">
            <v>34324759E</v>
          </cell>
          <cell r="G430" t="str">
            <v>N/A</v>
          </cell>
          <cell r="H430" t="str">
            <v>OVALIDAD</v>
          </cell>
          <cell r="I430">
            <v>12</v>
          </cell>
          <cell r="J430" t="str">
            <v>MAYRA HERNANDEZ</v>
          </cell>
          <cell r="K430">
            <v>44947</v>
          </cell>
          <cell r="L430" t="str">
            <v>Ernesto</v>
          </cell>
          <cell r="M430" t="str">
            <v>PASS</v>
          </cell>
          <cell r="N430" t="str">
            <v>OVALIDAD</v>
          </cell>
        </row>
        <row r="431">
          <cell r="A431">
            <v>20230428</v>
          </cell>
          <cell r="B431">
            <v>44583</v>
          </cell>
          <cell r="C431">
            <v>1</v>
          </cell>
          <cell r="D431" t="str">
            <v>720-2</v>
          </cell>
          <cell r="E431" t="str">
            <v>SPR8</v>
          </cell>
          <cell r="F431" t="str">
            <v>34235231G</v>
          </cell>
          <cell r="G431" t="str">
            <v>N/A</v>
          </cell>
          <cell r="H431" t="str">
            <v>OVALIDAD</v>
          </cell>
          <cell r="I431"/>
          <cell r="J431" t="str">
            <v>Gabriel Ramos</v>
          </cell>
          <cell r="K431">
            <v>44948</v>
          </cell>
          <cell r="L431" t="str">
            <v>Gilberto</v>
          </cell>
          <cell r="M431" t="str">
            <v>PASS</v>
          </cell>
          <cell r="N431" t="str">
            <v>OVALIDAD</v>
          </cell>
        </row>
        <row r="432">
          <cell r="A432">
            <v>20230429</v>
          </cell>
          <cell r="B432">
            <v>44583</v>
          </cell>
          <cell r="C432">
            <v>1</v>
          </cell>
          <cell r="D432" t="str">
            <v>720-2</v>
          </cell>
          <cell r="E432" t="str">
            <v>SPR8</v>
          </cell>
          <cell r="F432" t="str">
            <v>34235231G</v>
          </cell>
          <cell r="G432" t="str">
            <v>N/A</v>
          </cell>
          <cell r="H432" t="str">
            <v>CONCENTRICIDAD</v>
          </cell>
          <cell r="I432"/>
          <cell r="J432" t="str">
            <v>Gabriel Ramos</v>
          </cell>
          <cell r="K432">
            <v>44948</v>
          </cell>
          <cell r="L432" t="str">
            <v>Gilberto</v>
          </cell>
          <cell r="M432" t="str">
            <v>PASS</v>
          </cell>
          <cell r="N432" t="str">
            <v>CONCENTRICIDAD</v>
          </cell>
        </row>
        <row r="433">
          <cell r="A433">
            <v>20230430</v>
          </cell>
          <cell r="B433">
            <v>44583</v>
          </cell>
          <cell r="C433">
            <v>1</v>
          </cell>
          <cell r="D433" t="str">
            <v>720-1</v>
          </cell>
          <cell r="E433" t="str">
            <v>SPR8</v>
          </cell>
          <cell r="F433" t="str">
            <v>34306788D</v>
          </cell>
          <cell r="G433" t="str">
            <v>N/A</v>
          </cell>
          <cell r="H433" t="str">
            <v>OVALIDAD</v>
          </cell>
          <cell r="I433"/>
          <cell r="J433" t="str">
            <v>Gabriel Ramos</v>
          </cell>
          <cell r="K433">
            <v>44948</v>
          </cell>
          <cell r="L433" t="str">
            <v>Gilberto</v>
          </cell>
          <cell r="M433" t="str">
            <v>PASS</v>
          </cell>
          <cell r="N433" t="str">
            <v>OVALIDAD</v>
          </cell>
        </row>
        <row r="434">
          <cell r="A434">
            <v>20230431</v>
          </cell>
          <cell r="B434">
            <v>44583</v>
          </cell>
          <cell r="C434">
            <v>1</v>
          </cell>
          <cell r="D434" t="str">
            <v>720-1</v>
          </cell>
          <cell r="E434" t="str">
            <v>SPR8</v>
          </cell>
          <cell r="F434" t="str">
            <v>34306788D</v>
          </cell>
          <cell r="G434" t="str">
            <v>N/A</v>
          </cell>
          <cell r="H434" t="str">
            <v>CONCENTRICIDAD</v>
          </cell>
          <cell r="I434"/>
          <cell r="J434" t="str">
            <v>Gabriel Ramos</v>
          </cell>
          <cell r="K434">
            <v>44948</v>
          </cell>
          <cell r="L434" t="str">
            <v>Gilberto</v>
          </cell>
          <cell r="M434" t="str">
            <v>PASS</v>
          </cell>
          <cell r="N434" t="str">
            <v>CONCENTRICIDAD</v>
          </cell>
        </row>
        <row r="435">
          <cell r="A435">
            <v>20230432</v>
          </cell>
          <cell r="B435">
            <v>44583</v>
          </cell>
          <cell r="C435">
            <v>1</v>
          </cell>
          <cell r="D435" t="str">
            <v>720-5</v>
          </cell>
          <cell r="E435" t="str">
            <v>SPR8</v>
          </cell>
          <cell r="F435" t="str">
            <v>34324759E</v>
          </cell>
          <cell r="G435" t="str">
            <v>N/A</v>
          </cell>
          <cell r="H435" t="str">
            <v>OVALIDAD</v>
          </cell>
          <cell r="I435"/>
          <cell r="J435" t="str">
            <v>Gabriel Ramos</v>
          </cell>
          <cell r="K435">
            <v>44948</v>
          </cell>
          <cell r="L435" t="str">
            <v>Gilberto</v>
          </cell>
          <cell r="M435" t="str">
            <v>PASS</v>
          </cell>
          <cell r="N435" t="str">
            <v>OVALIDAD</v>
          </cell>
        </row>
        <row r="436">
          <cell r="A436">
            <v>20230433</v>
          </cell>
          <cell r="B436">
            <v>44583</v>
          </cell>
          <cell r="C436">
            <v>1</v>
          </cell>
          <cell r="D436" t="str">
            <v>720-5</v>
          </cell>
          <cell r="E436" t="str">
            <v>SPR8</v>
          </cell>
          <cell r="F436" t="str">
            <v>34324759E</v>
          </cell>
          <cell r="G436" t="str">
            <v>N/A</v>
          </cell>
          <cell r="H436" t="str">
            <v>OVALIDAD</v>
          </cell>
          <cell r="I436"/>
          <cell r="J436" t="str">
            <v>Gabriel Ramos</v>
          </cell>
          <cell r="K436">
            <v>44948</v>
          </cell>
          <cell r="L436" t="str">
            <v>Gilberto</v>
          </cell>
          <cell r="M436" t="str">
            <v>PASS</v>
          </cell>
          <cell r="N436" t="str">
            <v>CONCENTRICIDAD</v>
          </cell>
        </row>
        <row r="437">
          <cell r="A437">
            <v>20230434</v>
          </cell>
          <cell r="B437">
            <v>44583</v>
          </cell>
          <cell r="C437">
            <v>3</v>
          </cell>
          <cell r="D437" t="str">
            <v>720-5</v>
          </cell>
          <cell r="E437" t="str">
            <v>SPR8</v>
          </cell>
          <cell r="F437" t="str">
            <v>34324759E</v>
          </cell>
          <cell r="G437" t="str">
            <v>N/A</v>
          </cell>
          <cell r="H437" t="str">
            <v>CONCENTRICIDAD</v>
          </cell>
          <cell r="I437"/>
          <cell r="J437" t="str">
            <v>Augusto Rdz</v>
          </cell>
          <cell r="K437">
            <v>44948</v>
          </cell>
          <cell r="L437" t="str">
            <v>Carlos</v>
          </cell>
          <cell r="M437" t="str">
            <v>PASS</v>
          </cell>
          <cell r="N437" t="str">
            <v>CONCENTRICIDAD</v>
          </cell>
        </row>
        <row r="438">
          <cell r="A438">
            <v>20230435</v>
          </cell>
          <cell r="B438">
            <v>44949</v>
          </cell>
          <cell r="C438">
            <v>3</v>
          </cell>
          <cell r="D438" t="str">
            <v>720-1</v>
          </cell>
          <cell r="E438" t="str">
            <v>SPR8</v>
          </cell>
          <cell r="F438" t="str">
            <v>34324760D</v>
          </cell>
          <cell r="G438" t="str">
            <v>N/A</v>
          </cell>
          <cell r="H438" t="str">
            <v>CONCENTRICIDAD</v>
          </cell>
          <cell r="I438"/>
          <cell r="J438" t="str">
            <v>Augusto Rdz</v>
          </cell>
          <cell r="K438">
            <v>44948</v>
          </cell>
          <cell r="L438" t="str">
            <v>Carlos</v>
          </cell>
          <cell r="M438" t="str">
            <v>PASS</v>
          </cell>
          <cell r="N438" t="str">
            <v>CONCENTRICIDAD</v>
          </cell>
        </row>
        <row r="439">
          <cell r="A439">
            <v>20230436</v>
          </cell>
          <cell r="B439">
            <v>44583</v>
          </cell>
          <cell r="C439">
            <v>3</v>
          </cell>
          <cell r="D439" t="str">
            <v>720-5</v>
          </cell>
          <cell r="E439" t="str">
            <v>SPR8</v>
          </cell>
          <cell r="F439" t="str">
            <v>34324759E</v>
          </cell>
          <cell r="G439" t="str">
            <v>N/A</v>
          </cell>
          <cell r="H439" t="str">
            <v>OVALIDAD</v>
          </cell>
          <cell r="I439"/>
          <cell r="J439" t="str">
            <v>Augusto Rdz</v>
          </cell>
          <cell r="K439">
            <v>44948</v>
          </cell>
          <cell r="L439" t="str">
            <v>Carlos</v>
          </cell>
          <cell r="M439" t="str">
            <v>PASS</v>
          </cell>
          <cell r="N439" t="str">
            <v>OVALIDAD</v>
          </cell>
        </row>
        <row r="440">
          <cell r="A440">
            <v>20230437</v>
          </cell>
          <cell r="B440">
            <v>44949</v>
          </cell>
          <cell r="C440">
            <v>3</v>
          </cell>
          <cell r="D440" t="str">
            <v>720-1</v>
          </cell>
          <cell r="E440" t="str">
            <v>SPR8</v>
          </cell>
          <cell r="F440" t="str">
            <v>34324760D</v>
          </cell>
          <cell r="G440" t="str">
            <v>N/A</v>
          </cell>
          <cell r="H440" t="str">
            <v>OVALIDAD</v>
          </cell>
          <cell r="I440"/>
          <cell r="J440" t="str">
            <v>Augusto Rdz</v>
          </cell>
          <cell r="K440">
            <v>44948</v>
          </cell>
          <cell r="L440" t="str">
            <v>Carlos</v>
          </cell>
          <cell r="M440" t="str">
            <v>PASS</v>
          </cell>
          <cell r="N440" t="str">
            <v>OVALIDAD</v>
          </cell>
        </row>
        <row r="441">
          <cell r="A441">
            <v>20230438</v>
          </cell>
          <cell r="B441">
            <v>44949</v>
          </cell>
          <cell r="C441">
            <v>1</v>
          </cell>
          <cell r="D441" t="str">
            <v>N/A</v>
          </cell>
          <cell r="E441" t="str">
            <v>N/A</v>
          </cell>
          <cell r="F441" t="str">
            <v>34339421A</v>
          </cell>
          <cell r="G441">
            <v>13259430</v>
          </cell>
          <cell r="H441" t="str">
            <v>1 2 3 4 5 6 7 8 9 12 6</v>
          </cell>
          <cell r="I441"/>
          <cell r="J441" t="str">
            <v>MARIA SUSTAITA</v>
          </cell>
          <cell r="K441">
            <v>44949</v>
          </cell>
          <cell r="L441" t="str">
            <v>MAURICIO</v>
          </cell>
          <cell r="M441" t="str">
            <v>NO PASS</v>
          </cell>
          <cell r="N441" t="str">
            <v>PLANO MARCADO</v>
          </cell>
        </row>
        <row r="442">
          <cell r="A442">
            <v>20230439</v>
          </cell>
          <cell r="B442">
            <v>44949</v>
          </cell>
          <cell r="C442">
            <v>1</v>
          </cell>
          <cell r="D442">
            <v>532</v>
          </cell>
          <cell r="E442" t="str">
            <v>N/A</v>
          </cell>
          <cell r="F442" t="str">
            <v>ZF-08515-231675-1</v>
          </cell>
          <cell r="G442" t="str">
            <v>N/A</v>
          </cell>
          <cell r="H442" t="str">
            <v>DIAMETRO</v>
          </cell>
          <cell r="I442"/>
          <cell r="J442" t="str">
            <v>Raul Hernandez</v>
          </cell>
          <cell r="K442">
            <v>44949</v>
          </cell>
          <cell r="L442" t="str">
            <v>MAURICIO</v>
          </cell>
          <cell r="M442" t="str">
            <v>PASS</v>
          </cell>
          <cell r="N442" t="str">
            <v>PLANO MARCADO</v>
          </cell>
        </row>
        <row r="443">
          <cell r="A443">
            <v>20230440</v>
          </cell>
          <cell r="B443">
            <v>44949</v>
          </cell>
          <cell r="C443">
            <v>1</v>
          </cell>
          <cell r="D443" t="str">
            <v>701-B</v>
          </cell>
          <cell r="E443" t="str">
            <v>T1XX</v>
          </cell>
          <cell r="F443" t="str">
            <v>34240518E</v>
          </cell>
          <cell r="G443" t="str">
            <v>N/A</v>
          </cell>
          <cell r="H443" t="str">
            <v>46,51,52,58</v>
          </cell>
          <cell r="I443"/>
          <cell r="J443" t="str">
            <v>Yesenia Venegas</v>
          </cell>
          <cell r="K443">
            <v>44949</v>
          </cell>
          <cell r="L443" t="str">
            <v>Nohemi</v>
          </cell>
          <cell r="M443" t="str">
            <v>PASS</v>
          </cell>
          <cell r="N443" t="str">
            <v>CH34246232 A26</v>
          </cell>
        </row>
        <row r="444">
          <cell r="A444">
            <v>20230441</v>
          </cell>
          <cell r="B444">
            <v>44949</v>
          </cell>
          <cell r="C444">
            <v>1</v>
          </cell>
          <cell r="D444" t="str">
            <v>716-2</v>
          </cell>
          <cell r="E444" t="str">
            <v>SPR8</v>
          </cell>
          <cell r="F444" t="str">
            <v>34368404A</v>
          </cell>
          <cell r="G444" t="str">
            <v>N/A</v>
          </cell>
          <cell r="H444" t="str">
            <v>102,48,49,50,51,3,8,76,12</v>
          </cell>
          <cell r="I444"/>
          <cell r="J444" t="str">
            <v>Laura Castillo</v>
          </cell>
          <cell r="K444">
            <v>44949</v>
          </cell>
          <cell r="L444" t="str">
            <v>Nohemi</v>
          </cell>
          <cell r="M444" t="str">
            <v>NO PASS</v>
          </cell>
          <cell r="N444" t="str">
            <v>CH34229751 A25</v>
          </cell>
        </row>
        <row r="445">
          <cell r="A445">
            <v>20230442</v>
          </cell>
          <cell r="B445">
            <v>44949</v>
          </cell>
          <cell r="C445">
            <v>1</v>
          </cell>
          <cell r="D445" t="str">
            <v>716-3</v>
          </cell>
          <cell r="E445" t="str">
            <v>SPR8</v>
          </cell>
          <cell r="F445" t="str">
            <v>34359245B</v>
          </cell>
          <cell r="G445" t="str">
            <v>N/A</v>
          </cell>
          <cell r="H445" t="str">
            <v>102,49,50,51,3,8,76,104,12</v>
          </cell>
          <cell r="I445"/>
          <cell r="J445" t="str">
            <v>Javier Bautista</v>
          </cell>
          <cell r="K445">
            <v>44949</v>
          </cell>
          <cell r="L445" t="str">
            <v>Nohemi</v>
          </cell>
          <cell r="M445" t="str">
            <v>NO PASS</v>
          </cell>
          <cell r="N445" t="str">
            <v>CH34229751 A25</v>
          </cell>
        </row>
        <row r="446">
          <cell r="A446">
            <v>20230443</v>
          </cell>
          <cell r="B446">
            <v>44949</v>
          </cell>
          <cell r="C446">
            <v>1</v>
          </cell>
          <cell r="D446" t="str">
            <v>716-2</v>
          </cell>
          <cell r="E446" t="str">
            <v>SPR8</v>
          </cell>
          <cell r="F446" t="str">
            <v>34285576C</v>
          </cell>
          <cell r="G446" t="str">
            <v>N/A</v>
          </cell>
          <cell r="H446" t="str">
            <v>102,48,49,50,51,3,8,76,12</v>
          </cell>
          <cell r="I446"/>
          <cell r="J446" t="str">
            <v>Laura Castillo</v>
          </cell>
          <cell r="K446">
            <v>44949</v>
          </cell>
          <cell r="L446" t="str">
            <v>Nohemi</v>
          </cell>
          <cell r="M446" t="str">
            <v>NO PASS</v>
          </cell>
          <cell r="N446" t="str">
            <v>CH34229751 A25</v>
          </cell>
        </row>
        <row r="447">
          <cell r="A447">
            <v>20230444</v>
          </cell>
          <cell r="B447">
            <v>44949</v>
          </cell>
          <cell r="C447">
            <v>1</v>
          </cell>
          <cell r="D447" t="str">
            <v>N/A</v>
          </cell>
          <cell r="E447" t="str">
            <v>N/A</v>
          </cell>
          <cell r="F447" t="str">
            <v>34091179B</v>
          </cell>
          <cell r="G447" t="str">
            <v>TBM2220</v>
          </cell>
          <cell r="H447" t="str">
            <v xml:space="preserve">Conforme al rip </v>
          </cell>
          <cell r="I447" t="str">
            <v>5 pcs</v>
          </cell>
          <cell r="J447" t="str">
            <v>Nuevos programas</v>
          </cell>
          <cell r="K447">
            <v>44949</v>
          </cell>
          <cell r="L447" t="str">
            <v xml:space="preserve">Adela </v>
          </cell>
          <cell r="M447" t="str">
            <v>PASS</v>
          </cell>
          <cell r="N447" t="str">
            <v>N/A</v>
          </cell>
        </row>
        <row r="448">
          <cell r="A448">
            <v>20230445</v>
          </cell>
          <cell r="B448">
            <v>44949</v>
          </cell>
          <cell r="C448">
            <v>1</v>
          </cell>
          <cell r="D448" t="str">
            <v>716-2</v>
          </cell>
          <cell r="E448" t="str">
            <v>U725</v>
          </cell>
          <cell r="F448" t="str">
            <v>34356608B</v>
          </cell>
          <cell r="G448" t="str">
            <v>N/A</v>
          </cell>
          <cell r="H448" t="str">
            <v>3,76,8,49,50,51,102,103,12,104</v>
          </cell>
          <cell r="I448"/>
          <cell r="J448" t="str">
            <v>Javier Bautista</v>
          </cell>
          <cell r="K448">
            <v>44949</v>
          </cell>
          <cell r="L448" t="str">
            <v>Nohemi</v>
          </cell>
          <cell r="M448" t="str">
            <v>NO PASS</v>
          </cell>
          <cell r="N448" t="str">
            <v>CH34229751 A25</v>
          </cell>
        </row>
        <row r="449">
          <cell r="A449">
            <v>20230446</v>
          </cell>
          <cell r="B449">
            <v>44949</v>
          </cell>
          <cell r="C449">
            <v>1</v>
          </cell>
          <cell r="D449" t="str">
            <v>701-A</v>
          </cell>
          <cell r="E449" t="str">
            <v>T1XX</v>
          </cell>
          <cell r="F449" t="str">
            <v>34327910A</v>
          </cell>
          <cell r="G449" t="str">
            <v>N/A</v>
          </cell>
          <cell r="H449" t="str">
            <v>11,26</v>
          </cell>
          <cell r="I449"/>
          <cell r="J449" t="str">
            <v>Yesenia Venegas</v>
          </cell>
          <cell r="K449">
            <v>44949</v>
          </cell>
          <cell r="L449" t="str">
            <v>Nohemi</v>
          </cell>
          <cell r="M449" t="str">
            <v>PASS</v>
          </cell>
          <cell r="N449" t="str">
            <v>CH34301418 A08</v>
          </cell>
        </row>
        <row r="450">
          <cell r="A450">
            <v>20230447</v>
          </cell>
          <cell r="B450">
            <v>44949</v>
          </cell>
          <cell r="C450">
            <v>1</v>
          </cell>
          <cell r="D450" t="str">
            <v>701-A</v>
          </cell>
          <cell r="E450" t="str">
            <v>T1XX</v>
          </cell>
          <cell r="F450" t="str">
            <v>34193430A</v>
          </cell>
          <cell r="G450" t="str">
            <v>N/A</v>
          </cell>
          <cell r="H450" t="str">
            <v>2,5,7,14</v>
          </cell>
          <cell r="I450"/>
          <cell r="J450" t="str">
            <v>Yesenia Venegas</v>
          </cell>
          <cell r="K450">
            <v>44949</v>
          </cell>
          <cell r="L450" t="str">
            <v>Nohemi</v>
          </cell>
          <cell r="M450" t="str">
            <v>PASS</v>
          </cell>
          <cell r="N450" t="str">
            <v>CH34175873 A37</v>
          </cell>
        </row>
        <row r="451">
          <cell r="A451">
            <v>20230448</v>
          </cell>
          <cell r="B451">
            <v>44949</v>
          </cell>
          <cell r="C451">
            <v>1</v>
          </cell>
          <cell r="D451" t="str">
            <v>N/A</v>
          </cell>
          <cell r="E451" t="str">
            <v>N/A</v>
          </cell>
          <cell r="F451" t="str">
            <v>34155939ASRG</v>
          </cell>
          <cell r="G451" t="str">
            <v>C302215AM</v>
          </cell>
          <cell r="H451" t="str">
            <v xml:space="preserve">Conforme al rip </v>
          </cell>
          <cell r="I451" t="str">
            <v>5 pcs</v>
          </cell>
          <cell r="J451" t="str">
            <v>Nuevos programas</v>
          </cell>
          <cell r="K451">
            <v>44949</v>
          </cell>
          <cell r="L451" t="str">
            <v xml:space="preserve">Adela </v>
          </cell>
          <cell r="M451" t="str">
            <v>PASS</v>
          </cell>
          <cell r="N451" t="str">
            <v>N/A</v>
          </cell>
        </row>
        <row r="452">
          <cell r="A452">
            <v>20230449</v>
          </cell>
          <cell r="B452">
            <v>44949</v>
          </cell>
          <cell r="C452">
            <v>1</v>
          </cell>
          <cell r="D452" t="str">
            <v>720-6</v>
          </cell>
          <cell r="E452" t="str">
            <v>SPR8</v>
          </cell>
          <cell r="F452" t="str">
            <v>A020R620A</v>
          </cell>
          <cell r="G452" t="str">
            <v>N/A</v>
          </cell>
          <cell r="H452" t="str">
            <v>CONCENTRICIDAD</v>
          </cell>
          <cell r="I452"/>
          <cell r="J452" t="str">
            <v>EVELYN ESTUDILLO</v>
          </cell>
          <cell r="K452">
            <v>44949</v>
          </cell>
          <cell r="L452" t="str">
            <v>MAURICIO</v>
          </cell>
          <cell r="M452" t="str">
            <v>PASS</v>
          </cell>
          <cell r="N452" t="str">
            <v>CONCENTRICIDAD</v>
          </cell>
        </row>
        <row r="453">
          <cell r="A453">
            <v>20230450</v>
          </cell>
          <cell r="B453">
            <v>44949</v>
          </cell>
          <cell r="C453">
            <v>1</v>
          </cell>
          <cell r="D453" t="str">
            <v>720-4</v>
          </cell>
          <cell r="E453" t="str">
            <v>SPR8</v>
          </cell>
          <cell r="F453" t="str">
            <v>34309473B</v>
          </cell>
          <cell r="G453" t="str">
            <v>N/A</v>
          </cell>
          <cell r="H453" t="str">
            <v>CONCENTRICIDAD</v>
          </cell>
          <cell r="I453"/>
          <cell r="J453" t="str">
            <v>EVELYN ESTUDILLO</v>
          </cell>
          <cell r="K453">
            <v>44949</v>
          </cell>
          <cell r="L453" t="str">
            <v>MAURICIO</v>
          </cell>
          <cell r="M453" t="str">
            <v>PASS</v>
          </cell>
          <cell r="N453" t="str">
            <v>CONCENTRICIDAD</v>
          </cell>
        </row>
        <row r="454">
          <cell r="A454">
            <v>20230451</v>
          </cell>
          <cell r="B454">
            <v>44949</v>
          </cell>
          <cell r="C454">
            <v>1</v>
          </cell>
          <cell r="D454" t="str">
            <v>720-5</v>
          </cell>
          <cell r="E454" t="str">
            <v>SPR8</v>
          </cell>
          <cell r="F454" t="str">
            <v>34327672C</v>
          </cell>
          <cell r="G454" t="str">
            <v>N/A</v>
          </cell>
          <cell r="H454" t="str">
            <v>CONCENTRICIDAD</v>
          </cell>
          <cell r="I454"/>
          <cell r="J454" t="str">
            <v>EVELYN ESTUDILLO</v>
          </cell>
          <cell r="K454">
            <v>44949</v>
          </cell>
          <cell r="L454" t="str">
            <v>MAURICIO</v>
          </cell>
          <cell r="M454" t="str">
            <v>PASS</v>
          </cell>
          <cell r="N454" t="str">
            <v>CONCENTRICIDAD</v>
          </cell>
        </row>
        <row r="455">
          <cell r="A455">
            <v>20230452</v>
          </cell>
          <cell r="B455">
            <v>44949</v>
          </cell>
          <cell r="C455">
            <v>1</v>
          </cell>
          <cell r="D455" t="str">
            <v>720-2</v>
          </cell>
          <cell r="E455" t="str">
            <v>SPR8</v>
          </cell>
          <cell r="F455" t="str">
            <v>34235231G</v>
          </cell>
          <cell r="G455" t="str">
            <v>N/A</v>
          </cell>
          <cell r="H455" t="str">
            <v>CONCENTRICIDAD</v>
          </cell>
          <cell r="I455"/>
          <cell r="J455" t="str">
            <v>EVELYN ESTUDILLO</v>
          </cell>
          <cell r="K455">
            <v>44949</v>
          </cell>
          <cell r="L455" t="str">
            <v>MAURICIO</v>
          </cell>
          <cell r="M455" t="str">
            <v>PASS</v>
          </cell>
          <cell r="N455" t="str">
            <v>CONCENTRICIDAD</v>
          </cell>
        </row>
        <row r="456">
          <cell r="A456">
            <v>20230453</v>
          </cell>
          <cell r="B456">
            <v>44949</v>
          </cell>
          <cell r="C456">
            <v>1</v>
          </cell>
          <cell r="D456" t="str">
            <v>720-1</v>
          </cell>
          <cell r="E456" t="str">
            <v>SPR8</v>
          </cell>
          <cell r="F456" t="str">
            <v>34324760D</v>
          </cell>
          <cell r="G456" t="str">
            <v>N/A</v>
          </cell>
          <cell r="H456" t="str">
            <v>CONCENTRICIDAD</v>
          </cell>
          <cell r="I456"/>
          <cell r="J456" t="str">
            <v>EVELYN ESTUDILLO</v>
          </cell>
          <cell r="K456">
            <v>44949</v>
          </cell>
          <cell r="L456" t="str">
            <v>MAURICIO</v>
          </cell>
          <cell r="M456" t="str">
            <v>PASS</v>
          </cell>
          <cell r="N456" t="str">
            <v>CONCENTRICIDAD</v>
          </cell>
        </row>
        <row r="457">
          <cell r="A457">
            <v>20230454</v>
          </cell>
          <cell r="B457">
            <v>44949</v>
          </cell>
          <cell r="C457">
            <v>1</v>
          </cell>
          <cell r="D457" t="str">
            <v>720-3</v>
          </cell>
          <cell r="E457" t="str">
            <v>SPR8</v>
          </cell>
          <cell r="F457" t="str">
            <v>34235233G</v>
          </cell>
          <cell r="G457" t="str">
            <v>N/A</v>
          </cell>
          <cell r="H457" t="str">
            <v>CONCENTRICIDAD</v>
          </cell>
          <cell r="I457"/>
          <cell r="J457" t="str">
            <v>EVELYN ESTUDILLO</v>
          </cell>
          <cell r="K457">
            <v>44949</v>
          </cell>
          <cell r="L457" t="str">
            <v>MAURICIO</v>
          </cell>
          <cell r="M457" t="str">
            <v>PASS</v>
          </cell>
          <cell r="N457" t="str">
            <v>CONCENTRICIDAD</v>
          </cell>
        </row>
        <row r="458">
          <cell r="A458">
            <v>20230455</v>
          </cell>
          <cell r="B458">
            <v>44949</v>
          </cell>
          <cell r="C458">
            <v>1</v>
          </cell>
          <cell r="D458" t="str">
            <v>720-6</v>
          </cell>
          <cell r="E458" t="str">
            <v>SPR8</v>
          </cell>
          <cell r="F458" t="str">
            <v>A020R620A</v>
          </cell>
          <cell r="G458" t="str">
            <v>N/A</v>
          </cell>
          <cell r="H458" t="str">
            <v>OVALIDAD</v>
          </cell>
          <cell r="I458"/>
          <cell r="J458" t="str">
            <v>EVELYN ESTUDILLO</v>
          </cell>
          <cell r="K458">
            <v>44949</v>
          </cell>
          <cell r="L458" t="str">
            <v>MAURICIO</v>
          </cell>
          <cell r="M458" t="str">
            <v>PASS</v>
          </cell>
          <cell r="N458" t="str">
            <v>OVALIDAD</v>
          </cell>
        </row>
        <row r="459">
          <cell r="A459">
            <v>20230456</v>
          </cell>
          <cell r="B459">
            <v>44949</v>
          </cell>
          <cell r="C459">
            <v>1</v>
          </cell>
          <cell r="D459" t="str">
            <v>720-4</v>
          </cell>
          <cell r="E459" t="str">
            <v>SPR8</v>
          </cell>
          <cell r="F459" t="str">
            <v>34309473B</v>
          </cell>
          <cell r="G459" t="str">
            <v>N/A</v>
          </cell>
          <cell r="H459" t="str">
            <v>OVALIDAD</v>
          </cell>
          <cell r="I459"/>
          <cell r="J459" t="str">
            <v>EVELYN ESTUDILLO</v>
          </cell>
          <cell r="K459">
            <v>44949</v>
          </cell>
          <cell r="L459" t="str">
            <v>MAURICIO</v>
          </cell>
          <cell r="M459" t="str">
            <v>PASS</v>
          </cell>
          <cell r="N459" t="str">
            <v>OVALIDAD</v>
          </cell>
        </row>
        <row r="460">
          <cell r="A460">
            <v>20230457</v>
          </cell>
          <cell r="B460">
            <v>44949</v>
          </cell>
          <cell r="C460">
            <v>1</v>
          </cell>
          <cell r="D460" t="str">
            <v>720-5</v>
          </cell>
          <cell r="E460" t="str">
            <v>SPR8</v>
          </cell>
          <cell r="F460" t="str">
            <v>34327672C</v>
          </cell>
          <cell r="G460" t="str">
            <v>N/A</v>
          </cell>
          <cell r="H460" t="str">
            <v>OVALIDAD</v>
          </cell>
          <cell r="I460"/>
          <cell r="J460" t="str">
            <v>EVELYN ESTUDILLO</v>
          </cell>
          <cell r="K460">
            <v>44949</v>
          </cell>
          <cell r="L460" t="str">
            <v>MAURICIO</v>
          </cell>
          <cell r="M460" t="str">
            <v>PASS</v>
          </cell>
          <cell r="N460" t="str">
            <v>OVALIDAD</v>
          </cell>
        </row>
        <row r="461">
          <cell r="A461">
            <v>20230458</v>
          </cell>
          <cell r="B461">
            <v>44949</v>
          </cell>
          <cell r="C461">
            <v>1</v>
          </cell>
          <cell r="D461" t="str">
            <v>720-2</v>
          </cell>
          <cell r="E461" t="str">
            <v>SPR8</v>
          </cell>
          <cell r="F461" t="str">
            <v>34235231G</v>
          </cell>
          <cell r="G461" t="str">
            <v>N/A</v>
          </cell>
          <cell r="H461" t="str">
            <v>OVALIDAD</v>
          </cell>
          <cell r="I461"/>
          <cell r="J461" t="str">
            <v>EVELYN ESTUDILLO</v>
          </cell>
          <cell r="K461">
            <v>44949</v>
          </cell>
          <cell r="L461" t="str">
            <v>MAURICIO</v>
          </cell>
          <cell r="M461" t="str">
            <v>PASS</v>
          </cell>
          <cell r="N461" t="str">
            <v>OVALIDAD</v>
          </cell>
        </row>
        <row r="462">
          <cell r="A462">
            <v>20230459</v>
          </cell>
          <cell r="B462">
            <v>44949</v>
          </cell>
          <cell r="C462">
            <v>1</v>
          </cell>
          <cell r="D462" t="str">
            <v>720-1</v>
          </cell>
          <cell r="E462" t="str">
            <v>SPR8</v>
          </cell>
          <cell r="F462" t="str">
            <v>34324760D</v>
          </cell>
          <cell r="G462" t="str">
            <v>N/A</v>
          </cell>
          <cell r="H462" t="str">
            <v>OVALIDAD</v>
          </cell>
          <cell r="I462"/>
          <cell r="J462" t="str">
            <v>EVELYN ESTUDILLO</v>
          </cell>
          <cell r="K462">
            <v>44949</v>
          </cell>
          <cell r="L462" t="str">
            <v>MAURICIO</v>
          </cell>
          <cell r="M462" t="str">
            <v>PASS</v>
          </cell>
          <cell r="N462" t="str">
            <v>OVALIDAD</v>
          </cell>
        </row>
        <row r="463">
          <cell r="A463">
            <v>20230460</v>
          </cell>
          <cell r="B463">
            <v>44949</v>
          </cell>
          <cell r="C463">
            <v>1</v>
          </cell>
          <cell r="D463" t="str">
            <v>720-3</v>
          </cell>
          <cell r="E463" t="str">
            <v>SPR8</v>
          </cell>
          <cell r="F463" t="str">
            <v>34235233G</v>
          </cell>
          <cell r="G463" t="str">
            <v>N/A</v>
          </cell>
          <cell r="H463" t="str">
            <v>OVALIDAD</v>
          </cell>
          <cell r="I463"/>
          <cell r="J463" t="str">
            <v>EVELYN ESTUDILLO</v>
          </cell>
          <cell r="K463">
            <v>44949</v>
          </cell>
          <cell r="L463" t="str">
            <v>MAURICIO</v>
          </cell>
          <cell r="M463" t="str">
            <v>PASS</v>
          </cell>
          <cell r="N463" t="str">
            <v>OVALIDAD</v>
          </cell>
        </row>
        <row r="464">
          <cell r="A464">
            <v>20230461</v>
          </cell>
          <cell r="B464">
            <v>44949</v>
          </cell>
          <cell r="C464"/>
          <cell r="D464" t="str">
            <v>720-1</v>
          </cell>
          <cell r="E464" t="str">
            <v>SPR8</v>
          </cell>
          <cell r="F464" t="str">
            <v>34346842C</v>
          </cell>
          <cell r="G464" t="str">
            <v>N/A</v>
          </cell>
          <cell r="H464" t="str">
            <v>CONCENTRICIDAD</v>
          </cell>
          <cell r="I464"/>
          <cell r="J464" t="str">
            <v>EVELYN ESTUDILLO</v>
          </cell>
          <cell r="K464">
            <v>44949</v>
          </cell>
          <cell r="L464" t="str">
            <v>LUIS</v>
          </cell>
          <cell r="M464" t="str">
            <v>PASS</v>
          </cell>
          <cell r="N464" t="str">
            <v>CONCENTRICIDAD</v>
          </cell>
        </row>
        <row r="465">
          <cell r="A465">
            <v>20230462</v>
          </cell>
          <cell r="B465">
            <v>44949</v>
          </cell>
          <cell r="C465"/>
          <cell r="D465" t="str">
            <v>720-1</v>
          </cell>
          <cell r="E465" t="str">
            <v>SPR8</v>
          </cell>
          <cell r="F465" t="str">
            <v>34346842C</v>
          </cell>
          <cell r="G465" t="str">
            <v>N/A</v>
          </cell>
          <cell r="H465" t="str">
            <v>OVALIDAD</v>
          </cell>
          <cell r="I465"/>
          <cell r="J465" t="str">
            <v>EVELYN ESTUDILLO</v>
          </cell>
          <cell r="K465">
            <v>44949</v>
          </cell>
          <cell r="L465" t="str">
            <v>LUIS</v>
          </cell>
          <cell r="M465" t="str">
            <v>PASS</v>
          </cell>
          <cell r="N465" t="str">
            <v>OVALIDAD</v>
          </cell>
        </row>
        <row r="466">
          <cell r="A466">
            <v>20230463</v>
          </cell>
          <cell r="B466">
            <v>44949</v>
          </cell>
          <cell r="C466"/>
          <cell r="D466" t="str">
            <v>720-4</v>
          </cell>
          <cell r="E466" t="str">
            <v>SPR8</v>
          </cell>
          <cell r="F466" t="str">
            <v>34361270A</v>
          </cell>
          <cell r="G466" t="str">
            <v>N/A</v>
          </cell>
          <cell r="H466" t="str">
            <v>CONCENTRICIDAD</v>
          </cell>
          <cell r="I466"/>
          <cell r="J466" t="str">
            <v>EVELYN ESTUDILLO</v>
          </cell>
          <cell r="K466">
            <v>44949</v>
          </cell>
          <cell r="L466" t="str">
            <v>LUIS</v>
          </cell>
          <cell r="M466" t="str">
            <v>PASS</v>
          </cell>
          <cell r="N466" t="str">
            <v>CONCENTRICIDAD</v>
          </cell>
        </row>
        <row r="467">
          <cell r="A467">
            <v>20230464</v>
          </cell>
          <cell r="B467">
            <v>44949</v>
          </cell>
          <cell r="C467"/>
          <cell r="D467" t="str">
            <v>720-4</v>
          </cell>
          <cell r="E467" t="str">
            <v>SPR8</v>
          </cell>
          <cell r="F467" t="str">
            <v>34361270A</v>
          </cell>
          <cell r="G467" t="str">
            <v>N/A</v>
          </cell>
          <cell r="H467" t="str">
            <v>OVALIDAD</v>
          </cell>
          <cell r="I467"/>
          <cell r="J467" t="str">
            <v>EVELYN ESTUDILLO</v>
          </cell>
          <cell r="K467">
            <v>44949</v>
          </cell>
          <cell r="L467" t="str">
            <v>LUIS</v>
          </cell>
          <cell r="M467" t="str">
            <v>PASS</v>
          </cell>
          <cell r="N467" t="str">
            <v>OVALIDAD</v>
          </cell>
        </row>
        <row r="468">
          <cell r="A468">
            <v>20230465</v>
          </cell>
          <cell r="B468">
            <v>44949</v>
          </cell>
          <cell r="C468">
            <v>3</v>
          </cell>
          <cell r="D468" t="str">
            <v>720-2</v>
          </cell>
          <cell r="E468" t="str">
            <v>SPR8</v>
          </cell>
          <cell r="F468" t="str">
            <v>34285573C</v>
          </cell>
          <cell r="G468" t="str">
            <v>N/A</v>
          </cell>
          <cell r="H468" t="str">
            <v>CONCENTRICIDAD</v>
          </cell>
          <cell r="I468"/>
          <cell r="J468" t="str">
            <v>Augusto Rdz</v>
          </cell>
          <cell r="K468">
            <v>44949</v>
          </cell>
          <cell r="L468" t="str">
            <v>Jose</v>
          </cell>
          <cell r="M468" t="str">
            <v>PASS</v>
          </cell>
          <cell r="N468" t="str">
            <v>CONCENTRICIDAD</v>
          </cell>
        </row>
        <row r="469">
          <cell r="A469">
            <v>20230466</v>
          </cell>
          <cell r="B469">
            <v>44949</v>
          </cell>
          <cell r="C469">
            <v>3</v>
          </cell>
          <cell r="D469" t="str">
            <v>720-2</v>
          </cell>
          <cell r="E469" t="str">
            <v>SPR8</v>
          </cell>
          <cell r="F469" t="str">
            <v>34285573C</v>
          </cell>
          <cell r="G469" t="str">
            <v>N/A</v>
          </cell>
          <cell r="H469" t="str">
            <v>OVALIDAD</v>
          </cell>
          <cell r="I469"/>
          <cell r="J469" t="str">
            <v>Augusto Rdz</v>
          </cell>
          <cell r="K469">
            <v>44949</v>
          </cell>
          <cell r="L469" t="str">
            <v>Jose</v>
          </cell>
          <cell r="M469" t="str">
            <v>PASS</v>
          </cell>
          <cell r="N469" t="str">
            <v>OVALIDAD</v>
          </cell>
        </row>
        <row r="470">
          <cell r="A470">
            <v>20230467</v>
          </cell>
          <cell r="B470">
            <v>44949</v>
          </cell>
          <cell r="C470">
            <v>3</v>
          </cell>
          <cell r="D470" t="str">
            <v>720-3</v>
          </cell>
          <cell r="E470" t="str">
            <v>SPR8</v>
          </cell>
          <cell r="F470" t="str">
            <v>34235233G</v>
          </cell>
          <cell r="G470" t="str">
            <v>N/A</v>
          </cell>
          <cell r="H470" t="str">
            <v>CONCENTRICIDAD</v>
          </cell>
          <cell r="I470"/>
          <cell r="J470" t="str">
            <v>Augusto Rdz</v>
          </cell>
          <cell r="K470">
            <v>44949</v>
          </cell>
          <cell r="L470" t="str">
            <v>Jose</v>
          </cell>
          <cell r="M470" t="str">
            <v>PASS</v>
          </cell>
          <cell r="N470" t="str">
            <v>CONCENTRICIDAD</v>
          </cell>
        </row>
        <row r="471">
          <cell r="A471">
            <v>20230468</v>
          </cell>
          <cell r="B471">
            <v>44949</v>
          </cell>
          <cell r="C471">
            <v>3</v>
          </cell>
          <cell r="D471" t="str">
            <v>720-3</v>
          </cell>
          <cell r="E471" t="str">
            <v>SPR8</v>
          </cell>
          <cell r="F471" t="str">
            <v>34235233G</v>
          </cell>
          <cell r="G471" t="str">
            <v>N/A</v>
          </cell>
          <cell r="H471" t="str">
            <v>OVALIDAD</v>
          </cell>
          <cell r="I471"/>
          <cell r="J471" t="str">
            <v>Augusto Rdz</v>
          </cell>
          <cell r="K471">
            <v>44949</v>
          </cell>
          <cell r="L471" t="str">
            <v>Jose</v>
          </cell>
          <cell r="M471" t="str">
            <v>PASS</v>
          </cell>
          <cell r="N471" t="str">
            <v>OVALIDAD</v>
          </cell>
        </row>
        <row r="472">
          <cell r="A472">
            <v>20230469</v>
          </cell>
          <cell r="B472">
            <v>44949</v>
          </cell>
          <cell r="C472">
            <v>3</v>
          </cell>
          <cell r="D472" t="str">
            <v>720-5</v>
          </cell>
          <cell r="E472" t="str">
            <v>SPR8</v>
          </cell>
          <cell r="F472" t="str">
            <v>34235231G</v>
          </cell>
          <cell r="G472" t="str">
            <v>N/A</v>
          </cell>
          <cell r="H472" t="str">
            <v>CONCENTRICIDAD</v>
          </cell>
          <cell r="I472"/>
          <cell r="J472" t="str">
            <v>Augusto Rdz</v>
          </cell>
          <cell r="K472">
            <v>44949</v>
          </cell>
          <cell r="L472" t="str">
            <v>Jose</v>
          </cell>
          <cell r="M472" t="str">
            <v>PASS</v>
          </cell>
          <cell r="N472" t="str">
            <v>CONCENTRICIDAD</v>
          </cell>
        </row>
        <row r="473">
          <cell r="A473">
            <v>20230470</v>
          </cell>
          <cell r="B473">
            <v>44949</v>
          </cell>
          <cell r="C473">
            <v>3</v>
          </cell>
          <cell r="D473" t="str">
            <v>720-5</v>
          </cell>
          <cell r="E473" t="str">
            <v>SPR8</v>
          </cell>
          <cell r="F473" t="str">
            <v>34235231G</v>
          </cell>
          <cell r="G473" t="str">
            <v>N/A</v>
          </cell>
          <cell r="H473" t="str">
            <v>OVALIDAD</v>
          </cell>
          <cell r="I473"/>
          <cell r="J473" t="str">
            <v>Augusto Rdz</v>
          </cell>
          <cell r="K473">
            <v>44949</v>
          </cell>
          <cell r="L473" t="str">
            <v>Jose</v>
          </cell>
          <cell r="M473" t="str">
            <v>PASS</v>
          </cell>
          <cell r="N473" t="str">
            <v>OVALIDAD</v>
          </cell>
        </row>
        <row r="474">
          <cell r="A474">
            <v>20230471</v>
          </cell>
          <cell r="B474">
            <v>44949</v>
          </cell>
          <cell r="C474">
            <v>3</v>
          </cell>
          <cell r="D474" t="str">
            <v>720-6</v>
          </cell>
          <cell r="E474" t="str">
            <v>SPR8</v>
          </cell>
          <cell r="F474" t="str">
            <v>A020R619B</v>
          </cell>
          <cell r="G474" t="str">
            <v>N/A</v>
          </cell>
          <cell r="H474" t="str">
            <v>CONCENTRICIDAD</v>
          </cell>
          <cell r="I474"/>
          <cell r="J474" t="str">
            <v>Augusto Rdz</v>
          </cell>
          <cell r="K474">
            <v>44949</v>
          </cell>
          <cell r="L474" t="str">
            <v>Jose</v>
          </cell>
          <cell r="M474" t="str">
            <v>PASS</v>
          </cell>
          <cell r="N474" t="str">
            <v>CONCENTRICIDAD</v>
          </cell>
        </row>
        <row r="475">
          <cell r="A475">
            <v>20230472</v>
          </cell>
          <cell r="B475">
            <v>44949</v>
          </cell>
          <cell r="C475">
            <v>3</v>
          </cell>
          <cell r="D475" t="str">
            <v>720-6</v>
          </cell>
          <cell r="E475" t="str">
            <v>SPR8</v>
          </cell>
          <cell r="F475" t="str">
            <v>A020R619B</v>
          </cell>
          <cell r="G475" t="str">
            <v>N/A</v>
          </cell>
          <cell r="H475" t="str">
            <v>OVALIDAD</v>
          </cell>
          <cell r="I475"/>
          <cell r="J475" t="str">
            <v>Augusto Rdz</v>
          </cell>
          <cell r="K475">
            <v>44949</v>
          </cell>
          <cell r="L475" t="str">
            <v>Jose</v>
          </cell>
          <cell r="M475" t="str">
            <v>PASS</v>
          </cell>
          <cell r="N475" t="str">
            <v>OVALIDAD</v>
          </cell>
        </row>
        <row r="476">
          <cell r="A476">
            <v>20230473</v>
          </cell>
          <cell r="B476">
            <v>44950</v>
          </cell>
          <cell r="C476">
            <v>1</v>
          </cell>
          <cell r="D476" t="str">
            <v>N/A</v>
          </cell>
          <cell r="E476" t="str">
            <v>NISSAN</v>
          </cell>
          <cell r="F476" t="str">
            <v>34100151D</v>
          </cell>
          <cell r="G476" t="str">
            <v>N/A</v>
          </cell>
          <cell r="H476" t="str">
            <v>366 363 16</v>
          </cell>
          <cell r="I476"/>
          <cell r="J476" t="str">
            <v>JOSE SANCHEZ</v>
          </cell>
          <cell r="K476">
            <v>44950</v>
          </cell>
          <cell r="L476" t="str">
            <v>MAURICIO</v>
          </cell>
          <cell r="M476" t="str">
            <v>PASS</v>
          </cell>
          <cell r="N476" t="str">
            <v>CH34180551 A14</v>
          </cell>
        </row>
        <row r="477">
          <cell r="A477">
            <v>20230474</v>
          </cell>
          <cell r="B477">
            <v>44950</v>
          </cell>
          <cell r="C477">
            <v>1</v>
          </cell>
          <cell r="D477" t="str">
            <v>N/A</v>
          </cell>
          <cell r="E477" t="str">
            <v>NISSAN</v>
          </cell>
          <cell r="F477" t="str">
            <v>34149989C</v>
          </cell>
          <cell r="G477" t="str">
            <v>N/A</v>
          </cell>
          <cell r="H477" t="str">
            <v>366 363 16</v>
          </cell>
          <cell r="I477"/>
          <cell r="J477" t="str">
            <v>JOSE SANCHEZ</v>
          </cell>
          <cell r="K477">
            <v>44950</v>
          </cell>
          <cell r="L477" t="str">
            <v>MAURICIO</v>
          </cell>
          <cell r="M477" t="str">
            <v>PASS</v>
          </cell>
          <cell r="N477" t="str">
            <v>CH34180551 A14</v>
          </cell>
        </row>
        <row r="478">
          <cell r="A478">
            <v>20230475</v>
          </cell>
          <cell r="B478">
            <v>44950</v>
          </cell>
          <cell r="C478">
            <v>1</v>
          </cell>
          <cell r="D478" t="str">
            <v>716-3</v>
          </cell>
          <cell r="E478" t="str">
            <v>JL MCA</v>
          </cell>
          <cell r="F478" t="str">
            <v>A024V115A</v>
          </cell>
          <cell r="G478" t="str">
            <v>N/A</v>
          </cell>
          <cell r="H478" t="str">
            <v>102,48,49,50,51,12,3,8,76,103</v>
          </cell>
          <cell r="I478"/>
          <cell r="J478" t="str">
            <v>Yesenia Venegas</v>
          </cell>
          <cell r="K478">
            <v>44950</v>
          </cell>
          <cell r="L478" t="str">
            <v>Nohemi</v>
          </cell>
          <cell r="M478" t="str">
            <v>NO PASS</v>
          </cell>
          <cell r="N478" t="str">
            <v>A0033G4854 A-B</v>
          </cell>
        </row>
        <row r="479">
          <cell r="A479">
            <v>20230476</v>
          </cell>
          <cell r="B479">
            <v>44950</v>
          </cell>
          <cell r="C479">
            <v>1</v>
          </cell>
          <cell r="D479" t="str">
            <v>711-B</v>
          </cell>
          <cell r="E479" t="str">
            <v>T1XX</v>
          </cell>
          <cell r="F479" t="str">
            <v>34312445B</v>
          </cell>
          <cell r="G479" t="str">
            <v>N/A</v>
          </cell>
          <cell r="H479" t="str">
            <v>46,51,52,58</v>
          </cell>
          <cell r="I479"/>
          <cell r="J479" t="str">
            <v>Yesenia Venegas</v>
          </cell>
          <cell r="K479">
            <v>44950</v>
          </cell>
          <cell r="L479" t="str">
            <v>Nohemi</v>
          </cell>
          <cell r="M479" t="str">
            <v>PASS</v>
          </cell>
          <cell r="N479" t="str">
            <v>CH34246232 A20</v>
          </cell>
        </row>
        <row r="480">
          <cell r="A480">
            <v>20230477</v>
          </cell>
          <cell r="B480">
            <v>44950</v>
          </cell>
          <cell r="C480">
            <v>1</v>
          </cell>
          <cell r="D480" t="str">
            <v>715-1</v>
          </cell>
          <cell r="E480" t="str">
            <v>TESLA</v>
          </cell>
          <cell r="F480" t="str">
            <v>34364768A</v>
          </cell>
          <cell r="G480" t="str">
            <v>N/A</v>
          </cell>
          <cell r="H480" t="str">
            <v>15,17,7,6</v>
          </cell>
          <cell r="I480"/>
          <cell r="J480" t="str">
            <v>Laura Castillo</v>
          </cell>
          <cell r="K480">
            <v>44950</v>
          </cell>
          <cell r="L480" t="str">
            <v>Nohemi</v>
          </cell>
          <cell r="M480" t="str">
            <v>PASS</v>
          </cell>
          <cell r="N480" t="str">
            <v>A0033G4801-C</v>
          </cell>
        </row>
        <row r="481">
          <cell r="A481">
            <v>20230478</v>
          </cell>
          <cell r="B481">
            <v>44950</v>
          </cell>
          <cell r="C481">
            <v>1</v>
          </cell>
          <cell r="D481" t="str">
            <v>N/A</v>
          </cell>
          <cell r="E481" t="str">
            <v>N/A</v>
          </cell>
          <cell r="F481" t="str">
            <v>34124529CBB</v>
          </cell>
          <cell r="G481">
            <v>1002011823</v>
          </cell>
          <cell r="H481" t="str">
            <v xml:space="preserve">Conforme al rip </v>
          </cell>
          <cell r="I481" t="str">
            <v>5 pcs</v>
          </cell>
          <cell r="J481" t="str">
            <v>Nuevos programas</v>
          </cell>
          <cell r="K481">
            <v>44950</v>
          </cell>
          <cell r="L481" t="str">
            <v xml:space="preserve">Adela </v>
          </cell>
          <cell r="M481" t="str">
            <v>NO PASS</v>
          </cell>
          <cell r="N481" t="str">
            <v>N/A</v>
          </cell>
        </row>
        <row r="482">
          <cell r="A482">
            <v>20230479</v>
          </cell>
          <cell r="B482">
            <v>44950</v>
          </cell>
          <cell r="C482">
            <v>1</v>
          </cell>
          <cell r="D482" t="str">
            <v>701-B</v>
          </cell>
          <cell r="E482" t="str">
            <v>N/A</v>
          </cell>
          <cell r="F482" t="str">
            <v>A026P439A</v>
          </cell>
          <cell r="G482" t="str">
            <v>N/A</v>
          </cell>
          <cell r="H482" t="str">
            <v>46 52</v>
          </cell>
          <cell r="I482"/>
          <cell r="J482" t="str">
            <v>LILIANA VARELA</v>
          </cell>
          <cell r="K482">
            <v>44950</v>
          </cell>
          <cell r="L482" t="str">
            <v>MAURICIO</v>
          </cell>
          <cell r="M482" t="str">
            <v>NO PASS</v>
          </cell>
          <cell r="N482" t="str">
            <v>A0036F1994A</v>
          </cell>
        </row>
        <row r="483">
          <cell r="A483">
            <v>20230480</v>
          </cell>
          <cell r="B483">
            <v>44950</v>
          </cell>
          <cell r="C483">
            <v>1</v>
          </cell>
          <cell r="D483" t="str">
            <v>701-B</v>
          </cell>
          <cell r="E483" t="str">
            <v>N/A</v>
          </cell>
          <cell r="F483" t="str">
            <v>A026P437A</v>
          </cell>
          <cell r="G483" t="str">
            <v>N/A</v>
          </cell>
          <cell r="H483" t="str">
            <v>46 52</v>
          </cell>
          <cell r="I483"/>
          <cell r="J483" t="str">
            <v>LILIANA VARELA</v>
          </cell>
          <cell r="K483">
            <v>44950</v>
          </cell>
          <cell r="L483" t="str">
            <v>MAURICIO</v>
          </cell>
          <cell r="M483" t="str">
            <v>NO PASS</v>
          </cell>
          <cell r="N483" t="str">
            <v>A0036F1994A</v>
          </cell>
        </row>
        <row r="484">
          <cell r="A484">
            <v>20230481</v>
          </cell>
          <cell r="B484">
            <v>44950</v>
          </cell>
          <cell r="C484">
            <v>1</v>
          </cell>
          <cell r="D484" t="str">
            <v>720-6</v>
          </cell>
          <cell r="E484" t="str">
            <v>SPR8</v>
          </cell>
          <cell r="F484" t="str">
            <v>A020R621B</v>
          </cell>
          <cell r="G484" t="str">
            <v>N/A</v>
          </cell>
          <cell r="H484" t="str">
            <v>CONCENTRICIDAD</v>
          </cell>
          <cell r="I484"/>
          <cell r="J484" t="str">
            <v>EVELYN ESTUDILLO</v>
          </cell>
          <cell r="K484">
            <v>44950</v>
          </cell>
          <cell r="L484" t="str">
            <v>MAURICIO</v>
          </cell>
          <cell r="M484" t="str">
            <v>PASS</v>
          </cell>
          <cell r="N484" t="str">
            <v>CONCENTRICIDAD</v>
          </cell>
        </row>
        <row r="485">
          <cell r="A485">
            <v>20230482</v>
          </cell>
          <cell r="B485">
            <v>44950</v>
          </cell>
          <cell r="C485">
            <v>1</v>
          </cell>
          <cell r="D485" t="str">
            <v>720-3</v>
          </cell>
          <cell r="E485" t="str">
            <v>SPR8</v>
          </cell>
          <cell r="F485" t="str">
            <v>34235232G</v>
          </cell>
          <cell r="G485" t="str">
            <v>N/A</v>
          </cell>
          <cell r="H485" t="str">
            <v>CONCENTRICIDAD</v>
          </cell>
          <cell r="I485"/>
          <cell r="J485" t="str">
            <v>EVELYN ESTUDILLO</v>
          </cell>
          <cell r="K485">
            <v>44950</v>
          </cell>
          <cell r="L485" t="str">
            <v>MAURICIO</v>
          </cell>
          <cell r="M485" t="str">
            <v>PASS</v>
          </cell>
          <cell r="N485" t="str">
            <v>CONCENTRICIDAD</v>
          </cell>
        </row>
        <row r="486">
          <cell r="A486">
            <v>20230483</v>
          </cell>
          <cell r="B486">
            <v>44950</v>
          </cell>
          <cell r="C486">
            <v>1</v>
          </cell>
          <cell r="D486" t="str">
            <v>720-4</v>
          </cell>
          <cell r="E486" t="str">
            <v>SPR8</v>
          </cell>
          <cell r="F486" t="str">
            <v>34361270A</v>
          </cell>
          <cell r="G486" t="str">
            <v>N/A</v>
          </cell>
          <cell r="H486" t="str">
            <v>CONCENTRICIDAD</v>
          </cell>
          <cell r="I486"/>
          <cell r="J486" t="str">
            <v>EVELYN ESTUDILLO</v>
          </cell>
          <cell r="K486">
            <v>44950</v>
          </cell>
          <cell r="L486" t="str">
            <v>MAURICIO</v>
          </cell>
          <cell r="M486" t="str">
            <v>PASS</v>
          </cell>
          <cell r="N486" t="str">
            <v>CONCENTRICIDAD</v>
          </cell>
        </row>
        <row r="487">
          <cell r="A487">
            <v>20230484</v>
          </cell>
          <cell r="B487">
            <v>44950</v>
          </cell>
          <cell r="C487">
            <v>1</v>
          </cell>
          <cell r="D487" t="str">
            <v>720-1</v>
          </cell>
          <cell r="E487" t="str">
            <v>SPR8</v>
          </cell>
          <cell r="F487" t="str">
            <v>34346841E</v>
          </cell>
          <cell r="G487" t="str">
            <v>N/A</v>
          </cell>
          <cell r="H487" t="str">
            <v>CONCENTRICIDAD</v>
          </cell>
          <cell r="I487"/>
          <cell r="J487" t="str">
            <v>EVELYN ESTUDILLO</v>
          </cell>
          <cell r="K487">
            <v>44950</v>
          </cell>
          <cell r="L487" t="str">
            <v>MAURICIO</v>
          </cell>
          <cell r="M487" t="str">
            <v>PASS</v>
          </cell>
          <cell r="N487" t="str">
            <v>CONCENTRICIDAD</v>
          </cell>
        </row>
        <row r="488">
          <cell r="A488">
            <v>20230485</v>
          </cell>
          <cell r="B488">
            <v>44950</v>
          </cell>
          <cell r="C488">
            <v>1</v>
          </cell>
          <cell r="D488" t="str">
            <v>720-2</v>
          </cell>
          <cell r="E488" t="str">
            <v>SPR8</v>
          </cell>
          <cell r="F488" t="str">
            <v>34296442C</v>
          </cell>
          <cell r="G488" t="str">
            <v>N/A</v>
          </cell>
          <cell r="H488" t="str">
            <v>CONCENTRICIDAD</v>
          </cell>
          <cell r="I488"/>
          <cell r="J488" t="str">
            <v>EVELYN ESTUDILLO</v>
          </cell>
          <cell r="K488">
            <v>44950</v>
          </cell>
          <cell r="L488" t="str">
            <v>MAURICIO</v>
          </cell>
          <cell r="M488" t="str">
            <v>PASS</v>
          </cell>
          <cell r="N488" t="str">
            <v>CONCENTRICIDAD</v>
          </cell>
        </row>
        <row r="489">
          <cell r="A489">
            <v>20230486</v>
          </cell>
          <cell r="B489">
            <v>44950</v>
          </cell>
          <cell r="C489">
            <v>1</v>
          </cell>
          <cell r="D489" t="str">
            <v>720-5</v>
          </cell>
          <cell r="E489" t="str">
            <v>SPR8</v>
          </cell>
          <cell r="F489" t="str">
            <v>34235234G</v>
          </cell>
          <cell r="G489" t="str">
            <v>N/A</v>
          </cell>
          <cell r="H489" t="str">
            <v>CONCENTRICIDAD</v>
          </cell>
          <cell r="I489"/>
          <cell r="J489" t="str">
            <v>EVELYN ESTUDILLO</v>
          </cell>
          <cell r="K489">
            <v>44950</v>
          </cell>
          <cell r="L489" t="str">
            <v>MAURICIO</v>
          </cell>
          <cell r="M489" t="str">
            <v>PASS</v>
          </cell>
          <cell r="N489" t="str">
            <v>CONCENTRICIDAD</v>
          </cell>
        </row>
        <row r="490">
          <cell r="A490">
            <v>20230487</v>
          </cell>
          <cell r="B490">
            <v>44950</v>
          </cell>
          <cell r="C490">
            <v>1</v>
          </cell>
          <cell r="D490" t="str">
            <v>720-6</v>
          </cell>
          <cell r="E490" t="str">
            <v>SPR8</v>
          </cell>
          <cell r="F490" t="str">
            <v>A020R621B</v>
          </cell>
          <cell r="G490" t="str">
            <v>N/A</v>
          </cell>
          <cell r="H490" t="str">
            <v>OVALIDAD</v>
          </cell>
          <cell r="I490"/>
          <cell r="J490" t="str">
            <v>EVELYN ESTUDILLO</v>
          </cell>
          <cell r="K490">
            <v>44950</v>
          </cell>
          <cell r="L490" t="str">
            <v>MAURICIO</v>
          </cell>
          <cell r="M490" t="str">
            <v>PASS</v>
          </cell>
          <cell r="N490" t="str">
            <v>OVALIDAD</v>
          </cell>
        </row>
        <row r="491">
          <cell r="A491">
            <v>20230488</v>
          </cell>
          <cell r="B491">
            <v>44950</v>
          </cell>
          <cell r="C491">
            <v>1</v>
          </cell>
          <cell r="D491" t="str">
            <v>720-3</v>
          </cell>
          <cell r="E491" t="str">
            <v>SPR8</v>
          </cell>
          <cell r="F491" t="str">
            <v>34235232G</v>
          </cell>
          <cell r="G491" t="str">
            <v>N/A</v>
          </cell>
          <cell r="H491" t="str">
            <v>OVALIDAD</v>
          </cell>
          <cell r="I491"/>
          <cell r="J491" t="str">
            <v>EVELYN ESTUDILLO</v>
          </cell>
          <cell r="K491">
            <v>44950</v>
          </cell>
          <cell r="L491" t="str">
            <v>MAURICIO</v>
          </cell>
          <cell r="M491" t="str">
            <v>PASS</v>
          </cell>
          <cell r="N491" t="str">
            <v>OVALIDAD</v>
          </cell>
        </row>
        <row r="492">
          <cell r="A492">
            <v>20230489</v>
          </cell>
          <cell r="B492">
            <v>44950</v>
          </cell>
          <cell r="C492">
            <v>1</v>
          </cell>
          <cell r="D492" t="str">
            <v>720-4</v>
          </cell>
          <cell r="E492" t="str">
            <v>SPR8</v>
          </cell>
          <cell r="F492" t="str">
            <v>34361270A</v>
          </cell>
          <cell r="G492" t="str">
            <v>N/A</v>
          </cell>
          <cell r="H492" t="str">
            <v>OVALIDAD</v>
          </cell>
          <cell r="I492"/>
          <cell r="J492" t="str">
            <v>EVELYN ESTUDILLO</v>
          </cell>
          <cell r="K492">
            <v>44950</v>
          </cell>
          <cell r="L492" t="str">
            <v>MAURICIO</v>
          </cell>
          <cell r="M492" t="str">
            <v>PASS</v>
          </cell>
          <cell r="N492" t="str">
            <v>OVALIDAD</v>
          </cell>
        </row>
        <row r="493">
          <cell r="A493">
            <v>20230490</v>
          </cell>
          <cell r="B493">
            <v>44950</v>
          </cell>
          <cell r="C493">
            <v>1</v>
          </cell>
          <cell r="D493" t="str">
            <v>720-1</v>
          </cell>
          <cell r="E493" t="str">
            <v>SPR8</v>
          </cell>
          <cell r="F493" t="str">
            <v>34346841E</v>
          </cell>
          <cell r="G493" t="str">
            <v>N/A</v>
          </cell>
          <cell r="H493" t="str">
            <v>OVALIDAD</v>
          </cell>
          <cell r="I493"/>
          <cell r="J493" t="str">
            <v>EVELYN ESTUDILLO</v>
          </cell>
          <cell r="K493">
            <v>44950</v>
          </cell>
          <cell r="L493" t="str">
            <v>MAURICIO</v>
          </cell>
          <cell r="M493" t="str">
            <v>PASS</v>
          </cell>
          <cell r="N493" t="str">
            <v>OVALIDAD</v>
          </cell>
        </row>
        <row r="494">
          <cell r="A494">
            <v>20230491</v>
          </cell>
          <cell r="B494">
            <v>44950</v>
          </cell>
          <cell r="C494">
            <v>1</v>
          </cell>
          <cell r="D494" t="str">
            <v>720-2</v>
          </cell>
          <cell r="E494" t="str">
            <v>SPR8</v>
          </cell>
          <cell r="F494" t="str">
            <v>34296442C</v>
          </cell>
          <cell r="G494" t="str">
            <v>N/A</v>
          </cell>
          <cell r="H494" t="str">
            <v>OVALIDAD</v>
          </cell>
          <cell r="I494"/>
          <cell r="J494" t="str">
            <v>EVELYN ESTUDILLO</v>
          </cell>
          <cell r="K494">
            <v>44950</v>
          </cell>
          <cell r="L494" t="str">
            <v>MAURICIO</v>
          </cell>
          <cell r="M494" t="str">
            <v>PASS</v>
          </cell>
          <cell r="N494" t="str">
            <v>OVALIDAD</v>
          </cell>
        </row>
        <row r="495">
          <cell r="A495">
            <v>20230492</v>
          </cell>
          <cell r="B495">
            <v>44950</v>
          </cell>
          <cell r="C495">
            <v>1</v>
          </cell>
          <cell r="D495" t="str">
            <v>720-5</v>
          </cell>
          <cell r="E495" t="str">
            <v>SPR8</v>
          </cell>
          <cell r="F495" t="str">
            <v>34235234G</v>
          </cell>
          <cell r="G495" t="str">
            <v>N/A</v>
          </cell>
          <cell r="H495" t="str">
            <v>OVALIDAD</v>
          </cell>
          <cell r="I495"/>
          <cell r="J495" t="str">
            <v>EVELYN ESTUDILLO</v>
          </cell>
          <cell r="K495">
            <v>44950</v>
          </cell>
          <cell r="L495" t="str">
            <v>MAURICIO</v>
          </cell>
          <cell r="M495" t="str">
            <v>PASS</v>
          </cell>
          <cell r="N495" t="str">
            <v>OVALIDAD</v>
          </cell>
        </row>
        <row r="496">
          <cell r="A496">
            <v>20230493</v>
          </cell>
          <cell r="B496">
            <v>44950</v>
          </cell>
          <cell r="C496">
            <v>1</v>
          </cell>
          <cell r="D496" t="str">
            <v>720-3</v>
          </cell>
          <cell r="E496" t="str">
            <v>CHRYSLER</v>
          </cell>
          <cell r="F496" t="str">
            <v>34257332A</v>
          </cell>
          <cell r="G496" t="str">
            <v>N/A</v>
          </cell>
          <cell r="H496" t="str">
            <v>16,17,19,15</v>
          </cell>
          <cell r="I496"/>
          <cell r="J496" t="str">
            <v>Javier Bautista</v>
          </cell>
          <cell r="K496">
            <v>44950</v>
          </cell>
          <cell r="L496" t="str">
            <v>Nohemi</v>
          </cell>
          <cell r="M496" t="str">
            <v>NO PASS</v>
          </cell>
          <cell r="N496" t="str">
            <v>CH34259298 A06</v>
          </cell>
        </row>
        <row r="497">
          <cell r="A497">
            <v>20230494</v>
          </cell>
          <cell r="B497">
            <v>44950</v>
          </cell>
          <cell r="C497">
            <v>1</v>
          </cell>
          <cell r="D497" t="str">
            <v>720-3</v>
          </cell>
          <cell r="E497" t="str">
            <v>CHRYSLER</v>
          </cell>
          <cell r="F497" t="str">
            <v>34257329A</v>
          </cell>
          <cell r="G497" t="str">
            <v>N/A</v>
          </cell>
          <cell r="H497" t="str">
            <v>16,17,19,15</v>
          </cell>
          <cell r="I497"/>
          <cell r="J497" t="str">
            <v>Javier Bautista</v>
          </cell>
          <cell r="K497">
            <v>44950</v>
          </cell>
          <cell r="L497" t="str">
            <v>Nohemi</v>
          </cell>
          <cell r="M497" t="str">
            <v>NO PASS</v>
          </cell>
          <cell r="N497" t="str">
            <v>CH34259297 A15</v>
          </cell>
        </row>
        <row r="498">
          <cell r="A498">
            <v>20230495</v>
          </cell>
          <cell r="B498">
            <v>44950</v>
          </cell>
          <cell r="C498">
            <v>1</v>
          </cell>
          <cell r="D498" t="str">
            <v>720-3</v>
          </cell>
          <cell r="E498" t="str">
            <v>CHRYSLER</v>
          </cell>
          <cell r="F498" t="str">
            <v>A023P565B</v>
          </cell>
          <cell r="G498" t="str">
            <v>N/A</v>
          </cell>
          <cell r="H498" t="str">
            <v>7,8,9,10,11,Z,17,18,19</v>
          </cell>
          <cell r="I498"/>
          <cell r="J498" t="str">
            <v>Javier Bautista</v>
          </cell>
          <cell r="K498">
            <v>44950</v>
          </cell>
          <cell r="L498" t="str">
            <v>Nohemi</v>
          </cell>
          <cell r="M498" t="str">
            <v>NO PASS</v>
          </cell>
          <cell r="N498" t="str">
            <v>A0054G8117A-C</v>
          </cell>
        </row>
        <row r="499">
          <cell r="A499">
            <v>20230496</v>
          </cell>
          <cell r="B499">
            <v>44950</v>
          </cell>
          <cell r="C499">
            <v>1</v>
          </cell>
          <cell r="D499" t="str">
            <v>720-3</v>
          </cell>
          <cell r="E499" t="str">
            <v>CHRYSLER</v>
          </cell>
          <cell r="F499" t="str">
            <v>A023P569B</v>
          </cell>
          <cell r="G499" t="str">
            <v>N/A</v>
          </cell>
          <cell r="H499" t="str">
            <v>10,11,8,9,16,12,18,19,20</v>
          </cell>
          <cell r="I499"/>
          <cell r="J499" t="str">
            <v>Javier Bautista</v>
          </cell>
          <cell r="K499">
            <v>44950</v>
          </cell>
          <cell r="L499" t="str">
            <v>Nohemi</v>
          </cell>
          <cell r="M499" t="str">
            <v>NO PASS</v>
          </cell>
          <cell r="N499" t="str">
            <v>A0034E4937A G</v>
          </cell>
        </row>
        <row r="500">
          <cell r="A500">
            <v>20230497</v>
          </cell>
          <cell r="B500">
            <v>44950</v>
          </cell>
          <cell r="C500">
            <v>1</v>
          </cell>
          <cell r="D500" t="str">
            <v>N/A</v>
          </cell>
          <cell r="E500" t="str">
            <v>N/A</v>
          </cell>
          <cell r="F500" t="str">
            <v>W505286S442XD</v>
          </cell>
          <cell r="G500" t="str">
            <v>N/A</v>
          </cell>
          <cell r="H500" t="str">
            <v>Marcadas en el plano</v>
          </cell>
          <cell r="I500"/>
          <cell r="J500" t="str">
            <v>Rogelio Del Angel</v>
          </cell>
          <cell r="K500">
            <v>44950</v>
          </cell>
          <cell r="L500" t="str">
            <v xml:space="preserve">Adela </v>
          </cell>
          <cell r="M500" t="str">
            <v>PASS</v>
          </cell>
          <cell r="N500" t="str">
            <v>N/A</v>
          </cell>
        </row>
        <row r="501">
          <cell r="A501">
            <v>20230498</v>
          </cell>
          <cell r="B501">
            <v>44950</v>
          </cell>
          <cell r="C501">
            <v>1</v>
          </cell>
          <cell r="D501" t="str">
            <v>716-1</v>
          </cell>
          <cell r="E501" t="str">
            <v>JL MCA</v>
          </cell>
          <cell r="F501" t="str">
            <v>A024V113A</v>
          </cell>
          <cell r="G501" t="str">
            <v>N/A</v>
          </cell>
          <cell r="H501" t="str">
            <v>94,52,53,54,69,55</v>
          </cell>
          <cell r="I501"/>
          <cell r="J501" t="str">
            <v>Laura Castillo</v>
          </cell>
          <cell r="K501">
            <v>44950</v>
          </cell>
          <cell r="L501" t="str">
            <v>Nohemi</v>
          </cell>
          <cell r="M501" t="str">
            <v>NO PASS</v>
          </cell>
          <cell r="N501" t="str">
            <v>A0033G4820A C</v>
          </cell>
        </row>
        <row r="502">
          <cell r="A502">
            <v>20230499</v>
          </cell>
          <cell r="B502">
            <v>44950</v>
          </cell>
          <cell r="C502">
            <v>1</v>
          </cell>
          <cell r="D502" t="str">
            <v>713-A</v>
          </cell>
          <cell r="E502" t="str">
            <v>U55X</v>
          </cell>
          <cell r="F502" t="str">
            <v>34313145B</v>
          </cell>
          <cell r="G502" t="str">
            <v>N/A</v>
          </cell>
          <cell r="H502" t="str">
            <v>37,14</v>
          </cell>
          <cell r="I502"/>
          <cell r="J502" t="str">
            <v>Yesenia Venegas</v>
          </cell>
          <cell r="K502">
            <v>44950</v>
          </cell>
          <cell r="L502" t="str">
            <v>Nohemi</v>
          </cell>
          <cell r="M502" t="str">
            <v>PASS</v>
          </cell>
          <cell r="N502" t="str">
            <v>A0034G1431A B</v>
          </cell>
        </row>
        <row r="503">
          <cell r="A503">
            <v>20230500</v>
          </cell>
          <cell r="B503">
            <v>44950</v>
          </cell>
          <cell r="C503">
            <v>1</v>
          </cell>
          <cell r="D503" t="str">
            <v>713-A</v>
          </cell>
          <cell r="E503" t="str">
            <v>U55X</v>
          </cell>
          <cell r="F503" t="str">
            <v>34345914A</v>
          </cell>
          <cell r="G503" t="str">
            <v>N/A</v>
          </cell>
          <cell r="H503" t="str">
            <v>11,9,13,4</v>
          </cell>
          <cell r="I503"/>
          <cell r="J503" t="str">
            <v>Yesenia Venegas</v>
          </cell>
          <cell r="K503">
            <v>44950</v>
          </cell>
          <cell r="L503" t="str">
            <v>Nohemi</v>
          </cell>
          <cell r="M503" t="str">
            <v>PASS</v>
          </cell>
          <cell r="N503" t="str">
            <v>A0033P1303A</v>
          </cell>
        </row>
        <row r="504">
          <cell r="A504">
            <v>20230501</v>
          </cell>
          <cell r="B504">
            <v>44950</v>
          </cell>
          <cell r="C504">
            <v>1</v>
          </cell>
          <cell r="D504" t="str">
            <v>VOESTALPINE</v>
          </cell>
          <cell r="E504" t="str">
            <v>SPR4</v>
          </cell>
          <cell r="F504" t="str">
            <v>34186256C</v>
          </cell>
          <cell r="G504" t="str">
            <v>01623</v>
          </cell>
          <cell r="H504" t="str">
            <v>91 92 47</v>
          </cell>
          <cell r="I504"/>
          <cell r="J504" t="str">
            <v>DANY RAMIREZ</v>
          </cell>
          <cell r="K504">
            <v>44950</v>
          </cell>
          <cell r="L504" t="str">
            <v>MAURICIO</v>
          </cell>
          <cell r="M504" t="str">
            <v>NO PASS</v>
          </cell>
          <cell r="N504" t="str">
            <v>PLANO MARCADO</v>
          </cell>
        </row>
        <row r="505">
          <cell r="A505">
            <v>20230502</v>
          </cell>
          <cell r="B505">
            <v>44950</v>
          </cell>
          <cell r="C505"/>
          <cell r="D505" t="str">
            <v>720-3</v>
          </cell>
          <cell r="E505" t="str">
            <v>SPR8</v>
          </cell>
          <cell r="F505" t="str">
            <v>34235231G</v>
          </cell>
          <cell r="G505" t="str">
            <v>N/A</v>
          </cell>
          <cell r="H505" t="str">
            <v>CONCENTRICIDAD</v>
          </cell>
          <cell r="I505"/>
          <cell r="J505" t="str">
            <v>EVELYN ESTUDILLO</v>
          </cell>
          <cell r="K505">
            <v>44950</v>
          </cell>
          <cell r="L505" t="str">
            <v>Luis</v>
          </cell>
          <cell r="M505" t="str">
            <v>PASS</v>
          </cell>
          <cell r="N505" t="str">
            <v>Validacion de Collet</v>
          </cell>
        </row>
        <row r="506">
          <cell r="A506">
            <v>20230503</v>
          </cell>
          <cell r="B506">
            <v>44950</v>
          </cell>
          <cell r="C506"/>
          <cell r="D506" t="str">
            <v>720-3</v>
          </cell>
          <cell r="E506" t="str">
            <v>SPR8</v>
          </cell>
          <cell r="F506" t="str">
            <v>34235231G</v>
          </cell>
          <cell r="G506" t="str">
            <v>N/A</v>
          </cell>
          <cell r="H506" t="str">
            <v>CONCENTRICIDAD</v>
          </cell>
          <cell r="I506"/>
          <cell r="J506" t="str">
            <v>EVELYN ESTUDILLO</v>
          </cell>
          <cell r="K506">
            <v>44950</v>
          </cell>
          <cell r="L506" t="str">
            <v>Luis</v>
          </cell>
          <cell r="M506" t="str">
            <v>PASS</v>
          </cell>
          <cell r="N506" t="str">
            <v>2nd Turno</v>
          </cell>
        </row>
        <row r="507">
          <cell r="A507">
            <v>20230504</v>
          </cell>
          <cell r="B507">
            <v>44950</v>
          </cell>
          <cell r="C507"/>
          <cell r="D507" t="str">
            <v>720-6</v>
          </cell>
          <cell r="E507" t="str">
            <v>SPR8</v>
          </cell>
          <cell r="F507" t="str">
            <v>A020R622B</v>
          </cell>
          <cell r="G507" t="str">
            <v>N/A</v>
          </cell>
          <cell r="H507" t="str">
            <v>CONCENTRICIDAD</v>
          </cell>
          <cell r="I507"/>
          <cell r="J507" t="str">
            <v>EVELYN ESTUDILLO</v>
          </cell>
          <cell r="K507">
            <v>44950</v>
          </cell>
          <cell r="L507" t="str">
            <v>Luis</v>
          </cell>
          <cell r="M507" t="str">
            <v>PASS</v>
          </cell>
          <cell r="N507" t="str">
            <v>2nd Turno</v>
          </cell>
        </row>
        <row r="508">
          <cell r="A508">
            <v>20230505</v>
          </cell>
          <cell r="B508">
            <v>44950</v>
          </cell>
          <cell r="C508"/>
          <cell r="D508" t="str">
            <v>720-3</v>
          </cell>
          <cell r="E508" t="str">
            <v>SPR8</v>
          </cell>
          <cell r="F508" t="str">
            <v>34235231G</v>
          </cell>
          <cell r="G508" t="str">
            <v>N/A</v>
          </cell>
          <cell r="H508" t="str">
            <v>OVALIDAD</v>
          </cell>
          <cell r="I508"/>
          <cell r="J508" t="str">
            <v>EVELYN ESTUDILLO</v>
          </cell>
          <cell r="K508">
            <v>44950</v>
          </cell>
          <cell r="L508" t="str">
            <v>Luis</v>
          </cell>
          <cell r="M508" t="str">
            <v>NO PASS</v>
          </cell>
          <cell r="N508" t="str">
            <v>Validacion de Collet</v>
          </cell>
        </row>
        <row r="509">
          <cell r="A509">
            <v>20230506</v>
          </cell>
          <cell r="B509">
            <v>44950</v>
          </cell>
          <cell r="C509"/>
          <cell r="D509" t="str">
            <v>720-3</v>
          </cell>
          <cell r="E509" t="str">
            <v>SPR8</v>
          </cell>
          <cell r="F509" t="str">
            <v>34235231G</v>
          </cell>
          <cell r="G509" t="str">
            <v>N/A</v>
          </cell>
          <cell r="H509" t="str">
            <v>OVALIDAD</v>
          </cell>
          <cell r="I509"/>
          <cell r="J509" t="str">
            <v>EVELYN ESTUDILLO</v>
          </cell>
          <cell r="K509">
            <v>44950</v>
          </cell>
          <cell r="L509" t="str">
            <v>Luis</v>
          </cell>
          <cell r="M509" t="str">
            <v>NO PASS</v>
          </cell>
          <cell r="N509" t="str">
            <v>2nd Turno</v>
          </cell>
        </row>
        <row r="510">
          <cell r="A510">
            <v>20230507</v>
          </cell>
          <cell r="B510">
            <v>44950</v>
          </cell>
          <cell r="C510"/>
          <cell r="D510" t="str">
            <v>720-6</v>
          </cell>
          <cell r="E510" t="str">
            <v>SPR8</v>
          </cell>
          <cell r="F510" t="str">
            <v>A020R622B</v>
          </cell>
          <cell r="G510" t="str">
            <v>N/A</v>
          </cell>
          <cell r="H510" t="str">
            <v>OVALIDAD</v>
          </cell>
          <cell r="I510"/>
          <cell r="J510" t="str">
            <v>EVELYN ESTUDILLO</v>
          </cell>
          <cell r="K510">
            <v>44950</v>
          </cell>
          <cell r="L510" t="str">
            <v>Luis</v>
          </cell>
          <cell r="M510" t="str">
            <v>NO PASS</v>
          </cell>
          <cell r="N510" t="str">
            <v>2nd Turno</v>
          </cell>
        </row>
        <row r="511">
          <cell r="A511">
            <v>20230508</v>
          </cell>
          <cell r="B511">
            <v>44950</v>
          </cell>
          <cell r="C511">
            <v>3</v>
          </cell>
          <cell r="D511" t="str">
            <v>720-1</v>
          </cell>
          <cell r="E511" t="str">
            <v>SPR8</v>
          </cell>
          <cell r="F511" t="str">
            <v>34296438C</v>
          </cell>
          <cell r="G511" t="str">
            <v>N/A</v>
          </cell>
          <cell r="H511" t="str">
            <v>CONCENTRICIDAD</v>
          </cell>
          <cell r="I511"/>
          <cell r="J511" t="str">
            <v>Augusto Rdz</v>
          </cell>
          <cell r="K511">
            <v>44950</v>
          </cell>
          <cell r="L511" t="str">
            <v>Jose</v>
          </cell>
          <cell r="M511" t="str">
            <v>PASS</v>
          </cell>
          <cell r="N511" t="str">
            <v>CONCENTRICIDAD</v>
          </cell>
        </row>
        <row r="512">
          <cell r="A512">
            <v>20230509</v>
          </cell>
          <cell r="B512">
            <v>44950</v>
          </cell>
          <cell r="C512">
            <v>2</v>
          </cell>
          <cell r="D512" t="str">
            <v>720-1</v>
          </cell>
          <cell r="E512" t="str">
            <v>SPR8</v>
          </cell>
          <cell r="F512" t="str">
            <v>34296438C</v>
          </cell>
          <cell r="G512" t="str">
            <v>N/A</v>
          </cell>
          <cell r="H512" t="str">
            <v>OVALIDAD</v>
          </cell>
          <cell r="I512"/>
          <cell r="J512" t="str">
            <v>Augusto Rdz</v>
          </cell>
          <cell r="K512">
            <v>44950</v>
          </cell>
          <cell r="L512" t="str">
            <v>Jose</v>
          </cell>
          <cell r="M512" t="str">
            <v>PASS</v>
          </cell>
          <cell r="N512" t="str">
            <v>OVALIDAD</v>
          </cell>
        </row>
        <row r="513">
          <cell r="A513">
            <v>20230510</v>
          </cell>
          <cell r="B513">
            <v>44950</v>
          </cell>
          <cell r="C513">
            <v>2</v>
          </cell>
          <cell r="D513" t="str">
            <v>720-2</v>
          </cell>
          <cell r="E513" t="str">
            <v>SPR8</v>
          </cell>
          <cell r="F513" t="str">
            <v>34301470D</v>
          </cell>
          <cell r="G513" t="str">
            <v>N/A</v>
          </cell>
          <cell r="H513" t="str">
            <v>CONCENTRICIDAD</v>
          </cell>
          <cell r="I513"/>
          <cell r="J513" t="str">
            <v>Augusto Rdz</v>
          </cell>
          <cell r="K513">
            <v>44950</v>
          </cell>
          <cell r="L513" t="str">
            <v>Jose</v>
          </cell>
          <cell r="M513" t="str">
            <v>PASS</v>
          </cell>
          <cell r="N513" t="str">
            <v>CONCENTRICIDAD</v>
          </cell>
        </row>
        <row r="514">
          <cell r="A514">
            <v>20230511</v>
          </cell>
          <cell r="B514">
            <v>44950</v>
          </cell>
          <cell r="C514">
            <v>2</v>
          </cell>
          <cell r="D514" t="str">
            <v>720-2</v>
          </cell>
          <cell r="E514" t="str">
            <v>SPR8</v>
          </cell>
          <cell r="F514" t="str">
            <v>34301470D</v>
          </cell>
          <cell r="G514" t="str">
            <v>N/A</v>
          </cell>
          <cell r="H514" t="str">
            <v>OVALIDAD</v>
          </cell>
          <cell r="I514"/>
          <cell r="J514" t="str">
            <v>Augusto Rdz</v>
          </cell>
          <cell r="K514">
            <v>44950</v>
          </cell>
          <cell r="L514" t="str">
            <v>Jose</v>
          </cell>
          <cell r="M514" t="str">
            <v>PASS</v>
          </cell>
          <cell r="N514" t="str">
            <v>OVALIDAD</v>
          </cell>
        </row>
        <row r="515">
          <cell r="A515">
            <v>20230512</v>
          </cell>
          <cell r="B515">
            <v>44950</v>
          </cell>
          <cell r="C515">
            <v>2</v>
          </cell>
          <cell r="D515" t="str">
            <v>720-4</v>
          </cell>
          <cell r="E515" t="str">
            <v>SPR8</v>
          </cell>
          <cell r="F515" t="str">
            <v>34309474B</v>
          </cell>
          <cell r="G515" t="str">
            <v>N/A</v>
          </cell>
          <cell r="H515" t="str">
            <v>CONCENTRICIDAD</v>
          </cell>
          <cell r="I515"/>
          <cell r="J515" t="str">
            <v>Augusto Rdz</v>
          </cell>
          <cell r="K515">
            <v>44950</v>
          </cell>
          <cell r="L515" t="str">
            <v>Jose</v>
          </cell>
          <cell r="M515" t="str">
            <v>PASS</v>
          </cell>
          <cell r="N515" t="str">
            <v>CONCENTRICIDAD</v>
          </cell>
        </row>
        <row r="516">
          <cell r="A516">
            <v>20230513</v>
          </cell>
          <cell r="B516">
            <v>44950</v>
          </cell>
          <cell r="C516">
            <v>2</v>
          </cell>
          <cell r="D516" t="str">
            <v>720-4</v>
          </cell>
          <cell r="E516" t="str">
            <v>SPR8</v>
          </cell>
          <cell r="F516" t="str">
            <v>34309474B</v>
          </cell>
          <cell r="G516" t="str">
            <v>N/A</v>
          </cell>
          <cell r="H516" t="str">
            <v>OVALIDAD</v>
          </cell>
          <cell r="I516"/>
          <cell r="J516" t="str">
            <v>Augusto Rdz</v>
          </cell>
          <cell r="K516">
            <v>44950</v>
          </cell>
          <cell r="L516" t="str">
            <v>Jose</v>
          </cell>
          <cell r="M516" t="str">
            <v>PASS</v>
          </cell>
          <cell r="N516" t="str">
            <v>OVALIDAD</v>
          </cell>
        </row>
        <row r="517">
          <cell r="A517">
            <v>20230514</v>
          </cell>
          <cell r="B517">
            <v>44950</v>
          </cell>
          <cell r="C517">
            <v>2</v>
          </cell>
          <cell r="D517" t="str">
            <v>720-5</v>
          </cell>
          <cell r="E517" t="str">
            <v>SPR8</v>
          </cell>
          <cell r="F517" t="str">
            <v>34235234G</v>
          </cell>
          <cell r="G517" t="str">
            <v>N/A</v>
          </cell>
          <cell r="H517" t="str">
            <v>CONCENTRICIDAD</v>
          </cell>
          <cell r="I517"/>
          <cell r="J517" t="str">
            <v>Augusto Rdz</v>
          </cell>
          <cell r="K517">
            <v>44950</v>
          </cell>
          <cell r="L517" t="str">
            <v>Jose</v>
          </cell>
          <cell r="M517" t="str">
            <v>PASS</v>
          </cell>
          <cell r="N517" t="str">
            <v>CONCENTRICIDAD</v>
          </cell>
        </row>
        <row r="518">
          <cell r="A518">
            <v>20230515</v>
          </cell>
          <cell r="B518">
            <v>44950</v>
          </cell>
          <cell r="C518">
            <v>2</v>
          </cell>
          <cell r="D518" t="str">
            <v>720-5</v>
          </cell>
          <cell r="E518" t="str">
            <v>SPR8</v>
          </cell>
          <cell r="F518" t="str">
            <v>34235234G</v>
          </cell>
          <cell r="G518" t="str">
            <v>N/A</v>
          </cell>
          <cell r="H518" t="str">
            <v>OVALIDAD</v>
          </cell>
          <cell r="I518"/>
          <cell r="J518" t="str">
            <v>Augusto Rdz</v>
          </cell>
          <cell r="K518">
            <v>44950</v>
          </cell>
          <cell r="L518" t="str">
            <v>Jose</v>
          </cell>
          <cell r="M518" t="str">
            <v>PASS</v>
          </cell>
          <cell r="N518" t="str">
            <v>OVALIDAD</v>
          </cell>
        </row>
        <row r="519">
          <cell r="A519">
            <v>20230516</v>
          </cell>
          <cell r="B519">
            <v>44950</v>
          </cell>
          <cell r="C519">
            <v>2</v>
          </cell>
          <cell r="D519" t="str">
            <v>720-3</v>
          </cell>
          <cell r="E519" t="str">
            <v>SPR8</v>
          </cell>
          <cell r="F519" t="str">
            <v>34235231G</v>
          </cell>
          <cell r="G519" t="str">
            <v>N/A</v>
          </cell>
          <cell r="H519" t="str">
            <v>CONCENTRICIDAD</v>
          </cell>
          <cell r="I519"/>
          <cell r="J519" t="str">
            <v>Augusto Rdz</v>
          </cell>
          <cell r="K519">
            <v>44950</v>
          </cell>
          <cell r="L519" t="str">
            <v>Jose</v>
          </cell>
          <cell r="M519" t="str">
            <v>PASS</v>
          </cell>
          <cell r="N519" t="str">
            <v>CONCENTRICIDAD</v>
          </cell>
        </row>
        <row r="520">
          <cell r="A520">
            <v>20230517</v>
          </cell>
          <cell r="B520">
            <v>44950</v>
          </cell>
          <cell r="C520">
            <v>2</v>
          </cell>
          <cell r="D520" t="str">
            <v>720-3</v>
          </cell>
          <cell r="E520" t="str">
            <v>SPR8</v>
          </cell>
          <cell r="F520" t="str">
            <v>34235231G</v>
          </cell>
          <cell r="G520" t="str">
            <v>N/A</v>
          </cell>
          <cell r="H520" t="str">
            <v>OVALIDAD</v>
          </cell>
          <cell r="I520"/>
          <cell r="J520" t="str">
            <v>Augusto Rdz</v>
          </cell>
          <cell r="K520">
            <v>44950</v>
          </cell>
          <cell r="L520" t="str">
            <v>Jose</v>
          </cell>
          <cell r="M520" t="str">
            <v>PASS</v>
          </cell>
          <cell r="N520" t="str">
            <v>OVALIDAD</v>
          </cell>
        </row>
        <row r="521">
          <cell r="A521">
            <v>20230518</v>
          </cell>
          <cell r="B521">
            <v>44951</v>
          </cell>
          <cell r="C521">
            <v>1</v>
          </cell>
          <cell r="D521" t="str">
            <v>702-9</v>
          </cell>
          <cell r="E521" t="str">
            <v>SPR4</v>
          </cell>
          <cell r="F521" t="str">
            <v>34270765A</v>
          </cell>
          <cell r="G521" t="str">
            <v>N/A</v>
          </cell>
          <cell r="H521" t="str">
            <v>28,44,29,31</v>
          </cell>
          <cell r="I521"/>
          <cell r="J521" t="str">
            <v>Yesenia Venegas</v>
          </cell>
          <cell r="K521">
            <v>44951</v>
          </cell>
          <cell r="L521" t="str">
            <v>Nohemi</v>
          </cell>
          <cell r="M521" t="str">
            <v>NO PASS</v>
          </cell>
          <cell r="N521" t="str">
            <v>CH34270688 A10</v>
          </cell>
        </row>
        <row r="522">
          <cell r="A522">
            <v>20230519</v>
          </cell>
          <cell r="B522">
            <v>44951</v>
          </cell>
          <cell r="C522">
            <v>1</v>
          </cell>
          <cell r="D522" t="str">
            <v>N/A</v>
          </cell>
          <cell r="E522" t="str">
            <v>N/A</v>
          </cell>
          <cell r="F522" t="str">
            <v>34294629AGBL</v>
          </cell>
          <cell r="G522" t="str">
            <v>3S27460400</v>
          </cell>
          <cell r="H522" t="str">
            <v xml:space="preserve">Conforme al rip </v>
          </cell>
          <cell r="I522" t="str">
            <v>5 pcs</v>
          </cell>
          <cell r="J522" t="str">
            <v>Nuevos programas</v>
          </cell>
          <cell r="K522">
            <v>44951</v>
          </cell>
          <cell r="L522" t="str">
            <v xml:space="preserve">Adela </v>
          </cell>
          <cell r="M522" t="str">
            <v>PASS</v>
          </cell>
          <cell r="N522" t="str">
            <v>N/A</v>
          </cell>
        </row>
        <row r="523">
          <cell r="A523">
            <v>20230520</v>
          </cell>
          <cell r="B523">
            <v>44951</v>
          </cell>
          <cell r="C523">
            <v>1</v>
          </cell>
          <cell r="D523" t="str">
            <v>N/A</v>
          </cell>
          <cell r="E523" t="str">
            <v>N/A</v>
          </cell>
          <cell r="F523" t="str">
            <v>34294628AGBL</v>
          </cell>
          <cell r="G523" t="str">
            <v>3S27460400</v>
          </cell>
          <cell r="H523" t="str">
            <v xml:space="preserve">Conforme al rip </v>
          </cell>
          <cell r="I523" t="str">
            <v>5 pcs</v>
          </cell>
          <cell r="J523" t="str">
            <v>Nuevos programas</v>
          </cell>
          <cell r="K523">
            <v>44951</v>
          </cell>
          <cell r="L523" t="str">
            <v xml:space="preserve">Adela </v>
          </cell>
          <cell r="M523" t="str">
            <v>PASS</v>
          </cell>
          <cell r="N523" t="str">
            <v>N/A</v>
          </cell>
        </row>
        <row r="524">
          <cell r="A524">
            <v>20230521</v>
          </cell>
          <cell r="B524">
            <v>44951</v>
          </cell>
          <cell r="C524">
            <v>1</v>
          </cell>
          <cell r="D524" t="str">
            <v>N/A</v>
          </cell>
          <cell r="E524" t="str">
            <v>N/A</v>
          </cell>
          <cell r="F524" t="str">
            <v>GAGE</v>
          </cell>
          <cell r="G524" t="str">
            <v>N/A</v>
          </cell>
          <cell r="H524" t="str">
            <v>HRC &amp; DIAMETRO</v>
          </cell>
          <cell r="I524"/>
          <cell r="J524" t="str">
            <v>MANUEL ITUARTE</v>
          </cell>
          <cell r="K524">
            <v>44951</v>
          </cell>
          <cell r="L524" t="str">
            <v>MAURICIO</v>
          </cell>
          <cell r="M524" t="str">
            <v>NO PASS</v>
          </cell>
          <cell r="N524" t="str">
            <v>PLANO MARCADO</v>
          </cell>
        </row>
        <row r="525">
          <cell r="A525">
            <v>20230522</v>
          </cell>
          <cell r="B525">
            <v>44951</v>
          </cell>
          <cell r="C525">
            <v>1</v>
          </cell>
          <cell r="D525" t="str">
            <v>N/A</v>
          </cell>
          <cell r="E525" t="str">
            <v>N/A</v>
          </cell>
          <cell r="F525" t="str">
            <v>34321558A</v>
          </cell>
          <cell r="G525" t="str">
            <v>054182</v>
          </cell>
          <cell r="H525">
            <v>6</v>
          </cell>
          <cell r="I525"/>
          <cell r="J525" t="str">
            <v>Maria Sustaita</v>
          </cell>
          <cell r="K525">
            <v>44951</v>
          </cell>
          <cell r="L525" t="str">
            <v>Nohemi</v>
          </cell>
          <cell r="M525" t="str">
            <v>PASS</v>
          </cell>
          <cell r="N525" t="str">
            <v>CH34322049 A00</v>
          </cell>
        </row>
        <row r="526">
          <cell r="A526">
            <v>20230523</v>
          </cell>
          <cell r="B526">
            <v>44951</v>
          </cell>
          <cell r="C526">
            <v>1</v>
          </cell>
          <cell r="D526" t="str">
            <v>713-B</v>
          </cell>
          <cell r="E526" t="str">
            <v>U-55X</v>
          </cell>
          <cell r="F526" t="str">
            <v>34325448A</v>
          </cell>
          <cell r="G526" t="str">
            <v>N/A</v>
          </cell>
          <cell r="H526" t="str">
            <v>26 22 25 26</v>
          </cell>
          <cell r="I526"/>
          <cell r="J526" t="str">
            <v>Yesenia Venegas</v>
          </cell>
          <cell r="K526">
            <v>44951</v>
          </cell>
          <cell r="L526" t="str">
            <v>MAURICIO</v>
          </cell>
          <cell r="M526" t="str">
            <v>PASS</v>
          </cell>
          <cell r="N526" t="str">
            <v>A0034F4234A</v>
          </cell>
        </row>
        <row r="527">
          <cell r="A527">
            <v>20230524</v>
          </cell>
          <cell r="B527">
            <v>44951</v>
          </cell>
          <cell r="C527">
            <v>1</v>
          </cell>
          <cell r="D527" t="str">
            <v>720-5</v>
          </cell>
          <cell r="E527" t="str">
            <v>SPR8</v>
          </cell>
          <cell r="F527" t="str">
            <v>34327673B</v>
          </cell>
          <cell r="G527" t="str">
            <v>N/A</v>
          </cell>
          <cell r="H527" t="str">
            <v>CONCENTRICIDAD</v>
          </cell>
          <cell r="I527"/>
          <cell r="J527" t="str">
            <v>EVELYN ESTUDILLO</v>
          </cell>
          <cell r="K527">
            <v>44951</v>
          </cell>
          <cell r="L527" t="str">
            <v>MAURICIO</v>
          </cell>
          <cell r="M527" t="str">
            <v>PASS</v>
          </cell>
          <cell r="N527" t="str">
            <v>CONCENTRICIDAD</v>
          </cell>
        </row>
        <row r="528">
          <cell r="A528">
            <v>20230525</v>
          </cell>
          <cell r="B528">
            <v>44951</v>
          </cell>
          <cell r="C528">
            <v>1</v>
          </cell>
          <cell r="D528" t="str">
            <v>720-1</v>
          </cell>
          <cell r="E528" t="str">
            <v>SPR8</v>
          </cell>
          <cell r="F528" t="str">
            <v>34324759E</v>
          </cell>
          <cell r="G528" t="str">
            <v>N/A</v>
          </cell>
          <cell r="H528" t="str">
            <v>CONCENTRICIDAD</v>
          </cell>
          <cell r="I528"/>
          <cell r="J528" t="str">
            <v>EVELYN ESTUDILLO</v>
          </cell>
          <cell r="K528">
            <v>44951</v>
          </cell>
          <cell r="L528" t="str">
            <v>MAURICIO</v>
          </cell>
          <cell r="M528" t="str">
            <v>PASS</v>
          </cell>
          <cell r="N528" t="str">
            <v>CONCENTRICIDAD</v>
          </cell>
        </row>
        <row r="529">
          <cell r="A529">
            <v>20230526</v>
          </cell>
          <cell r="B529">
            <v>44951</v>
          </cell>
          <cell r="C529">
            <v>1</v>
          </cell>
          <cell r="D529" t="str">
            <v>720-4</v>
          </cell>
          <cell r="E529" t="str">
            <v>SPR8</v>
          </cell>
          <cell r="F529" t="str">
            <v>34361270A</v>
          </cell>
          <cell r="G529" t="str">
            <v>N/A</v>
          </cell>
          <cell r="H529" t="str">
            <v>CONCENTRICIDAD</v>
          </cell>
          <cell r="I529"/>
          <cell r="J529" t="str">
            <v>EVELYN ESTUDILLO</v>
          </cell>
          <cell r="K529">
            <v>44951</v>
          </cell>
          <cell r="L529" t="str">
            <v>MAURICIO</v>
          </cell>
          <cell r="M529" t="str">
            <v>PASS</v>
          </cell>
          <cell r="N529" t="str">
            <v>CONCENTRICIDAD</v>
          </cell>
        </row>
        <row r="530">
          <cell r="A530">
            <v>20230527</v>
          </cell>
          <cell r="B530">
            <v>44951</v>
          </cell>
          <cell r="C530">
            <v>1</v>
          </cell>
          <cell r="D530" t="str">
            <v>720-2</v>
          </cell>
          <cell r="E530" t="str">
            <v>SPR8</v>
          </cell>
          <cell r="F530" t="str">
            <v>34235234G</v>
          </cell>
          <cell r="G530" t="str">
            <v>N/A</v>
          </cell>
          <cell r="H530" t="str">
            <v>CONCENTRICIDAD</v>
          </cell>
          <cell r="I530"/>
          <cell r="J530" t="str">
            <v>EVELYN ESTUDILLO</v>
          </cell>
          <cell r="K530">
            <v>44951</v>
          </cell>
          <cell r="L530" t="str">
            <v>MAURICIO</v>
          </cell>
          <cell r="M530" t="str">
            <v>PASS</v>
          </cell>
          <cell r="N530" t="str">
            <v>CONCENTRICIDAD</v>
          </cell>
        </row>
        <row r="531">
          <cell r="A531">
            <v>20230528</v>
          </cell>
          <cell r="B531">
            <v>44951</v>
          </cell>
          <cell r="C531">
            <v>1</v>
          </cell>
          <cell r="D531" t="str">
            <v>720-5</v>
          </cell>
          <cell r="E531" t="str">
            <v>SPR8</v>
          </cell>
          <cell r="F531" t="str">
            <v>34362794B</v>
          </cell>
          <cell r="G531" t="str">
            <v>N/A</v>
          </cell>
          <cell r="H531" t="str">
            <v xml:space="preserve"> DLN CONCENTRICIDAD</v>
          </cell>
          <cell r="I531"/>
          <cell r="J531" t="str">
            <v>EVELYN ESTUDILLO</v>
          </cell>
          <cell r="K531">
            <v>44951</v>
          </cell>
          <cell r="L531" t="str">
            <v>MAURICIO</v>
          </cell>
          <cell r="M531" t="str">
            <v>PASS</v>
          </cell>
          <cell r="N531" t="str">
            <v xml:space="preserve"> DLN CONCENTRICIDAD</v>
          </cell>
        </row>
        <row r="532">
          <cell r="A532">
            <v>20230529</v>
          </cell>
          <cell r="B532">
            <v>44951</v>
          </cell>
          <cell r="C532">
            <v>1</v>
          </cell>
          <cell r="D532" t="str">
            <v>720-5</v>
          </cell>
          <cell r="E532" t="str">
            <v>SPR8</v>
          </cell>
          <cell r="F532" t="str">
            <v>34327673B</v>
          </cell>
          <cell r="G532" t="str">
            <v>N/A</v>
          </cell>
          <cell r="H532" t="str">
            <v>OVALIDAD</v>
          </cell>
          <cell r="I532"/>
          <cell r="J532" t="str">
            <v>EVELYN ESTUDILLO</v>
          </cell>
          <cell r="K532">
            <v>44951</v>
          </cell>
          <cell r="L532" t="str">
            <v>MAURICIO</v>
          </cell>
          <cell r="M532" t="str">
            <v>PASS</v>
          </cell>
          <cell r="N532" t="str">
            <v>OVALIDAD</v>
          </cell>
        </row>
        <row r="533">
          <cell r="A533">
            <v>20230530</v>
          </cell>
          <cell r="B533">
            <v>44951</v>
          </cell>
          <cell r="C533">
            <v>1</v>
          </cell>
          <cell r="D533" t="str">
            <v>720-1</v>
          </cell>
          <cell r="E533" t="str">
            <v>SPR8</v>
          </cell>
          <cell r="F533" t="str">
            <v>34324759E</v>
          </cell>
          <cell r="G533" t="str">
            <v>N/A</v>
          </cell>
          <cell r="H533" t="str">
            <v>OVALIDAD</v>
          </cell>
          <cell r="I533"/>
          <cell r="J533" t="str">
            <v>EVELYN ESTUDILLO</v>
          </cell>
          <cell r="K533">
            <v>44951</v>
          </cell>
          <cell r="L533" t="str">
            <v>MAURICIO</v>
          </cell>
          <cell r="M533" t="str">
            <v>PASS</v>
          </cell>
          <cell r="N533" t="str">
            <v>OVALIDAD</v>
          </cell>
        </row>
        <row r="534">
          <cell r="A534">
            <v>20230531</v>
          </cell>
          <cell r="B534">
            <v>44951</v>
          </cell>
          <cell r="C534">
            <v>1</v>
          </cell>
          <cell r="D534" t="str">
            <v>720-4</v>
          </cell>
          <cell r="E534" t="str">
            <v>SPR8</v>
          </cell>
          <cell r="F534" t="str">
            <v>34361270A</v>
          </cell>
          <cell r="G534" t="str">
            <v>N/A</v>
          </cell>
          <cell r="H534" t="str">
            <v>OVALIDAD</v>
          </cell>
          <cell r="I534"/>
          <cell r="J534" t="str">
            <v>EVELYN ESTUDILLO</v>
          </cell>
          <cell r="K534">
            <v>44951</v>
          </cell>
          <cell r="L534" t="str">
            <v>MAURICIO</v>
          </cell>
          <cell r="M534" t="str">
            <v>PASS</v>
          </cell>
          <cell r="N534" t="str">
            <v>OVALIDAD</v>
          </cell>
        </row>
        <row r="535">
          <cell r="A535">
            <v>20230532</v>
          </cell>
          <cell r="B535">
            <v>44951</v>
          </cell>
          <cell r="C535">
            <v>1</v>
          </cell>
          <cell r="D535" t="str">
            <v>720-2</v>
          </cell>
          <cell r="E535" t="str">
            <v>SPR8</v>
          </cell>
          <cell r="F535" t="str">
            <v>34235234G</v>
          </cell>
          <cell r="G535" t="str">
            <v>N/A</v>
          </cell>
          <cell r="H535" t="str">
            <v>OVALIDAD</v>
          </cell>
          <cell r="I535"/>
          <cell r="J535" t="str">
            <v>EVELYN ESTUDILLO</v>
          </cell>
          <cell r="K535">
            <v>44951</v>
          </cell>
          <cell r="L535" t="str">
            <v>MAURICIO</v>
          </cell>
          <cell r="M535" t="str">
            <v>PASS</v>
          </cell>
          <cell r="N535" t="str">
            <v>OVALIDAD</v>
          </cell>
        </row>
        <row r="536">
          <cell r="A536">
            <v>20230533</v>
          </cell>
          <cell r="B536">
            <v>44951</v>
          </cell>
          <cell r="C536">
            <v>1</v>
          </cell>
          <cell r="D536" t="str">
            <v>720-5</v>
          </cell>
          <cell r="E536" t="str">
            <v>SPR8</v>
          </cell>
          <cell r="F536" t="str">
            <v>34362794B</v>
          </cell>
          <cell r="G536" t="str">
            <v>N/A</v>
          </cell>
          <cell r="H536" t="str">
            <v xml:space="preserve"> DLN OVALIDAD</v>
          </cell>
          <cell r="I536"/>
          <cell r="J536" t="str">
            <v>EVELYN ESTUDILLO</v>
          </cell>
          <cell r="K536">
            <v>44951</v>
          </cell>
          <cell r="L536" t="str">
            <v>MAURICIO</v>
          </cell>
          <cell r="M536" t="str">
            <v>PASS</v>
          </cell>
          <cell r="N536" t="str">
            <v xml:space="preserve"> DLN OVALIDAD</v>
          </cell>
        </row>
        <row r="537">
          <cell r="A537">
            <v>20230534</v>
          </cell>
          <cell r="B537">
            <v>44951</v>
          </cell>
          <cell r="C537">
            <v>1</v>
          </cell>
          <cell r="D537" t="str">
            <v>720-6</v>
          </cell>
          <cell r="E537" t="str">
            <v>SPR8</v>
          </cell>
          <cell r="F537" t="str">
            <v>A020R622B</v>
          </cell>
          <cell r="G537" t="str">
            <v>N/A</v>
          </cell>
          <cell r="H537" t="str">
            <v>CONCENTRICIDAD</v>
          </cell>
          <cell r="I537"/>
          <cell r="J537" t="str">
            <v>EVELYN ESTUDILLO</v>
          </cell>
          <cell r="K537">
            <v>44951</v>
          </cell>
          <cell r="L537" t="str">
            <v>MAURICIO</v>
          </cell>
          <cell r="M537" t="str">
            <v>PASS</v>
          </cell>
          <cell r="N537" t="str">
            <v>CONCENTRICIDAD</v>
          </cell>
        </row>
        <row r="538">
          <cell r="A538">
            <v>20230535</v>
          </cell>
          <cell r="B538">
            <v>44951</v>
          </cell>
          <cell r="C538">
            <v>1</v>
          </cell>
          <cell r="D538" t="str">
            <v>720-6</v>
          </cell>
          <cell r="E538" t="str">
            <v>SPR8</v>
          </cell>
          <cell r="F538" t="str">
            <v>A020R622B</v>
          </cell>
          <cell r="G538" t="str">
            <v>N/A</v>
          </cell>
          <cell r="H538" t="str">
            <v>OVALIDAD</v>
          </cell>
          <cell r="I538"/>
          <cell r="J538" t="str">
            <v>EVELYN ESTUDILLO</v>
          </cell>
          <cell r="K538">
            <v>44951</v>
          </cell>
          <cell r="L538" t="str">
            <v>MAURICIO</v>
          </cell>
          <cell r="M538" t="str">
            <v>PASS</v>
          </cell>
          <cell r="N538" t="str">
            <v>OVALIDAD</v>
          </cell>
        </row>
        <row r="539">
          <cell r="A539">
            <v>20230536</v>
          </cell>
          <cell r="B539">
            <v>44951</v>
          </cell>
          <cell r="C539"/>
          <cell r="D539" t="str">
            <v>720-2</v>
          </cell>
          <cell r="E539" t="str">
            <v>SPR8</v>
          </cell>
          <cell r="F539" t="str">
            <v>34235232G</v>
          </cell>
          <cell r="G539" t="str">
            <v>N/A</v>
          </cell>
          <cell r="H539" t="str">
            <v>CONCENTRICIDAD</v>
          </cell>
          <cell r="I539"/>
          <cell r="J539" t="str">
            <v>EVELYN ESTUDILLO</v>
          </cell>
          <cell r="K539">
            <v>44951</v>
          </cell>
          <cell r="L539" t="str">
            <v>Luis</v>
          </cell>
          <cell r="M539" t="str">
            <v>PASS</v>
          </cell>
          <cell r="N539" t="str">
            <v>CONCENTRICIDAD</v>
          </cell>
        </row>
        <row r="540">
          <cell r="A540">
            <v>20230537</v>
          </cell>
          <cell r="B540">
            <v>44951</v>
          </cell>
          <cell r="C540"/>
          <cell r="D540" t="str">
            <v>720-2</v>
          </cell>
          <cell r="E540" t="str">
            <v>SPR8</v>
          </cell>
          <cell r="F540" t="str">
            <v>34235232G</v>
          </cell>
          <cell r="G540" t="str">
            <v>N/A</v>
          </cell>
          <cell r="H540" t="str">
            <v>OVALIDAD</v>
          </cell>
          <cell r="I540"/>
          <cell r="J540" t="str">
            <v>EVELYN ESTUDILLO</v>
          </cell>
          <cell r="K540">
            <v>44951</v>
          </cell>
          <cell r="L540" t="str">
            <v>Luis</v>
          </cell>
          <cell r="M540" t="str">
            <v>PASS</v>
          </cell>
          <cell r="N540" t="str">
            <v>OVALIDAD</v>
          </cell>
        </row>
        <row r="541">
          <cell r="A541">
            <v>20230538</v>
          </cell>
          <cell r="B541">
            <v>44951</v>
          </cell>
          <cell r="C541">
            <v>3</v>
          </cell>
          <cell r="D541" t="str">
            <v>720-2</v>
          </cell>
          <cell r="E541" t="str">
            <v>SPR8</v>
          </cell>
          <cell r="F541" t="str">
            <v>34235232G</v>
          </cell>
          <cell r="G541" t="str">
            <v>N/A</v>
          </cell>
          <cell r="H541" t="str">
            <v>CONCENTRICIDAD</v>
          </cell>
          <cell r="I541"/>
          <cell r="J541" t="str">
            <v>Augusto Rdz</v>
          </cell>
          <cell r="K541">
            <v>44951</v>
          </cell>
          <cell r="L541" t="str">
            <v>Carlos</v>
          </cell>
          <cell r="M541" t="str">
            <v>PASS</v>
          </cell>
          <cell r="N541" t="str">
            <v>CONCENTRICIDAD</v>
          </cell>
        </row>
        <row r="542">
          <cell r="A542">
            <v>20230539</v>
          </cell>
          <cell r="B542">
            <v>44951</v>
          </cell>
          <cell r="C542">
            <v>3</v>
          </cell>
          <cell r="D542" t="str">
            <v>720-2</v>
          </cell>
          <cell r="E542" t="str">
            <v>SPR8</v>
          </cell>
          <cell r="F542" t="str">
            <v>34235232G</v>
          </cell>
          <cell r="G542" t="str">
            <v>N/A</v>
          </cell>
          <cell r="H542" t="str">
            <v>OVALIDAD</v>
          </cell>
          <cell r="I542"/>
          <cell r="J542" t="str">
            <v>Augusto Rdz</v>
          </cell>
          <cell r="K542">
            <v>44951</v>
          </cell>
          <cell r="L542" t="str">
            <v>Carlos</v>
          </cell>
          <cell r="M542" t="str">
            <v>PASS</v>
          </cell>
          <cell r="N542" t="str">
            <v>OVALIDAD</v>
          </cell>
        </row>
        <row r="543">
          <cell r="A543">
            <v>20230540</v>
          </cell>
          <cell r="B543">
            <v>44951</v>
          </cell>
          <cell r="C543">
            <v>3</v>
          </cell>
          <cell r="D543" t="str">
            <v>720-1</v>
          </cell>
          <cell r="E543" t="str">
            <v>SPR8</v>
          </cell>
          <cell r="F543" t="str">
            <v>34324759E</v>
          </cell>
          <cell r="G543" t="str">
            <v>N/A</v>
          </cell>
          <cell r="H543" t="str">
            <v>CONCENTRICIDAD</v>
          </cell>
          <cell r="I543"/>
          <cell r="J543" t="str">
            <v>Augusto Rdz</v>
          </cell>
          <cell r="K543">
            <v>44951</v>
          </cell>
          <cell r="L543" t="str">
            <v>Carlos</v>
          </cell>
          <cell r="M543" t="str">
            <v>PASS</v>
          </cell>
          <cell r="N543" t="str">
            <v>CONCENTRICIDAD</v>
          </cell>
        </row>
        <row r="544">
          <cell r="A544">
            <v>20230541</v>
          </cell>
          <cell r="B544">
            <v>44951</v>
          </cell>
          <cell r="C544">
            <v>3</v>
          </cell>
          <cell r="D544" t="str">
            <v>720-1</v>
          </cell>
          <cell r="E544" t="str">
            <v>SPR8</v>
          </cell>
          <cell r="F544" t="str">
            <v>34324759E</v>
          </cell>
          <cell r="G544" t="str">
            <v>N/A</v>
          </cell>
          <cell r="H544" t="str">
            <v>OVALIDAD</v>
          </cell>
          <cell r="I544"/>
          <cell r="J544" t="str">
            <v>Augusto Rdz</v>
          </cell>
          <cell r="K544">
            <v>44951</v>
          </cell>
          <cell r="L544" t="str">
            <v>Carlos</v>
          </cell>
          <cell r="M544" t="str">
            <v>PASS</v>
          </cell>
          <cell r="N544" t="str">
            <v>OVALIDAD</v>
          </cell>
        </row>
        <row r="545">
          <cell r="A545">
            <v>20230542</v>
          </cell>
          <cell r="B545">
            <v>44951</v>
          </cell>
          <cell r="C545">
            <v>3</v>
          </cell>
          <cell r="D545" t="str">
            <v>720-6</v>
          </cell>
          <cell r="E545" t="str">
            <v>SPR8</v>
          </cell>
          <cell r="F545" t="str">
            <v>A020R620A</v>
          </cell>
          <cell r="G545" t="str">
            <v>N/A</v>
          </cell>
          <cell r="H545" t="str">
            <v>CONCENTRICIDAD</v>
          </cell>
          <cell r="I545"/>
          <cell r="J545" t="str">
            <v>Augusto Rdz</v>
          </cell>
          <cell r="K545">
            <v>44951</v>
          </cell>
          <cell r="L545" t="str">
            <v>Carlos</v>
          </cell>
          <cell r="M545" t="str">
            <v>PASS</v>
          </cell>
          <cell r="N545" t="str">
            <v>CONCENTRICIDAD</v>
          </cell>
        </row>
        <row r="546">
          <cell r="A546">
            <v>20230543</v>
          </cell>
          <cell r="B546">
            <v>44951</v>
          </cell>
          <cell r="C546">
            <v>3</v>
          </cell>
          <cell r="D546" t="str">
            <v>720-6</v>
          </cell>
          <cell r="E546" t="str">
            <v>SPR8</v>
          </cell>
          <cell r="F546" t="str">
            <v>A020R620A</v>
          </cell>
          <cell r="G546" t="str">
            <v>N/A</v>
          </cell>
          <cell r="H546" t="str">
            <v>OVALIDAD</v>
          </cell>
          <cell r="I546"/>
          <cell r="J546" t="str">
            <v>Augusto Rdz</v>
          </cell>
          <cell r="K546">
            <v>44951</v>
          </cell>
          <cell r="L546" t="str">
            <v>Carlos</v>
          </cell>
          <cell r="M546" t="str">
            <v>PASS</v>
          </cell>
          <cell r="N546" t="str">
            <v>OVALIDAD</v>
          </cell>
        </row>
        <row r="547">
          <cell r="A547">
            <v>20230544</v>
          </cell>
          <cell r="B547">
            <v>44951</v>
          </cell>
          <cell r="C547">
            <v>3</v>
          </cell>
          <cell r="D547" t="str">
            <v>720-4</v>
          </cell>
          <cell r="E547" t="str">
            <v>SPR8</v>
          </cell>
          <cell r="F547" t="str">
            <v>34309474B</v>
          </cell>
          <cell r="G547" t="str">
            <v>N/A</v>
          </cell>
          <cell r="H547" t="str">
            <v>CONCENTRICIDAD</v>
          </cell>
          <cell r="I547"/>
          <cell r="J547" t="str">
            <v>Augusto Rdz</v>
          </cell>
          <cell r="K547">
            <v>44951</v>
          </cell>
          <cell r="L547" t="str">
            <v>Carlos</v>
          </cell>
          <cell r="M547" t="str">
            <v>PASS</v>
          </cell>
          <cell r="N547" t="str">
            <v>CONCENTRICIDAD</v>
          </cell>
        </row>
        <row r="548">
          <cell r="A548">
            <v>20230545</v>
          </cell>
          <cell r="B548">
            <v>44951</v>
          </cell>
          <cell r="C548">
            <v>3</v>
          </cell>
          <cell r="D548" t="str">
            <v>720-4</v>
          </cell>
          <cell r="E548" t="str">
            <v>SPR8</v>
          </cell>
          <cell r="F548" t="str">
            <v>34309474B</v>
          </cell>
          <cell r="G548" t="str">
            <v>N/A</v>
          </cell>
          <cell r="H548" t="str">
            <v>OVALIDAD</v>
          </cell>
          <cell r="I548"/>
          <cell r="J548" t="str">
            <v>Augusto Rdz</v>
          </cell>
          <cell r="K548">
            <v>44951</v>
          </cell>
          <cell r="L548" t="str">
            <v>Carlos</v>
          </cell>
          <cell r="M548" t="str">
            <v>PASS</v>
          </cell>
          <cell r="N548" t="str">
            <v>OVALIDAD</v>
          </cell>
        </row>
        <row r="549">
          <cell r="A549">
            <v>20230546</v>
          </cell>
          <cell r="B549">
            <v>44951</v>
          </cell>
          <cell r="C549">
            <v>3</v>
          </cell>
          <cell r="D549" t="str">
            <v>720-5</v>
          </cell>
          <cell r="E549" t="str">
            <v>SPR8</v>
          </cell>
          <cell r="F549" t="str">
            <v>34327672C</v>
          </cell>
          <cell r="G549" t="str">
            <v>N/A</v>
          </cell>
          <cell r="H549" t="str">
            <v>CONCENTRICIDAD</v>
          </cell>
          <cell r="I549"/>
          <cell r="J549" t="str">
            <v>Augusto Rdz</v>
          </cell>
          <cell r="K549">
            <v>44951</v>
          </cell>
          <cell r="L549" t="str">
            <v>Carlos</v>
          </cell>
          <cell r="M549" t="str">
            <v>PASS</v>
          </cell>
          <cell r="N549" t="str">
            <v>CONCENTRICIDAD</v>
          </cell>
        </row>
        <row r="550">
          <cell r="A550">
            <v>20230547</v>
          </cell>
          <cell r="B550">
            <v>44951</v>
          </cell>
          <cell r="C550">
            <v>3</v>
          </cell>
          <cell r="D550" t="str">
            <v>720-5</v>
          </cell>
          <cell r="E550" t="str">
            <v>SPR8</v>
          </cell>
          <cell r="F550" t="str">
            <v>34327672C</v>
          </cell>
          <cell r="G550" t="str">
            <v>N/A</v>
          </cell>
          <cell r="H550" t="str">
            <v>OVALIDAD</v>
          </cell>
          <cell r="I550"/>
          <cell r="J550" t="str">
            <v>Augusto Rdz</v>
          </cell>
          <cell r="K550">
            <v>44951</v>
          </cell>
          <cell r="L550" t="str">
            <v>Carlos</v>
          </cell>
          <cell r="M550" t="str">
            <v>PASS</v>
          </cell>
          <cell r="N550" t="str">
            <v>OVALIDAD</v>
          </cell>
        </row>
        <row r="551">
          <cell r="A551">
            <v>20230548</v>
          </cell>
          <cell r="B551">
            <v>44951</v>
          </cell>
          <cell r="C551">
            <v>2</v>
          </cell>
          <cell r="D551" t="str">
            <v>720-3</v>
          </cell>
          <cell r="E551" t="str">
            <v>SPR8</v>
          </cell>
          <cell r="F551" t="str">
            <v>34235231G</v>
          </cell>
          <cell r="G551" t="str">
            <v>N/A</v>
          </cell>
          <cell r="H551" t="str">
            <v>CONCENTRICIDAD</v>
          </cell>
          <cell r="I551"/>
          <cell r="J551" t="str">
            <v>Augusto Rdz</v>
          </cell>
          <cell r="K551">
            <v>44951</v>
          </cell>
          <cell r="L551" t="str">
            <v>Jose</v>
          </cell>
          <cell r="M551" t="str">
            <v>PASS</v>
          </cell>
          <cell r="N551" t="str">
            <v>CONCENTRICIDAD</v>
          </cell>
        </row>
        <row r="552">
          <cell r="A552">
            <v>20230549</v>
          </cell>
          <cell r="B552">
            <v>44951</v>
          </cell>
          <cell r="C552">
            <v>2</v>
          </cell>
          <cell r="D552" t="str">
            <v>720-3</v>
          </cell>
          <cell r="E552" t="str">
            <v>SPR8</v>
          </cell>
          <cell r="F552" t="str">
            <v>34235231G</v>
          </cell>
          <cell r="G552" t="str">
            <v>N/A</v>
          </cell>
          <cell r="H552" t="str">
            <v>OVALIDAD</v>
          </cell>
          <cell r="I552"/>
          <cell r="J552" t="str">
            <v>Augusto Rdz</v>
          </cell>
          <cell r="K552">
            <v>44951</v>
          </cell>
          <cell r="L552" t="str">
            <v>Jose</v>
          </cell>
          <cell r="M552" t="str">
            <v>PASS</v>
          </cell>
          <cell r="N552" t="str">
            <v>OVALIDAD</v>
          </cell>
        </row>
        <row r="553">
          <cell r="A553">
            <v>20230550</v>
          </cell>
          <cell r="B553">
            <v>44952</v>
          </cell>
          <cell r="C553">
            <v>1</v>
          </cell>
          <cell r="D553" t="str">
            <v>720-5</v>
          </cell>
          <cell r="E553" t="str">
            <v>SPR8</v>
          </cell>
          <cell r="F553" t="str">
            <v>34362795B</v>
          </cell>
          <cell r="G553" t="str">
            <v>N/A</v>
          </cell>
          <cell r="H553" t="str">
            <v>CONCENTRICIDAD</v>
          </cell>
          <cell r="I553"/>
          <cell r="J553" t="str">
            <v>Laura Castillo</v>
          </cell>
          <cell r="K553">
            <v>44952</v>
          </cell>
          <cell r="L553" t="str">
            <v>Nohemi</v>
          </cell>
          <cell r="M553" t="str">
            <v>PASS</v>
          </cell>
          <cell r="N553" t="str">
            <v>CONCENTRICIDAD</v>
          </cell>
        </row>
        <row r="554">
          <cell r="A554">
            <v>20230551</v>
          </cell>
          <cell r="B554">
            <v>44952</v>
          </cell>
          <cell r="C554">
            <v>1</v>
          </cell>
          <cell r="D554" t="str">
            <v>720-5</v>
          </cell>
          <cell r="E554" t="str">
            <v>SPR8</v>
          </cell>
          <cell r="F554" t="str">
            <v>34362795B</v>
          </cell>
          <cell r="G554" t="str">
            <v>N/A</v>
          </cell>
          <cell r="H554" t="str">
            <v>OVALIDAD</v>
          </cell>
          <cell r="I554"/>
          <cell r="J554" t="str">
            <v>Laura Castillo</v>
          </cell>
          <cell r="K554">
            <v>44952</v>
          </cell>
          <cell r="L554" t="str">
            <v>Nohemi</v>
          </cell>
          <cell r="M554" t="str">
            <v>PASS</v>
          </cell>
          <cell r="N554" t="str">
            <v>OVALIDAD</v>
          </cell>
        </row>
        <row r="555">
          <cell r="A555">
            <v>20230552</v>
          </cell>
          <cell r="B555">
            <v>44952</v>
          </cell>
          <cell r="C555">
            <v>1</v>
          </cell>
          <cell r="D555" t="str">
            <v>720-5</v>
          </cell>
          <cell r="E555" t="str">
            <v>TESLA</v>
          </cell>
          <cell r="F555" t="str">
            <v>34365049C</v>
          </cell>
          <cell r="G555" t="str">
            <v>N/A</v>
          </cell>
          <cell r="H555" t="str">
            <v>8,9,10,11,Z,12,18,19,20</v>
          </cell>
          <cell r="I555"/>
          <cell r="J555" t="str">
            <v>Laura Castillo</v>
          </cell>
          <cell r="K555">
            <v>44952</v>
          </cell>
          <cell r="L555" t="str">
            <v>Nohemi</v>
          </cell>
          <cell r="M555" t="str">
            <v>NO PASS</v>
          </cell>
          <cell r="N555" t="str">
            <v>A0034A8993A-F</v>
          </cell>
        </row>
        <row r="556">
          <cell r="A556">
            <v>20230553</v>
          </cell>
          <cell r="B556">
            <v>44952</v>
          </cell>
          <cell r="C556">
            <v>1</v>
          </cell>
          <cell r="D556">
            <v>604</v>
          </cell>
          <cell r="E556" t="str">
            <v>N/A</v>
          </cell>
          <cell r="F556" t="str">
            <v>34149989C</v>
          </cell>
          <cell r="G556" t="str">
            <v>N/A</v>
          </cell>
          <cell r="H556">
            <v>146147366</v>
          </cell>
          <cell r="I556"/>
          <cell r="J556" t="str">
            <v>LILIANA VARELA</v>
          </cell>
          <cell r="K556">
            <v>44956</v>
          </cell>
          <cell r="L556" t="str">
            <v>MAURICIO</v>
          </cell>
          <cell r="M556" t="str">
            <v>NO PASS</v>
          </cell>
          <cell r="N556" t="str">
            <v>CH34180551 A14</v>
          </cell>
        </row>
        <row r="557">
          <cell r="A557">
            <v>20230554</v>
          </cell>
          <cell r="B557">
            <v>44952</v>
          </cell>
          <cell r="C557">
            <v>1</v>
          </cell>
          <cell r="D557">
            <v>604</v>
          </cell>
          <cell r="E557" t="str">
            <v>N/A</v>
          </cell>
          <cell r="F557" t="str">
            <v>34100151D</v>
          </cell>
          <cell r="G557" t="str">
            <v>N/A</v>
          </cell>
          <cell r="H557">
            <v>146147</v>
          </cell>
          <cell r="I557"/>
          <cell r="J557" t="str">
            <v>LILIANA VARELA</v>
          </cell>
          <cell r="K557">
            <v>44953</v>
          </cell>
          <cell r="L557" t="str">
            <v>MAURICIO</v>
          </cell>
          <cell r="M557" t="str">
            <v>NO PASS</v>
          </cell>
          <cell r="N557" t="str">
            <v>CH34180551 A14</v>
          </cell>
        </row>
        <row r="558">
          <cell r="A558">
            <v>20230555</v>
          </cell>
          <cell r="B558">
            <v>44952</v>
          </cell>
          <cell r="C558">
            <v>1</v>
          </cell>
          <cell r="D558">
            <v>604</v>
          </cell>
          <cell r="E558" t="str">
            <v>N/A</v>
          </cell>
          <cell r="F558" t="str">
            <v>34149989C</v>
          </cell>
          <cell r="G558" t="str">
            <v>N/A</v>
          </cell>
          <cell r="H558">
            <v>146147</v>
          </cell>
          <cell r="I558"/>
          <cell r="J558" t="str">
            <v>LILIANA VARELA</v>
          </cell>
          <cell r="K558">
            <v>44956</v>
          </cell>
          <cell r="L558" t="str">
            <v>MAURICIO</v>
          </cell>
          <cell r="M558" t="str">
            <v>NO PASS</v>
          </cell>
          <cell r="N558" t="str">
            <v>CH34180551 A14</v>
          </cell>
        </row>
        <row r="559">
          <cell r="A559">
            <v>20230556</v>
          </cell>
          <cell r="B559">
            <v>44952</v>
          </cell>
          <cell r="C559">
            <v>1</v>
          </cell>
          <cell r="D559" t="str">
            <v>720-5</v>
          </cell>
          <cell r="E559" t="str">
            <v>TESLA</v>
          </cell>
          <cell r="F559" t="str">
            <v>34365050C</v>
          </cell>
          <cell r="G559" t="str">
            <v>N/A</v>
          </cell>
          <cell r="H559" t="str">
            <v>8,9,10,11,Z,12,18,19,20</v>
          </cell>
          <cell r="I559"/>
          <cell r="J559" t="str">
            <v>Laura Castillo</v>
          </cell>
          <cell r="K559">
            <v>44952</v>
          </cell>
          <cell r="L559" t="str">
            <v>Nohemi</v>
          </cell>
          <cell r="M559" t="str">
            <v>NO PASS</v>
          </cell>
          <cell r="N559" t="str">
            <v>A0034A8993A-F</v>
          </cell>
        </row>
        <row r="560">
          <cell r="A560">
            <v>20230557</v>
          </cell>
          <cell r="B560">
            <v>44952</v>
          </cell>
          <cell r="C560">
            <v>1</v>
          </cell>
          <cell r="D560" t="str">
            <v>720-5</v>
          </cell>
          <cell r="E560" t="str">
            <v>TESLA</v>
          </cell>
          <cell r="F560" t="str">
            <v>34364766B</v>
          </cell>
          <cell r="G560" t="str">
            <v>N/A</v>
          </cell>
          <cell r="H560" t="str">
            <v>15,16,17,19</v>
          </cell>
          <cell r="I560"/>
          <cell r="J560" t="str">
            <v>Laura Castillo</v>
          </cell>
          <cell r="K560">
            <v>44952</v>
          </cell>
          <cell r="L560" t="str">
            <v>Nohemi</v>
          </cell>
          <cell r="M560" t="str">
            <v>NO PASS</v>
          </cell>
          <cell r="N560" t="str">
            <v>CH34259297 A14</v>
          </cell>
        </row>
        <row r="561">
          <cell r="A561">
            <v>20230558</v>
          </cell>
          <cell r="B561">
            <v>44952</v>
          </cell>
          <cell r="C561">
            <v>1</v>
          </cell>
          <cell r="D561" t="str">
            <v>N/A</v>
          </cell>
          <cell r="E561" t="str">
            <v>N/A</v>
          </cell>
          <cell r="F561" t="str">
            <v>GAGE</v>
          </cell>
          <cell r="G561" t="str">
            <v>N/A</v>
          </cell>
          <cell r="H561" t="str">
            <v>HRC &amp; DIAMETRO</v>
          </cell>
          <cell r="I561"/>
          <cell r="J561" t="str">
            <v>MANUEL ITUARTE</v>
          </cell>
          <cell r="K561">
            <v>44952</v>
          </cell>
          <cell r="L561" t="str">
            <v>Nohemi</v>
          </cell>
          <cell r="M561" t="str">
            <v>NO PASS</v>
          </cell>
          <cell r="N561" t="str">
            <v>PLANO MARCADO</v>
          </cell>
        </row>
        <row r="562">
          <cell r="A562">
            <v>20230559</v>
          </cell>
          <cell r="B562">
            <v>44952</v>
          </cell>
          <cell r="C562">
            <v>1</v>
          </cell>
          <cell r="D562" t="str">
            <v>720-3</v>
          </cell>
          <cell r="E562" t="str">
            <v>SPR8</v>
          </cell>
          <cell r="F562" t="str">
            <v>34262545E</v>
          </cell>
          <cell r="G562" t="str">
            <v>N/A</v>
          </cell>
          <cell r="H562" t="str">
            <v>CONCENTRICIDAD</v>
          </cell>
          <cell r="I562"/>
          <cell r="J562" t="str">
            <v>EVELYN ESTUDILLO</v>
          </cell>
          <cell r="K562">
            <v>44952</v>
          </cell>
          <cell r="L562" t="str">
            <v>MAURICIO</v>
          </cell>
          <cell r="M562" t="str">
            <v>PASS</v>
          </cell>
          <cell r="N562" t="str">
            <v>CONCENTRICIDAD</v>
          </cell>
        </row>
        <row r="563">
          <cell r="A563">
            <v>20230560</v>
          </cell>
          <cell r="B563">
            <v>44952</v>
          </cell>
          <cell r="C563">
            <v>1</v>
          </cell>
          <cell r="D563" t="str">
            <v>720-5</v>
          </cell>
          <cell r="E563" t="str">
            <v>SPR8</v>
          </cell>
          <cell r="F563" t="str">
            <v>34235233G</v>
          </cell>
          <cell r="G563" t="str">
            <v>N/A</v>
          </cell>
          <cell r="H563" t="str">
            <v>CONCENTRICIDAD</v>
          </cell>
          <cell r="I563"/>
          <cell r="J563" t="str">
            <v>EVELYN ESTUDILLO</v>
          </cell>
          <cell r="K563">
            <v>44952</v>
          </cell>
          <cell r="L563" t="str">
            <v>MAURICIO</v>
          </cell>
          <cell r="M563" t="str">
            <v>PASS</v>
          </cell>
          <cell r="N563" t="str">
            <v>CONCENTRICIDAD</v>
          </cell>
        </row>
        <row r="564">
          <cell r="A564">
            <v>20230561</v>
          </cell>
          <cell r="B564">
            <v>44952</v>
          </cell>
          <cell r="C564">
            <v>1</v>
          </cell>
          <cell r="D564" t="str">
            <v>720-2</v>
          </cell>
          <cell r="E564" t="str">
            <v>SPR8</v>
          </cell>
          <cell r="F564" t="str">
            <v>34306789C</v>
          </cell>
          <cell r="G564" t="str">
            <v>N/A</v>
          </cell>
          <cell r="H564" t="str">
            <v>CONCENTRICIDAD</v>
          </cell>
          <cell r="I564"/>
          <cell r="J564" t="str">
            <v>EVELYN ESTUDILLO</v>
          </cell>
          <cell r="K564">
            <v>44952</v>
          </cell>
          <cell r="L564" t="str">
            <v>MAURICIO</v>
          </cell>
          <cell r="M564" t="str">
            <v>PASS</v>
          </cell>
          <cell r="N564" t="str">
            <v>CONCENTRICIDAD</v>
          </cell>
        </row>
        <row r="565">
          <cell r="A565">
            <v>20230562</v>
          </cell>
          <cell r="B565">
            <v>44952</v>
          </cell>
          <cell r="C565">
            <v>1</v>
          </cell>
          <cell r="D565" t="str">
            <v>720-4</v>
          </cell>
          <cell r="E565" t="str">
            <v>SPR8</v>
          </cell>
          <cell r="F565" t="str">
            <v>34361270A</v>
          </cell>
          <cell r="G565" t="str">
            <v>N/A</v>
          </cell>
          <cell r="H565" t="str">
            <v>CONCENTRICIDAD</v>
          </cell>
          <cell r="I565"/>
          <cell r="J565" t="str">
            <v>EVELYN ESTUDILLO</v>
          </cell>
          <cell r="K565">
            <v>44952</v>
          </cell>
          <cell r="L565" t="str">
            <v>MAURICIO</v>
          </cell>
          <cell r="M565" t="str">
            <v>PASS</v>
          </cell>
          <cell r="N565" t="str">
            <v>CONCENTRICIDAD</v>
          </cell>
        </row>
        <row r="566">
          <cell r="A566">
            <v>20230563</v>
          </cell>
          <cell r="B566">
            <v>44952</v>
          </cell>
          <cell r="C566">
            <v>1</v>
          </cell>
          <cell r="D566" t="str">
            <v>720-6</v>
          </cell>
          <cell r="E566" t="str">
            <v>SPR8</v>
          </cell>
          <cell r="F566" t="str">
            <v>A020R620A</v>
          </cell>
          <cell r="G566" t="str">
            <v>N/A</v>
          </cell>
          <cell r="H566" t="str">
            <v>CONCENTRICIDAD</v>
          </cell>
          <cell r="I566"/>
          <cell r="J566" t="str">
            <v>EVELYN ESTUDILLO</v>
          </cell>
          <cell r="K566">
            <v>44952</v>
          </cell>
          <cell r="L566" t="str">
            <v>MAURICIO</v>
          </cell>
          <cell r="M566" t="str">
            <v>PASS</v>
          </cell>
          <cell r="N566" t="str">
            <v>CONCENTRICIDAD</v>
          </cell>
        </row>
        <row r="567">
          <cell r="A567">
            <v>20230564</v>
          </cell>
          <cell r="B567">
            <v>44952</v>
          </cell>
          <cell r="C567">
            <v>1</v>
          </cell>
          <cell r="D567" t="str">
            <v>720-1</v>
          </cell>
          <cell r="E567" t="str">
            <v>SPR8</v>
          </cell>
          <cell r="F567" t="str">
            <v>34324759E</v>
          </cell>
          <cell r="G567" t="str">
            <v>N/A</v>
          </cell>
          <cell r="H567" t="str">
            <v>CONCENTRICIDAD</v>
          </cell>
          <cell r="I567"/>
          <cell r="J567" t="str">
            <v>EVELYN ESTUDILLO</v>
          </cell>
          <cell r="K567">
            <v>44952</v>
          </cell>
          <cell r="L567" t="str">
            <v>MAURICIO</v>
          </cell>
          <cell r="M567" t="str">
            <v>PASS</v>
          </cell>
          <cell r="N567" t="str">
            <v>CONCENTRICIDAD</v>
          </cell>
        </row>
        <row r="568">
          <cell r="A568">
            <v>20230565</v>
          </cell>
          <cell r="B568">
            <v>44952</v>
          </cell>
          <cell r="C568">
            <v>1</v>
          </cell>
          <cell r="D568" t="str">
            <v>720-3</v>
          </cell>
          <cell r="E568" t="str">
            <v>SPR8</v>
          </cell>
          <cell r="F568" t="str">
            <v>34262545E</v>
          </cell>
          <cell r="G568" t="str">
            <v>N/A</v>
          </cell>
          <cell r="H568" t="str">
            <v>OVALIDAD</v>
          </cell>
          <cell r="I568"/>
          <cell r="J568" t="str">
            <v>EVELYN ESTUDILLO</v>
          </cell>
          <cell r="K568">
            <v>44952</v>
          </cell>
          <cell r="L568" t="str">
            <v>MAURICIO</v>
          </cell>
          <cell r="M568" t="str">
            <v>PASS</v>
          </cell>
          <cell r="N568" t="str">
            <v>OVALIDAD</v>
          </cell>
        </row>
        <row r="569">
          <cell r="A569">
            <v>20230566</v>
          </cell>
          <cell r="B569">
            <v>44952</v>
          </cell>
          <cell r="C569">
            <v>1</v>
          </cell>
          <cell r="D569" t="str">
            <v>720-5</v>
          </cell>
          <cell r="E569" t="str">
            <v>SPR8</v>
          </cell>
          <cell r="F569" t="str">
            <v>34235233G</v>
          </cell>
          <cell r="G569" t="str">
            <v>N/A</v>
          </cell>
          <cell r="H569" t="str">
            <v>OVALIDAD</v>
          </cell>
          <cell r="I569"/>
          <cell r="J569" t="str">
            <v>EVELYN ESTUDILLO</v>
          </cell>
          <cell r="K569">
            <v>44952</v>
          </cell>
          <cell r="L569" t="str">
            <v>MAURICIO</v>
          </cell>
          <cell r="M569" t="str">
            <v>PASS</v>
          </cell>
          <cell r="N569" t="str">
            <v>OVALIDAD</v>
          </cell>
        </row>
        <row r="570">
          <cell r="A570">
            <v>20230567</v>
          </cell>
          <cell r="B570">
            <v>44952</v>
          </cell>
          <cell r="C570">
            <v>1</v>
          </cell>
          <cell r="D570" t="str">
            <v>720-2</v>
          </cell>
          <cell r="E570" t="str">
            <v>SPR8</v>
          </cell>
          <cell r="F570" t="str">
            <v>34306789C</v>
          </cell>
          <cell r="G570" t="str">
            <v>N/A</v>
          </cell>
          <cell r="H570" t="str">
            <v>OVALIDAD</v>
          </cell>
          <cell r="I570"/>
          <cell r="J570" t="str">
            <v>EVELYN ESTUDILLO</v>
          </cell>
          <cell r="K570">
            <v>44952</v>
          </cell>
          <cell r="L570" t="str">
            <v>MAURICIO</v>
          </cell>
          <cell r="M570" t="str">
            <v>PASS</v>
          </cell>
          <cell r="N570" t="str">
            <v>OVALIDAD</v>
          </cell>
        </row>
        <row r="571">
          <cell r="A571">
            <v>20230568</v>
          </cell>
          <cell r="B571">
            <v>44952</v>
          </cell>
          <cell r="C571">
            <v>1</v>
          </cell>
          <cell r="D571" t="str">
            <v>720-4</v>
          </cell>
          <cell r="E571" t="str">
            <v>SPR8</v>
          </cell>
          <cell r="F571" t="str">
            <v>34361270A</v>
          </cell>
          <cell r="G571" t="str">
            <v>N/A</v>
          </cell>
          <cell r="H571" t="str">
            <v>OVALIDAD</v>
          </cell>
          <cell r="I571"/>
          <cell r="J571" t="str">
            <v>EVELYN ESTUDILLO</v>
          </cell>
          <cell r="K571">
            <v>44952</v>
          </cell>
          <cell r="L571" t="str">
            <v>MAURICIO</v>
          </cell>
          <cell r="M571" t="str">
            <v>PASS</v>
          </cell>
          <cell r="N571" t="str">
            <v>OVALIDAD</v>
          </cell>
        </row>
        <row r="572">
          <cell r="A572">
            <v>20230569</v>
          </cell>
          <cell r="B572">
            <v>44952</v>
          </cell>
          <cell r="C572">
            <v>1</v>
          </cell>
          <cell r="D572" t="str">
            <v>720-6</v>
          </cell>
          <cell r="E572" t="str">
            <v>SPR8</v>
          </cell>
          <cell r="F572" t="str">
            <v>A020R620A</v>
          </cell>
          <cell r="G572" t="str">
            <v>N/A</v>
          </cell>
          <cell r="H572" t="str">
            <v>OVALIDAD</v>
          </cell>
          <cell r="I572"/>
          <cell r="J572" t="str">
            <v>EVELYN ESTUDILLO</v>
          </cell>
          <cell r="K572">
            <v>44952</v>
          </cell>
          <cell r="L572" t="str">
            <v>MAURICIO</v>
          </cell>
          <cell r="M572" t="str">
            <v>PASS</v>
          </cell>
          <cell r="N572" t="str">
            <v>OVALIDAD</v>
          </cell>
        </row>
        <row r="573">
          <cell r="A573">
            <v>20230570</v>
          </cell>
          <cell r="B573">
            <v>44952</v>
          </cell>
          <cell r="C573">
            <v>1</v>
          </cell>
          <cell r="D573" t="str">
            <v>720-1</v>
          </cell>
          <cell r="E573" t="str">
            <v>SPR8</v>
          </cell>
          <cell r="F573" t="str">
            <v>34324759E</v>
          </cell>
          <cell r="G573" t="str">
            <v>N/A</v>
          </cell>
          <cell r="H573" t="str">
            <v>OVALIDAD</v>
          </cell>
          <cell r="I573"/>
          <cell r="J573" t="str">
            <v>EVELYN ESTUDILLO</v>
          </cell>
          <cell r="K573">
            <v>44952</v>
          </cell>
          <cell r="L573" t="str">
            <v>MAURICIO</v>
          </cell>
          <cell r="M573" t="str">
            <v>PASS</v>
          </cell>
          <cell r="N573" t="str">
            <v>OVALIDAD</v>
          </cell>
        </row>
        <row r="574">
          <cell r="A574">
            <v>20230571</v>
          </cell>
          <cell r="B574">
            <v>44952</v>
          </cell>
          <cell r="C574"/>
          <cell r="D574" t="str">
            <v>720-2</v>
          </cell>
          <cell r="E574" t="str">
            <v>SPR8</v>
          </cell>
          <cell r="F574" t="str">
            <v>34285574C</v>
          </cell>
          <cell r="G574" t="str">
            <v>N/A</v>
          </cell>
          <cell r="H574" t="str">
            <v>CONCENTRICIDAD</v>
          </cell>
          <cell r="I574"/>
          <cell r="J574" t="str">
            <v>EVELYN ESTUDILLO</v>
          </cell>
          <cell r="K574">
            <v>44952</v>
          </cell>
          <cell r="L574" t="str">
            <v>Luis</v>
          </cell>
          <cell r="M574" t="str">
            <v>PASS</v>
          </cell>
          <cell r="N574" t="str">
            <v>CONCENTRICIDAD</v>
          </cell>
        </row>
        <row r="575">
          <cell r="A575">
            <v>20230572</v>
          </cell>
          <cell r="B575">
            <v>44952</v>
          </cell>
          <cell r="C575"/>
          <cell r="D575" t="str">
            <v>720-2</v>
          </cell>
          <cell r="E575" t="str">
            <v>SPR8</v>
          </cell>
          <cell r="F575" t="str">
            <v>34285574C</v>
          </cell>
          <cell r="G575" t="str">
            <v>N/A</v>
          </cell>
          <cell r="H575" t="str">
            <v>CONCENTRICIDAD</v>
          </cell>
          <cell r="I575"/>
          <cell r="J575" t="str">
            <v>EVELYN ESTUDILLO</v>
          </cell>
          <cell r="K575">
            <v>44952</v>
          </cell>
          <cell r="L575" t="str">
            <v>Luis</v>
          </cell>
          <cell r="M575" t="str">
            <v>PASS</v>
          </cell>
          <cell r="N575" t="str">
            <v>CONCENTRICIDAD</v>
          </cell>
        </row>
        <row r="576">
          <cell r="A576">
            <v>20230573</v>
          </cell>
          <cell r="B576">
            <v>44952</v>
          </cell>
          <cell r="C576"/>
          <cell r="D576" t="str">
            <v>720-2</v>
          </cell>
          <cell r="E576" t="str">
            <v>SPR8</v>
          </cell>
          <cell r="F576" t="str">
            <v>34285574C</v>
          </cell>
          <cell r="G576" t="str">
            <v>N/A</v>
          </cell>
          <cell r="H576" t="str">
            <v>OVALIDAD</v>
          </cell>
          <cell r="I576"/>
          <cell r="J576" t="str">
            <v>EVELYN ESTUDILLO</v>
          </cell>
          <cell r="K576">
            <v>44952</v>
          </cell>
          <cell r="L576" t="str">
            <v>Luis</v>
          </cell>
          <cell r="M576" t="str">
            <v>PASS</v>
          </cell>
          <cell r="N576" t="str">
            <v>OVALIDAD</v>
          </cell>
        </row>
        <row r="577">
          <cell r="A577">
            <v>20230574</v>
          </cell>
          <cell r="B577">
            <v>44952</v>
          </cell>
          <cell r="C577"/>
          <cell r="D577" t="str">
            <v>720-2</v>
          </cell>
          <cell r="E577" t="str">
            <v>SPR8</v>
          </cell>
          <cell r="F577" t="str">
            <v>34285574C</v>
          </cell>
          <cell r="G577" t="str">
            <v>N/A</v>
          </cell>
          <cell r="H577" t="str">
            <v>OVALIDAD</v>
          </cell>
          <cell r="I577"/>
          <cell r="J577" t="str">
            <v>EVELYN ESTUDILLO</v>
          </cell>
          <cell r="K577">
            <v>44952</v>
          </cell>
          <cell r="L577" t="str">
            <v>Luis</v>
          </cell>
          <cell r="M577" t="str">
            <v>PASS</v>
          </cell>
          <cell r="N577" t="str">
            <v>OVALIDAD</v>
          </cell>
        </row>
        <row r="578">
          <cell r="A578">
            <v>20230575</v>
          </cell>
          <cell r="B578">
            <v>44952</v>
          </cell>
          <cell r="C578"/>
          <cell r="D578" t="str">
            <v>720-5</v>
          </cell>
          <cell r="E578" t="str">
            <v>SPR8</v>
          </cell>
          <cell r="F578" t="str">
            <v>34364568B</v>
          </cell>
          <cell r="G578" t="str">
            <v>N/A</v>
          </cell>
          <cell r="H578" t="str">
            <v>CONCENTRICIDAD</v>
          </cell>
          <cell r="I578"/>
          <cell r="J578" t="str">
            <v>EVELYN ESTUDILLO</v>
          </cell>
          <cell r="K578">
            <v>44952</v>
          </cell>
          <cell r="L578" t="str">
            <v>Luis</v>
          </cell>
          <cell r="M578" t="str">
            <v>PASS</v>
          </cell>
          <cell r="N578" t="str">
            <v>CONCENTRICIDAD</v>
          </cell>
        </row>
        <row r="579">
          <cell r="A579">
            <v>20230576</v>
          </cell>
          <cell r="B579">
            <v>44952</v>
          </cell>
          <cell r="C579"/>
          <cell r="D579" t="str">
            <v>720-5</v>
          </cell>
          <cell r="E579" t="str">
            <v>SPR8</v>
          </cell>
          <cell r="F579" t="str">
            <v>34364568B</v>
          </cell>
          <cell r="G579" t="str">
            <v>N/A</v>
          </cell>
          <cell r="H579" t="str">
            <v>OVALIDAD</v>
          </cell>
          <cell r="I579"/>
          <cell r="J579" t="str">
            <v>EVELYN ESTUDILLO</v>
          </cell>
          <cell r="K579">
            <v>44952</v>
          </cell>
          <cell r="L579" t="str">
            <v>Luis</v>
          </cell>
          <cell r="M579" t="str">
            <v>PASS</v>
          </cell>
          <cell r="N579" t="str">
            <v>OVALIDAD</v>
          </cell>
        </row>
        <row r="580">
          <cell r="A580">
            <v>20230577</v>
          </cell>
          <cell r="B580">
            <v>44952</v>
          </cell>
          <cell r="C580">
            <v>2</v>
          </cell>
          <cell r="D580" t="str">
            <v>720-1</v>
          </cell>
          <cell r="E580" t="str">
            <v>SPR8</v>
          </cell>
          <cell r="F580" t="str">
            <v>34306788D</v>
          </cell>
          <cell r="G580" t="str">
            <v>N/A</v>
          </cell>
          <cell r="H580" t="str">
            <v>CONCENTRICIDAD</v>
          </cell>
          <cell r="I580"/>
          <cell r="J580" t="str">
            <v>Augusto Rdz</v>
          </cell>
          <cell r="K580">
            <v>44952</v>
          </cell>
          <cell r="L580" t="str">
            <v>Jose</v>
          </cell>
          <cell r="M580" t="str">
            <v>PASS</v>
          </cell>
          <cell r="N580" t="str">
            <v>CONCENTRICIDAD</v>
          </cell>
        </row>
        <row r="581">
          <cell r="A581">
            <v>20230578</v>
          </cell>
          <cell r="B581">
            <v>44952</v>
          </cell>
          <cell r="C581">
            <v>3</v>
          </cell>
          <cell r="D581" t="str">
            <v>720-1</v>
          </cell>
          <cell r="E581" t="str">
            <v>SPR8</v>
          </cell>
          <cell r="F581" t="str">
            <v>34306788D</v>
          </cell>
          <cell r="G581" t="str">
            <v>N/A</v>
          </cell>
          <cell r="H581" t="str">
            <v>OVALIDAD</v>
          </cell>
          <cell r="I581"/>
          <cell r="J581" t="str">
            <v>Augusto Rdz</v>
          </cell>
          <cell r="K581">
            <v>44952</v>
          </cell>
          <cell r="L581" t="str">
            <v>Jose</v>
          </cell>
          <cell r="M581" t="str">
            <v>PASS</v>
          </cell>
          <cell r="N581" t="str">
            <v>OVALIDAD</v>
          </cell>
        </row>
        <row r="582">
          <cell r="A582">
            <v>20230579</v>
          </cell>
          <cell r="B582">
            <v>44952</v>
          </cell>
          <cell r="C582">
            <v>3</v>
          </cell>
          <cell r="D582" t="str">
            <v>720-3</v>
          </cell>
          <cell r="E582" t="str">
            <v>SPR8</v>
          </cell>
          <cell r="F582" t="str">
            <v>34235232G</v>
          </cell>
          <cell r="G582" t="str">
            <v>N/A</v>
          </cell>
          <cell r="H582" t="str">
            <v>CONCENTRICIDAD</v>
          </cell>
          <cell r="I582"/>
          <cell r="J582" t="str">
            <v>Augusto Rdz</v>
          </cell>
          <cell r="K582">
            <v>44952</v>
          </cell>
          <cell r="L582" t="str">
            <v>Jose</v>
          </cell>
          <cell r="M582" t="str">
            <v>PASS</v>
          </cell>
          <cell r="N582" t="str">
            <v>CONCENTRICIDAD</v>
          </cell>
        </row>
        <row r="583">
          <cell r="A583">
            <v>20230580</v>
          </cell>
          <cell r="B583">
            <v>44952</v>
          </cell>
          <cell r="C583">
            <v>3</v>
          </cell>
          <cell r="D583" t="str">
            <v>720-3</v>
          </cell>
          <cell r="E583" t="str">
            <v>SPR8</v>
          </cell>
          <cell r="F583" t="str">
            <v>34235232G</v>
          </cell>
          <cell r="G583" t="str">
            <v>N/A</v>
          </cell>
          <cell r="H583" t="str">
            <v>OVALIDAD</v>
          </cell>
          <cell r="I583"/>
          <cell r="J583" t="str">
            <v>Augusto Rdz</v>
          </cell>
          <cell r="K583">
            <v>44952</v>
          </cell>
          <cell r="L583" t="str">
            <v>Jose</v>
          </cell>
          <cell r="M583" t="str">
            <v>PASS</v>
          </cell>
          <cell r="N583" t="str">
            <v>OVALIDAD</v>
          </cell>
        </row>
        <row r="584">
          <cell r="A584">
            <v>20230581</v>
          </cell>
          <cell r="B584">
            <v>44952</v>
          </cell>
          <cell r="C584">
            <v>3</v>
          </cell>
          <cell r="D584" t="str">
            <v>720-4</v>
          </cell>
          <cell r="E584" t="str">
            <v>SPR8</v>
          </cell>
          <cell r="F584" t="str">
            <v>34309474B</v>
          </cell>
          <cell r="G584" t="str">
            <v>N/A</v>
          </cell>
          <cell r="H584" t="str">
            <v>CONCENTRICIDAD</v>
          </cell>
          <cell r="I584"/>
          <cell r="J584" t="str">
            <v>Augusto Rdz</v>
          </cell>
          <cell r="K584">
            <v>44952</v>
          </cell>
          <cell r="L584" t="str">
            <v>Jose</v>
          </cell>
          <cell r="M584" t="str">
            <v>PASS</v>
          </cell>
          <cell r="N584" t="str">
            <v>CONCENTRICIDAD</v>
          </cell>
        </row>
        <row r="585">
          <cell r="A585">
            <v>20230582</v>
          </cell>
          <cell r="B585">
            <v>44952</v>
          </cell>
          <cell r="C585">
            <v>3</v>
          </cell>
          <cell r="D585" t="str">
            <v>720-4</v>
          </cell>
          <cell r="E585" t="str">
            <v>SPR8</v>
          </cell>
          <cell r="F585" t="str">
            <v>34309474B</v>
          </cell>
          <cell r="G585" t="str">
            <v>N/A</v>
          </cell>
          <cell r="H585" t="str">
            <v>OVALIDAD</v>
          </cell>
          <cell r="I585"/>
          <cell r="J585" t="str">
            <v>Augusto Rdz</v>
          </cell>
          <cell r="K585">
            <v>44952</v>
          </cell>
          <cell r="L585" t="str">
            <v>Jose</v>
          </cell>
          <cell r="M585" t="str">
            <v>PASS</v>
          </cell>
          <cell r="N585" t="str">
            <v>OVALIDAD</v>
          </cell>
        </row>
        <row r="586">
          <cell r="A586">
            <v>20230583</v>
          </cell>
          <cell r="B586">
            <v>44952</v>
          </cell>
          <cell r="C586">
            <v>2</v>
          </cell>
          <cell r="D586" t="str">
            <v>720-6</v>
          </cell>
          <cell r="E586" t="str">
            <v>SPR8</v>
          </cell>
          <cell r="F586" t="str">
            <v>A020R619B</v>
          </cell>
          <cell r="G586" t="str">
            <v>N/A</v>
          </cell>
          <cell r="H586" t="str">
            <v>CONCENTRICIDAD</v>
          </cell>
          <cell r="I586"/>
          <cell r="J586" t="str">
            <v>Augusto Rdz</v>
          </cell>
          <cell r="K586">
            <v>44952</v>
          </cell>
          <cell r="L586" t="str">
            <v>Jose</v>
          </cell>
          <cell r="M586" t="str">
            <v>PASS</v>
          </cell>
          <cell r="N586" t="str">
            <v>CONCENTRICIDAD</v>
          </cell>
        </row>
        <row r="587">
          <cell r="A587">
            <v>20230584</v>
          </cell>
          <cell r="B587">
            <v>44952</v>
          </cell>
          <cell r="C587">
            <v>2</v>
          </cell>
          <cell r="D587" t="str">
            <v>720-6</v>
          </cell>
          <cell r="E587" t="str">
            <v>SPR8</v>
          </cell>
          <cell r="F587" t="str">
            <v>A020R619B</v>
          </cell>
          <cell r="G587" t="str">
            <v>N/A</v>
          </cell>
          <cell r="H587" t="str">
            <v>OVALIDAD</v>
          </cell>
          <cell r="I587"/>
          <cell r="J587" t="str">
            <v>Augusto Rdz</v>
          </cell>
          <cell r="K587">
            <v>44952</v>
          </cell>
          <cell r="L587" t="str">
            <v>Jose</v>
          </cell>
          <cell r="M587" t="str">
            <v>PASS</v>
          </cell>
          <cell r="N587" t="str">
            <v>OVALIDAD</v>
          </cell>
        </row>
        <row r="588">
          <cell r="A588">
            <v>20230585</v>
          </cell>
          <cell r="B588">
            <v>44953</v>
          </cell>
          <cell r="C588">
            <v>1</v>
          </cell>
          <cell r="D588" t="str">
            <v>703-A</v>
          </cell>
          <cell r="E588" t="str">
            <v>A100</v>
          </cell>
          <cell r="F588" t="str">
            <v>A012R614B</v>
          </cell>
          <cell r="G588" t="str">
            <v>N/A</v>
          </cell>
          <cell r="H588" t="str">
            <v>16,35,5,9,7,11</v>
          </cell>
          <cell r="I588"/>
          <cell r="J588" t="str">
            <v>Laura Castillo</v>
          </cell>
          <cell r="K588">
            <v>44953</v>
          </cell>
          <cell r="L588" t="str">
            <v>Nohemi</v>
          </cell>
          <cell r="M588" t="str">
            <v>PASS</v>
          </cell>
          <cell r="N588" t="str">
            <v>A0038M7086A-C
A0038M7091A-A</v>
          </cell>
        </row>
        <row r="589">
          <cell r="A589">
            <v>20230586</v>
          </cell>
          <cell r="B589">
            <v>44953</v>
          </cell>
          <cell r="C589">
            <v>1</v>
          </cell>
          <cell r="D589" t="str">
            <v>703-A</v>
          </cell>
          <cell r="E589" t="str">
            <v>A100</v>
          </cell>
          <cell r="F589" t="str">
            <v>A012R613B</v>
          </cell>
          <cell r="G589" t="str">
            <v>N/A</v>
          </cell>
          <cell r="H589" t="str">
            <v>16,35,31,32,5,9,7,11</v>
          </cell>
          <cell r="I589"/>
          <cell r="J589" t="str">
            <v>Laura Castillo</v>
          </cell>
          <cell r="K589">
            <v>44953</v>
          </cell>
          <cell r="L589" t="str">
            <v>Nohemi</v>
          </cell>
          <cell r="M589" t="str">
            <v>PASS</v>
          </cell>
          <cell r="N589" t="str">
            <v>A0038M7086A-C
A0038M7091A-A</v>
          </cell>
        </row>
        <row r="590">
          <cell r="A590">
            <v>20230587</v>
          </cell>
          <cell r="B590">
            <v>44953</v>
          </cell>
          <cell r="C590">
            <v>1</v>
          </cell>
          <cell r="D590" t="str">
            <v>703-A</v>
          </cell>
          <cell r="E590" t="str">
            <v>A100</v>
          </cell>
          <cell r="F590" t="str">
            <v>A015C041B</v>
          </cell>
          <cell r="G590" t="str">
            <v>N/A</v>
          </cell>
          <cell r="H590" t="str">
            <v>16,35,5,9,7,11</v>
          </cell>
          <cell r="I590"/>
          <cell r="J590" t="str">
            <v>Laura Castillo</v>
          </cell>
          <cell r="K590">
            <v>44953</v>
          </cell>
          <cell r="L590" t="str">
            <v>Nohemi</v>
          </cell>
          <cell r="M590" t="str">
            <v>PASS</v>
          </cell>
          <cell r="N590" t="str">
            <v>A0038M7086A-C
A0038M7091A-A</v>
          </cell>
        </row>
        <row r="591">
          <cell r="A591">
            <v>20230588</v>
          </cell>
          <cell r="B591">
            <v>44953</v>
          </cell>
          <cell r="C591">
            <v>1</v>
          </cell>
          <cell r="D591" t="str">
            <v>716-1</v>
          </cell>
          <cell r="E591" t="str">
            <v>JL MCA</v>
          </cell>
          <cell r="F591" t="str">
            <v>A024V113A</v>
          </cell>
          <cell r="G591" t="str">
            <v>N/A</v>
          </cell>
          <cell r="H591" t="str">
            <v>94,52,53,54,69,55</v>
          </cell>
          <cell r="I591"/>
          <cell r="J591" t="str">
            <v>Laura Castillo</v>
          </cell>
          <cell r="K591">
            <v>44953</v>
          </cell>
          <cell r="L591" t="str">
            <v>Nohemi</v>
          </cell>
          <cell r="M591" t="str">
            <v>NO PASS</v>
          </cell>
          <cell r="N591" t="str">
            <v>A0033G4820A C</v>
          </cell>
        </row>
        <row r="592">
          <cell r="A592">
            <v>20230589</v>
          </cell>
          <cell r="B592">
            <v>44953</v>
          </cell>
          <cell r="C592">
            <v>1</v>
          </cell>
          <cell r="D592" t="str">
            <v>720-1</v>
          </cell>
          <cell r="E592" t="str">
            <v>SPR8</v>
          </cell>
          <cell r="F592" t="str">
            <v>34324760D</v>
          </cell>
          <cell r="G592" t="str">
            <v>N/A</v>
          </cell>
          <cell r="H592" t="str">
            <v>CONCENTRICIDAD</v>
          </cell>
          <cell r="I592"/>
          <cell r="J592" t="str">
            <v>EVELYN ESTUDILLO</v>
          </cell>
          <cell r="K592">
            <v>44953</v>
          </cell>
          <cell r="L592" t="str">
            <v>MAURICIO</v>
          </cell>
          <cell r="M592" t="str">
            <v>PASS</v>
          </cell>
          <cell r="N592" t="str">
            <v>CONCENTRICIDAD</v>
          </cell>
        </row>
        <row r="593">
          <cell r="A593">
            <v>20230590</v>
          </cell>
          <cell r="B593">
            <v>44953</v>
          </cell>
          <cell r="C593">
            <v>1</v>
          </cell>
          <cell r="D593" t="str">
            <v>720-4</v>
          </cell>
          <cell r="E593" t="str">
            <v>SPR8</v>
          </cell>
          <cell r="F593" t="str">
            <v>34309473B</v>
          </cell>
          <cell r="G593" t="str">
            <v>N/A</v>
          </cell>
          <cell r="H593" t="str">
            <v>CONCENTRICIDAD</v>
          </cell>
          <cell r="I593"/>
          <cell r="J593" t="str">
            <v>EVELYN ESTUDILLO</v>
          </cell>
          <cell r="K593">
            <v>44953</v>
          </cell>
          <cell r="L593" t="str">
            <v>MAURICIO</v>
          </cell>
          <cell r="M593" t="str">
            <v>PASS</v>
          </cell>
          <cell r="N593" t="str">
            <v>CONCENTRICIDAD</v>
          </cell>
        </row>
        <row r="594">
          <cell r="A594">
            <v>20230591</v>
          </cell>
          <cell r="B594">
            <v>44953</v>
          </cell>
          <cell r="C594">
            <v>1</v>
          </cell>
          <cell r="D594" t="str">
            <v>720-5</v>
          </cell>
          <cell r="E594" t="str">
            <v>SPR8</v>
          </cell>
          <cell r="F594" t="str">
            <v>34327673B</v>
          </cell>
          <cell r="G594" t="str">
            <v>N/A</v>
          </cell>
          <cell r="H594" t="str">
            <v>CONCENTRICIDAD</v>
          </cell>
          <cell r="I594"/>
          <cell r="J594" t="str">
            <v>EVELYN ESTUDILLO</v>
          </cell>
          <cell r="K594">
            <v>44953</v>
          </cell>
          <cell r="L594" t="str">
            <v>MAURICIO</v>
          </cell>
          <cell r="M594" t="str">
            <v>PASS</v>
          </cell>
          <cell r="N594" t="str">
            <v>CONCENTRICIDAD</v>
          </cell>
        </row>
        <row r="595">
          <cell r="A595">
            <v>20230592</v>
          </cell>
          <cell r="B595">
            <v>44953</v>
          </cell>
          <cell r="C595">
            <v>1</v>
          </cell>
          <cell r="D595" t="str">
            <v>720-6</v>
          </cell>
          <cell r="E595" t="str">
            <v>SPR8</v>
          </cell>
          <cell r="F595" t="str">
            <v>A020R619B</v>
          </cell>
          <cell r="G595" t="str">
            <v>N/A</v>
          </cell>
          <cell r="H595" t="str">
            <v>CONCENTRICIDAD</v>
          </cell>
          <cell r="I595"/>
          <cell r="J595" t="str">
            <v>EVELYN ESTUDILLO</v>
          </cell>
          <cell r="K595">
            <v>44953</v>
          </cell>
          <cell r="L595" t="str">
            <v>MAURICIO</v>
          </cell>
          <cell r="M595" t="str">
            <v>PASS</v>
          </cell>
          <cell r="N595" t="str">
            <v>CONCENTRICIDAD</v>
          </cell>
        </row>
        <row r="596">
          <cell r="A596">
            <v>20230593</v>
          </cell>
          <cell r="B596">
            <v>44953</v>
          </cell>
          <cell r="C596">
            <v>1</v>
          </cell>
          <cell r="D596" t="str">
            <v>720-2</v>
          </cell>
          <cell r="E596" t="str">
            <v>SPR8</v>
          </cell>
          <cell r="F596" t="str">
            <v>34285573C</v>
          </cell>
          <cell r="G596" t="str">
            <v>N/A</v>
          </cell>
          <cell r="H596" t="str">
            <v>CONCENTRICIDAD</v>
          </cell>
          <cell r="I596"/>
          <cell r="J596" t="str">
            <v>EVELYN ESTUDILLO</v>
          </cell>
          <cell r="K596">
            <v>44953</v>
          </cell>
          <cell r="L596" t="str">
            <v>MAURICIO</v>
          </cell>
          <cell r="M596" t="str">
            <v>PASS</v>
          </cell>
          <cell r="N596" t="str">
            <v>CONCENTRICIDAD</v>
          </cell>
        </row>
        <row r="597">
          <cell r="A597">
            <v>20230594</v>
          </cell>
          <cell r="B597">
            <v>44953</v>
          </cell>
          <cell r="C597">
            <v>1</v>
          </cell>
          <cell r="D597" t="str">
            <v>720-3</v>
          </cell>
          <cell r="E597" t="str">
            <v>SPR8</v>
          </cell>
          <cell r="F597" t="str">
            <v>34235231G</v>
          </cell>
          <cell r="G597" t="str">
            <v>N/A</v>
          </cell>
          <cell r="H597" t="str">
            <v>CONCENTRICIDAD</v>
          </cell>
          <cell r="I597"/>
          <cell r="J597" t="str">
            <v>EVELYN ESTUDILLO</v>
          </cell>
          <cell r="K597">
            <v>44953</v>
          </cell>
          <cell r="L597" t="str">
            <v>MAURICIO</v>
          </cell>
          <cell r="M597" t="str">
            <v>PASS</v>
          </cell>
          <cell r="N597" t="str">
            <v>CONCENTRICIDAD</v>
          </cell>
        </row>
        <row r="598">
          <cell r="A598">
            <v>20230595</v>
          </cell>
          <cell r="B598">
            <v>44953</v>
          </cell>
          <cell r="C598">
            <v>1</v>
          </cell>
          <cell r="D598" t="str">
            <v>720-1</v>
          </cell>
          <cell r="E598" t="str">
            <v>SPR8</v>
          </cell>
          <cell r="F598" t="str">
            <v>34324760D</v>
          </cell>
          <cell r="G598" t="str">
            <v>N/A</v>
          </cell>
          <cell r="H598" t="str">
            <v>OVALIDAD</v>
          </cell>
          <cell r="I598"/>
          <cell r="J598" t="str">
            <v>EVELYN ESTUDILLO</v>
          </cell>
          <cell r="K598">
            <v>44953</v>
          </cell>
          <cell r="L598" t="str">
            <v>MAURICIO</v>
          </cell>
          <cell r="M598" t="str">
            <v>PASS</v>
          </cell>
          <cell r="N598" t="str">
            <v>OVALIDAD</v>
          </cell>
        </row>
        <row r="599">
          <cell r="A599">
            <v>20230596</v>
          </cell>
          <cell r="B599">
            <v>44953</v>
          </cell>
          <cell r="C599">
            <v>1</v>
          </cell>
          <cell r="D599" t="str">
            <v>720-4</v>
          </cell>
          <cell r="E599" t="str">
            <v>SPR8</v>
          </cell>
          <cell r="F599" t="str">
            <v>34309473B</v>
          </cell>
          <cell r="G599" t="str">
            <v>N/A</v>
          </cell>
          <cell r="H599" t="str">
            <v>OVALIDAD</v>
          </cell>
          <cell r="I599"/>
          <cell r="J599" t="str">
            <v>EVELYN ESTUDILLO</v>
          </cell>
          <cell r="K599">
            <v>44953</v>
          </cell>
          <cell r="L599" t="str">
            <v>MAURICIO</v>
          </cell>
          <cell r="M599" t="str">
            <v>PASS</v>
          </cell>
          <cell r="N599" t="str">
            <v>OVALIDAD</v>
          </cell>
        </row>
        <row r="600">
          <cell r="A600">
            <v>20230597</v>
          </cell>
          <cell r="B600">
            <v>44953</v>
          </cell>
          <cell r="C600">
            <v>1</v>
          </cell>
          <cell r="D600" t="str">
            <v>720-5</v>
          </cell>
          <cell r="E600" t="str">
            <v>SPR8</v>
          </cell>
          <cell r="F600" t="str">
            <v>34327673B</v>
          </cell>
          <cell r="G600" t="str">
            <v>N/A</v>
          </cell>
          <cell r="H600" t="str">
            <v>OVALIDAD</v>
          </cell>
          <cell r="I600"/>
          <cell r="J600" t="str">
            <v>EVELYN ESTUDILLO</v>
          </cell>
          <cell r="K600">
            <v>44953</v>
          </cell>
          <cell r="L600" t="str">
            <v>MAURICIO</v>
          </cell>
          <cell r="M600" t="str">
            <v>PASS</v>
          </cell>
          <cell r="N600" t="str">
            <v>OVALIDAD</v>
          </cell>
        </row>
        <row r="601">
          <cell r="A601">
            <v>20230598</v>
          </cell>
          <cell r="B601">
            <v>44953</v>
          </cell>
          <cell r="C601">
            <v>1</v>
          </cell>
          <cell r="D601" t="str">
            <v>720-6</v>
          </cell>
          <cell r="E601" t="str">
            <v>SPR8</v>
          </cell>
          <cell r="F601" t="str">
            <v>A020R619B</v>
          </cell>
          <cell r="G601" t="str">
            <v>N/A</v>
          </cell>
          <cell r="H601" t="str">
            <v>OVALIDAD</v>
          </cell>
          <cell r="I601"/>
          <cell r="J601" t="str">
            <v>EVELYN ESTUDILLO</v>
          </cell>
          <cell r="K601">
            <v>44953</v>
          </cell>
          <cell r="L601" t="str">
            <v>MAURICIO</v>
          </cell>
          <cell r="M601" t="str">
            <v>PASS</v>
          </cell>
          <cell r="N601" t="str">
            <v>OVALIDAD</v>
          </cell>
        </row>
        <row r="602">
          <cell r="A602">
            <v>20230599</v>
          </cell>
          <cell r="B602">
            <v>44953</v>
          </cell>
          <cell r="C602">
            <v>1</v>
          </cell>
          <cell r="D602" t="str">
            <v>720-2</v>
          </cell>
          <cell r="E602" t="str">
            <v>SPR8</v>
          </cell>
          <cell r="F602" t="str">
            <v>34285573C</v>
          </cell>
          <cell r="G602" t="str">
            <v>N/A</v>
          </cell>
          <cell r="H602" t="str">
            <v>OVALIDAD</v>
          </cell>
          <cell r="I602"/>
          <cell r="J602" t="str">
            <v>EVELYN ESTUDILLO</v>
          </cell>
          <cell r="K602">
            <v>44953</v>
          </cell>
          <cell r="L602" t="str">
            <v>MAURICIO</v>
          </cell>
          <cell r="M602" t="str">
            <v>PASS</v>
          </cell>
          <cell r="N602" t="str">
            <v>OVALIDAD</v>
          </cell>
        </row>
        <row r="603">
          <cell r="A603">
            <v>20230600</v>
          </cell>
          <cell r="B603">
            <v>44953</v>
          </cell>
          <cell r="C603">
            <v>1</v>
          </cell>
          <cell r="D603" t="str">
            <v>720-3</v>
          </cell>
          <cell r="E603" t="str">
            <v>SPR8</v>
          </cell>
          <cell r="F603" t="str">
            <v>34235231G</v>
          </cell>
          <cell r="G603" t="str">
            <v>N/A</v>
          </cell>
          <cell r="H603" t="str">
            <v>OVALIDAD</v>
          </cell>
          <cell r="I603"/>
          <cell r="J603" t="str">
            <v>EVELYN ESTUDILLO</v>
          </cell>
          <cell r="K603">
            <v>44953</v>
          </cell>
          <cell r="L603" t="str">
            <v>MAURICIO</v>
          </cell>
          <cell r="M603" t="str">
            <v>PASS</v>
          </cell>
          <cell r="N603" t="str">
            <v>OVALIDAD</v>
          </cell>
        </row>
        <row r="604">
          <cell r="A604">
            <v>20230601</v>
          </cell>
          <cell r="B604">
            <v>44953</v>
          </cell>
          <cell r="C604">
            <v>1</v>
          </cell>
          <cell r="D604" t="str">
            <v>720-3</v>
          </cell>
          <cell r="E604" t="str">
            <v>SPR8</v>
          </cell>
          <cell r="F604" t="str">
            <v>A023P556B</v>
          </cell>
          <cell r="G604" t="str">
            <v>N/A</v>
          </cell>
          <cell r="H604" t="str">
            <v>CONCENTRICIDAD</v>
          </cell>
          <cell r="I604"/>
          <cell r="J604" t="str">
            <v>Laura Castillo</v>
          </cell>
          <cell r="K604">
            <v>44953</v>
          </cell>
          <cell r="L604" t="str">
            <v>Nohemi</v>
          </cell>
          <cell r="M604" t="str">
            <v>PASS</v>
          </cell>
          <cell r="N604" t="str">
            <v>CONCENTRICIDAD</v>
          </cell>
        </row>
        <row r="605">
          <cell r="A605">
            <v>20230602</v>
          </cell>
          <cell r="B605">
            <v>44953</v>
          </cell>
          <cell r="C605">
            <v>1</v>
          </cell>
          <cell r="D605" t="str">
            <v>720-3</v>
          </cell>
          <cell r="E605" t="str">
            <v>SPR8</v>
          </cell>
          <cell r="F605" t="str">
            <v>A023P556B</v>
          </cell>
          <cell r="G605" t="str">
            <v>N/A</v>
          </cell>
          <cell r="H605" t="str">
            <v>OVALIDAD</v>
          </cell>
          <cell r="I605"/>
          <cell r="J605" t="str">
            <v>Laura Castillo</v>
          </cell>
          <cell r="K605">
            <v>44953</v>
          </cell>
          <cell r="L605" t="str">
            <v>Nohemi</v>
          </cell>
          <cell r="M605" t="str">
            <v>PASS</v>
          </cell>
          <cell r="N605" t="str">
            <v>OVALIDAD</v>
          </cell>
        </row>
        <row r="606">
          <cell r="A606">
            <v>20230603</v>
          </cell>
          <cell r="B606">
            <v>44953</v>
          </cell>
          <cell r="C606">
            <v>3</v>
          </cell>
          <cell r="D606" t="str">
            <v>720-1</v>
          </cell>
          <cell r="E606" t="str">
            <v>SPR8</v>
          </cell>
          <cell r="F606" t="str">
            <v>34324760D</v>
          </cell>
          <cell r="G606" t="str">
            <v>N/A</v>
          </cell>
          <cell r="H606" t="str">
            <v>CONCENTRICIDAD</v>
          </cell>
          <cell r="I606"/>
          <cell r="J606" t="str">
            <v>Augusto Rdz</v>
          </cell>
          <cell r="K606">
            <v>44953</v>
          </cell>
          <cell r="L606" t="str">
            <v>Carlos</v>
          </cell>
          <cell r="M606" t="str">
            <v>PASS</v>
          </cell>
          <cell r="N606" t="str">
            <v>CONCENTRICIDAD</v>
          </cell>
        </row>
        <row r="607">
          <cell r="A607">
            <v>20230604</v>
          </cell>
          <cell r="B607">
            <v>44953</v>
          </cell>
          <cell r="C607">
            <v>3</v>
          </cell>
          <cell r="D607" t="str">
            <v>720-1</v>
          </cell>
          <cell r="E607" t="str">
            <v>SPR8</v>
          </cell>
          <cell r="F607" t="str">
            <v>34324760D</v>
          </cell>
          <cell r="G607" t="str">
            <v>N/A</v>
          </cell>
          <cell r="H607" t="str">
            <v>OVALIDAD</v>
          </cell>
          <cell r="I607"/>
          <cell r="J607" t="str">
            <v>Augusto Rdz</v>
          </cell>
          <cell r="K607">
            <v>44953</v>
          </cell>
          <cell r="L607" t="str">
            <v>Carlos</v>
          </cell>
          <cell r="M607" t="str">
            <v>PASS</v>
          </cell>
          <cell r="N607" t="str">
            <v>OVALIDAD</v>
          </cell>
        </row>
        <row r="608">
          <cell r="A608">
            <v>20230605</v>
          </cell>
          <cell r="B608">
            <v>44953</v>
          </cell>
          <cell r="C608">
            <v>3</v>
          </cell>
          <cell r="D608" t="str">
            <v>720-2</v>
          </cell>
          <cell r="E608" t="str">
            <v>SPR8</v>
          </cell>
          <cell r="F608" t="str">
            <v>34324758A</v>
          </cell>
          <cell r="G608" t="str">
            <v>N/A</v>
          </cell>
          <cell r="H608" t="str">
            <v>CONCENTRICIDAD</v>
          </cell>
          <cell r="I608"/>
          <cell r="J608" t="str">
            <v>Augusto Rdz</v>
          </cell>
          <cell r="K608">
            <v>44953</v>
          </cell>
          <cell r="L608" t="str">
            <v>Carlos</v>
          </cell>
          <cell r="M608" t="str">
            <v>PASS</v>
          </cell>
          <cell r="N608" t="str">
            <v>CONCENTRICIDAD</v>
          </cell>
        </row>
        <row r="609">
          <cell r="A609">
            <v>20230606</v>
          </cell>
          <cell r="B609">
            <v>44953</v>
          </cell>
          <cell r="C609">
            <v>3</v>
          </cell>
          <cell r="D609" t="str">
            <v>720-2</v>
          </cell>
          <cell r="E609" t="str">
            <v>SPR8</v>
          </cell>
          <cell r="F609" t="str">
            <v>34324758A</v>
          </cell>
          <cell r="G609" t="str">
            <v>N/A</v>
          </cell>
          <cell r="H609" t="str">
            <v>OVALIDAD</v>
          </cell>
          <cell r="I609"/>
          <cell r="J609" t="str">
            <v>Augusto Rdz</v>
          </cell>
          <cell r="K609">
            <v>44953</v>
          </cell>
          <cell r="L609" t="str">
            <v>Carlos</v>
          </cell>
          <cell r="M609" t="str">
            <v>PASS</v>
          </cell>
          <cell r="N609" t="str">
            <v>OVALIDAD</v>
          </cell>
        </row>
        <row r="610">
          <cell r="A610">
            <v>20230607</v>
          </cell>
          <cell r="B610">
            <v>44953</v>
          </cell>
          <cell r="C610">
            <v>3</v>
          </cell>
          <cell r="D610" t="str">
            <v>720-5</v>
          </cell>
          <cell r="E610" t="str">
            <v>SPR8</v>
          </cell>
          <cell r="F610" t="str">
            <v>34364565B</v>
          </cell>
          <cell r="G610" t="str">
            <v>N/A</v>
          </cell>
          <cell r="H610" t="str">
            <v>CONCENTRICIDAD</v>
          </cell>
          <cell r="I610"/>
          <cell r="J610" t="str">
            <v>Augusto Rdz</v>
          </cell>
          <cell r="K610">
            <v>44953</v>
          </cell>
          <cell r="L610" t="str">
            <v>Carlos</v>
          </cell>
          <cell r="M610" t="str">
            <v>PASS</v>
          </cell>
          <cell r="N610" t="str">
            <v>CONCENTRICIDAD</v>
          </cell>
        </row>
        <row r="611">
          <cell r="A611">
            <v>20230608</v>
          </cell>
          <cell r="B611">
            <v>44953</v>
          </cell>
          <cell r="C611">
            <v>3</v>
          </cell>
          <cell r="D611" t="str">
            <v>720-5</v>
          </cell>
          <cell r="E611" t="str">
            <v>SPR8</v>
          </cell>
          <cell r="F611" t="str">
            <v>34364565B</v>
          </cell>
          <cell r="G611" t="str">
            <v>N/A</v>
          </cell>
          <cell r="H611" t="str">
            <v>OVALIDAD</v>
          </cell>
          <cell r="I611"/>
          <cell r="J611" t="str">
            <v>Augusto Rdz</v>
          </cell>
          <cell r="K611">
            <v>44953</v>
          </cell>
          <cell r="L611" t="str">
            <v>Carlos</v>
          </cell>
          <cell r="M611" t="str">
            <v>PASS</v>
          </cell>
          <cell r="N611" t="str">
            <v>OVALIDAD</v>
          </cell>
        </row>
        <row r="612">
          <cell r="A612">
            <v>20230609</v>
          </cell>
          <cell r="B612">
            <v>44953</v>
          </cell>
          <cell r="C612">
            <v>3</v>
          </cell>
          <cell r="D612" t="str">
            <v>720-4</v>
          </cell>
          <cell r="E612" t="str">
            <v>SPR8</v>
          </cell>
          <cell r="F612" t="str">
            <v>34361271A</v>
          </cell>
          <cell r="G612" t="str">
            <v>N/A</v>
          </cell>
          <cell r="H612" t="str">
            <v>CONCENTRICIDAD</v>
          </cell>
          <cell r="I612"/>
          <cell r="J612" t="str">
            <v>Augusto Rdz</v>
          </cell>
          <cell r="K612">
            <v>44953</v>
          </cell>
          <cell r="L612" t="str">
            <v>Carlos</v>
          </cell>
          <cell r="M612" t="str">
            <v>PASS</v>
          </cell>
          <cell r="N612" t="str">
            <v>CONCENTRICIDAD</v>
          </cell>
        </row>
        <row r="613">
          <cell r="A613">
            <v>20230610</v>
          </cell>
          <cell r="B613">
            <v>44953</v>
          </cell>
          <cell r="C613">
            <v>3</v>
          </cell>
          <cell r="D613" t="str">
            <v>720-4</v>
          </cell>
          <cell r="E613" t="str">
            <v>SPR8</v>
          </cell>
          <cell r="F613" t="str">
            <v>34361271A</v>
          </cell>
          <cell r="G613" t="str">
            <v>N/A</v>
          </cell>
          <cell r="H613" t="str">
            <v>OVALIDAD</v>
          </cell>
          <cell r="I613"/>
          <cell r="J613" t="str">
            <v>Augusto Rdz</v>
          </cell>
          <cell r="K613">
            <v>44953</v>
          </cell>
          <cell r="L613" t="str">
            <v>Carlos</v>
          </cell>
          <cell r="M613" t="str">
            <v>PASS</v>
          </cell>
          <cell r="N613" t="str">
            <v>OVALIDAD</v>
          </cell>
        </row>
        <row r="614">
          <cell r="A614">
            <v>20230611</v>
          </cell>
          <cell r="B614">
            <v>44953</v>
          </cell>
          <cell r="C614">
            <v>3</v>
          </cell>
          <cell r="D614" t="str">
            <v>720-3</v>
          </cell>
          <cell r="E614" t="str">
            <v>SPR8</v>
          </cell>
          <cell r="F614" t="str">
            <v>34235231G</v>
          </cell>
          <cell r="G614" t="str">
            <v>N/A</v>
          </cell>
          <cell r="H614" t="str">
            <v>CONCENTRICIDAD</v>
          </cell>
          <cell r="I614">
            <v>18</v>
          </cell>
          <cell r="J614" t="str">
            <v>Augusto Rdz</v>
          </cell>
          <cell r="K614">
            <v>44953</v>
          </cell>
          <cell r="L614" t="str">
            <v>Ernesto</v>
          </cell>
          <cell r="M614" t="str">
            <v>PASS</v>
          </cell>
          <cell r="N614" t="str">
            <v>CONCENTRICIDAD</v>
          </cell>
        </row>
        <row r="615">
          <cell r="A615">
            <v>20230612</v>
          </cell>
          <cell r="B615">
            <v>44953</v>
          </cell>
          <cell r="C615">
            <v>3</v>
          </cell>
          <cell r="D615" t="str">
            <v>720-3</v>
          </cell>
          <cell r="E615" t="str">
            <v>SPR8</v>
          </cell>
          <cell r="F615" t="str">
            <v>34235231G</v>
          </cell>
          <cell r="G615" t="str">
            <v>N/A</v>
          </cell>
          <cell r="H615" t="str">
            <v>OVALIDAD</v>
          </cell>
          <cell r="I615">
            <v>18</v>
          </cell>
          <cell r="J615" t="str">
            <v>Augusto Rdz</v>
          </cell>
          <cell r="K615">
            <v>44953</v>
          </cell>
          <cell r="L615" t="str">
            <v>Ernesto</v>
          </cell>
          <cell r="M615" t="str">
            <v>PASS</v>
          </cell>
          <cell r="N615" t="str">
            <v>OVALIDAD</v>
          </cell>
        </row>
        <row r="616">
          <cell r="A616">
            <v>20230613</v>
          </cell>
          <cell r="B616">
            <v>44954</v>
          </cell>
          <cell r="C616">
            <v>1</v>
          </cell>
          <cell r="D616" t="str">
            <v>720-1</v>
          </cell>
          <cell r="E616" t="str">
            <v>SPR8</v>
          </cell>
          <cell r="F616" t="str">
            <v>34324759E</v>
          </cell>
          <cell r="G616" t="str">
            <v>N/A</v>
          </cell>
          <cell r="H616" t="str">
            <v>CONCENTRICIDAD</v>
          </cell>
          <cell r="I616"/>
          <cell r="J616" t="str">
            <v>EVELYN ESTUDILLO</v>
          </cell>
          <cell r="K616">
            <v>44954</v>
          </cell>
          <cell r="L616" t="str">
            <v>Nohemi</v>
          </cell>
          <cell r="M616" t="str">
            <v>PASS</v>
          </cell>
          <cell r="N616" t="str">
            <v>CONCENTRICIDAD</v>
          </cell>
        </row>
        <row r="617">
          <cell r="A617">
            <v>20230614</v>
          </cell>
          <cell r="B617">
            <v>44954</v>
          </cell>
          <cell r="C617">
            <v>1</v>
          </cell>
          <cell r="D617" t="str">
            <v>720-2</v>
          </cell>
          <cell r="E617" t="str">
            <v>SPR8</v>
          </cell>
          <cell r="F617" t="str">
            <v>34296437C</v>
          </cell>
          <cell r="G617" t="str">
            <v>N/A</v>
          </cell>
          <cell r="H617" t="str">
            <v>CONCENTRICIDAD</v>
          </cell>
          <cell r="I617"/>
          <cell r="J617" t="str">
            <v>EVELYN ESTUDILLO</v>
          </cell>
          <cell r="K617">
            <v>44954</v>
          </cell>
          <cell r="L617" t="str">
            <v>Nohemi</v>
          </cell>
          <cell r="M617" t="str">
            <v>PASS</v>
          </cell>
          <cell r="N617" t="str">
            <v>CONCENTRICIDAD</v>
          </cell>
        </row>
        <row r="618">
          <cell r="A618">
            <v>20230615</v>
          </cell>
          <cell r="B618">
            <v>44954</v>
          </cell>
          <cell r="C618">
            <v>1</v>
          </cell>
          <cell r="D618" t="str">
            <v>720-3</v>
          </cell>
          <cell r="E618" t="str">
            <v>SPR8</v>
          </cell>
          <cell r="F618" t="str">
            <v>34235231G</v>
          </cell>
          <cell r="G618" t="str">
            <v>N/A</v>
          </cell>
          <cell r="H618" t="str">
            <v>CONCENTRICIDAD</v>
          </cell>
          <cell r="I618"/>
          <cell r="J618" t="str">
            <v>EVELYN ESTUDILLO</v>
          </cell>
          <cell r="K618">
            <v>44954</v>
          </cell>
          <cell r="L618" t="str">
            <v>Nohemi</v>
          </cell>
          <cell r="M618" t="str">
            <v>PASS</v>
          </cell>
          <cell r="N618" t="str">
            <v>CONCENTRICIDAD</v>
          </cell>
        </row>
        <row r="619">
          <cell r="A619">
            <v>20230616</v>
          </cell>
          <cell r="B619">
            <v>44954</v>
          </cell>
          <cell r="C619">
            <v>1</v>
          </cell>
          <cell r="D619" t="str">
            <v>720-4</v>
          </cell>
          <cell r="E619" t="str">
            <v>SPR8</v>
          </cell>
          <cell r="F619" t="str">
            <v>34361271A</v>
          </cell>
          <cell r="G619" t="str">
            <v>N/A</v>
          </cell>
          <cell r="H619" t="str">
            <v>CONCENTRICIDAD</v>
          </cell>
          <cell r="I619"/>
          <cell r="J619" t="str">
            <v>EVELYN ESTUDILLO</v>
          </cell>
          <cell r="K619">
            <v>44954</v>
          </cell>
          <cell r="L619" t="str">
            <v>Nohemi</v>
          </cell>
          <cell r="M619" t="str">
            <v>PASS</v>
          </cell>
          <cell r="N619" t="str">
            <v>CONCENTRICIDAD</v>
          </cell>
        </row>
        <row r="620">
          <cell r="A620">
            <v>20230617</v>
          </cell>
          <cell r="B620">
            <v>44954</v>
          </cell>
          <cell r="C620">
            <v>1</v>
          </cell>
          <cell r="D620" t="str">
            <v>720-5</v>
          </cell>
          <cell r="E620" t="str">
            <v>SPR8</v>
          </cell>
          <cell r="F620" t="str">
            <v>34235233G</v>
          </cell>
          <cell r="G620" t="str">
            <v>N/A</v>
          </cell>
          <cell r="H620" t="str">
            <v>CONCENTRICIDAD</v>
          </cell>
          <cell r="I620"/>
          <cell r="J620" t="str">
            <v>EVELYN ESTUDILLO</v>
          </cell>
          <cell r="K620">
            <v>44954</v>
          </cell>
          <cell r="L620" t="str">
            <v>Nohemi</v>
          </cell>
          <cell r="M620" t="str">
            <v>PASS</v>
          </cell>
          <cell r="N620" t="str">
            <v>CONCENTRICIDAD</v>
          </cell>
        </row>
        <row r="621">
          <cell r="A621">
            <v>20230618</v>
          </cell>
          <cell r="B621">
            <v>44954</v>
          </cell>
          <cell r="C621">
            <v>1</v>
          </cell>
          <cell r="D621" t="str">
            <v>720-1</v>
          </cell>
          <cell r="E621" t="str">
            <v>SPR8</v>
          </cell>
          <cell r="F621" t="str">
            <v>34324759E</v>
          </cell>
          <cell r="G621" t="str">
            <v>N/A</v>
          </cell>
          <cell r="H621" t="str">
            <v>OVALIDAD</v>
          </cell>
          <cell r="I621"/>
          <cell r="J621" t="str">
            <v>EVELYN ESTUDILLO</v>
          </cell>
          <cell r="K621">
            <v>44954</v>
          </cell>
          <cell r="L621" t="str">
            <v>Nohemi</v>
          </cell>
          <cell r="M621" t="str">
            <v>PASS</v>
          </cell>
          <cell r="N621" t="str">
            <v>OVALIDAD</v>
          </cell>
        </row>
        <row r="622">
          <cell r="A622">
            <v>20230619</v>
          </cell>
          <cell r="B622">
            <v>44954</v>
          </cell>
          <cell r="C622">
            <v>1</v>
          </cell>
          <cell r="D622" t="str">
            <v>720-2</v>
          </cell>
          <cell r="E622" t="str">
            <v>SPR8</v>
          </cell>
          <cell r="F622" t="str">
            <v>34296437C</v>
          </cell>
          <cell r="G622" t="str">
            <v>N/A</v>
          </cell>
          <cell r="H622" t="str">
            <v>OVALIDAD</v>
          </cell>
          <cell r="I622"/>
          <cell r="J622" t="str">
            <v>EVELYN ESTUDILLO</v>
          </cell>
          <cell r="K622">
            <v>44954</v>
          </cell>
          <cell r="L622" t="str">
            <v>Nohemi</v>
          </cell>
          <cell r="M622" t="str">
            <v>PASS</v>
          </cell>
          <cell r="N622" t="str">
            <v>OVALIDAD</v>
          </cell>
        </row>
        <row r="623">
          <cell r="A623">
            <v>20230620</v>
          </cell>
          <cell r="B623">
            <v>44954</v>
          </cell>
          <cell r="C623">
            <v>1</v>
          </cell>
          <cell r="D623" t="str">
            <v>720-3</v>
          </cell>
          <cell r="E623" t="str">
            <v>SPR8</v>
          </cell>
          <cell r="F623" t="str">
            <v>34235231G</v>
          </cell>
          <cell r="G623" t="str">
            <v>N/A</v>
          </cell>
          <cell r="H623" t="str">
            <v>OVALIDAD</v>
          </cell>
          <cell r="I623"/>
          <cell r="J623" t="str">
            <v>EVELYN ESTUDILLO</v>
          </cell>
          <cell r="K623">
            <v>44954</v>
          </cell>
          <cell r="L623" t="str">
            <v>Nohemi</v>
          </cell>
          <cell r="M623" t="str">
            <v>PASS</v>
          </cell>
          <cell r="N623" t="str">
            <v>OVALIDAD</v>
          </cell>
        </row>
        <row r="624">
          <cell r="A624">
            <v>20230621</v>
          </cell>
          <cell r="B624">
            <v>44954</v>
          </cell>
          <cell r="C624">
            <v>1</v>
          </cell>
          <cell r="D624" t="str">
            <v>720-4</v>
          </cell>
          <cell r="E624" t="str">
            <v>SPR8</v>
          </cell>
          <cell r="F624" t="str">
            <v>34361271A</v>
          </cell>
          <cell r="G624" t="str">
            <v>N/A</v>
          </cell>
          <cell r="H624" t="str">
            <v>OVALIDAD</v>
          </cell>
          <cell r="I624"/>
          <cell r="J624" t="str">
            <v>EVELYN ESTUDILLO</v>
          </cell>
          <cell r="K624">
            <v>44954</v>
          </cell>
          <cell r="L624" t="str">
            <v>Nohemi</v>
          </cell>
          <cell r="M624" t="str">
            <v>PASS</v>
          </cell>
          <cell r="N624" t="str">
            <v>OVALIDAD</v>
          </cell>
        </row>
        <row r="625">
          <cell r="A625">
            <v>20230622</v>
          </cell>
          <cell r="B625">
            <v>44954</v>
          </cell>
          <cell r="C625">
            <v>1</v>
          </cell>
          <cell r="D625" t="str">
            <v>720-5</v>
          </cell>
          <cell r="E625" t="str">
            <v>SPR8</v>
          </cell>
          <cell r="F625" t="str">
            <v>34235233G</v>
          </cell>
          <cell r="G625" t="str">
            <v>N/A</v>
          </cell>
          <cell r="H625" t="str">
            <v>OVALIDAD</v>
          </cell>
          <cell r="I625"/>
          <cell r="J625" t="str">
            <v>EVELYN ESTUDILLO</v>
          </cell>
          <cell r="K625">
            <v>44954</v>
          </cell>
          <cell r="L625" t="str">
            <v>Nohemi</v>
          </cell>
          <cell r="M625" t="str">
            <v>PASS</v>
          </cell>
          <cell r="N625" t="str">
            <v>OVALIDAD</v>
          </cell>
        </row>
        <row r="626">
          <cell r="A626">
            <v>20230623</v>
          </cell>
          <cell r="B626">
            <v>44954</v>
          </cell>
          <cell r="C626">
            <v>3</v>
          </cell>
          <cell r="D626" t="str">
            <v>720-5</v>
          </cell>
          <cell r="E626" t="str">
            <v>SPR8</v>
          </cell>
          <cell r="F626" t="str">
            <v>34235233G</v>
          </cell>
          <cell r="G626" t="str">
            <v>N/A</v>
          </cell>
          <cell r="H626" t="str">
            <v>CONCENTRICIDAD</v>
          </cell>
          <cell r="I626"/>
          <cell r="J626" t="str">
            <v>MAYRA HERNANDEZ</v>
          </cell>
          <cell r="K626">
            <v>44954</v>
          </cell>
          <cell r="L626" t="str">
            <v>Abel</v>
          </cell>
          <cell r="M626" t="str">
            <v>PASS</v>
          </cell>
          <cell r="N626" t="str">
            <v>CONCENTRICIDAD</v>
          </cell>
        </row>
        <row r="627">
          <cell r="A627">
            <v>20230624</v>
          </cell>
          <cell r="B627">
            <v>44954</v>
          </cell>
          <cell r="C627">
            <v>3</v>
          </cell>
          <cell r="D627" t="str">
            <v>720-3</v>
          </cell>
          <cell r="E627" t="str">
            <v>SPR8</v>
          </cell>
          <cell r="F627" t="str">
            <v>34271008G</v>
          </cell>
          <cell r="G627" t="str">
            <v>N/A</v>
          </cell>
          <cell r="H627" t="str">
            <v>CONCENTRICIDAD</v>
          </cell>
          <cell r="I627"/>
          <cell r="J627" t="str">
            <v>MAYRA HERNANDEZ</v>
          </cell>
          <cell r="K627">
            <v>44954</v>
          </cell>
          <cell r="L627" t="str">
            <v>Abel</v>
          </cell>
          <cell r="M627" t="str">
            <v>PASS</v>
          </cell>
          <cell r="N627" t="str">
            <v>CONCENTRICIDAD</v>
          </cell>
        </row>
        <row r="628">
          <cell r="A628">
            <v>20230625</v>
          </cell>
          <cell r="B628">
            <v>44954</v>
          </cell>
          <cell r="C628">
            <v>3</v>
          </cell>
          <cell r="D628" t="str">
            <v>720-2</v>
          </cell>
          <cell r="E628" t="str">
            <v>SPR8</v>
          </cell>
          <cell r="F628" t="str">
            <v>34301470D</v>
          </cell>
          <cell r="G628" t="str">
            <v>N/A</v>
          </cell>
          <cell r="H628" t="str">
            <v>CONCENTRICIDAD</v>
          </cell>
          <cell r="I628"/>
          <cell r="J628" t="str">
            <v>MAYRA HERNANDEZ</v>
          </cell>
          <cell r="K628">
            <v>44954</v>
          </cell>
          <cell r="L628" t="str">
            <v>Abel</v>
          </cell>
          <cell r="M628" t="str">
            <v>PASS</v>
          </cell>
          <cell r="N628" t="str">
            <v>CONCENTRICIDAD</v>
          </cell>
        </row>
        <row r="629">
          <cell r="A629">
            <v>20230626</v>
          </cell>
          <cell r="B629">
            <v>44954</v>
          </cell>
          <cell r="C629">
            <v>3</v>
          </cell>
          <cell r="D629" t="str">
            <v>720-5</v>
          </cell>
          <cell r="E629" t="str">
            <v>SPR8</v>
          </cell>
          <cell r="F629" t="str">
            <v>34235233G</v>
          </cell>
          <cell r="G629" t="str">
            <v>N/A</v>
          </cell>
          <cell r="H629" t="str">
            <v>OVALIDAD</v>
          </cell>
          <cell r="I629"/>
          <cell r="J629" t="str">
            <v>MAYRA HERNANDEZ</v>
          </cell>
          <cell r="K629">
            <v>44954</v>
          </cell>
          <cell r="L629" t="str">
            <v>Abel</v>
          </cell>
          <cell r="M629" t="str">
            <v>PASS</v>
          </cell>
          <cell r="N629" t="str">
            <v>OVALIDAD</v>
          </cell>
        </row>
        <row r="630">
          <cell r="A630">
            <v>20230627</v>
          </cell>
          <cell r="B630">
            <v>44954</v>
          </cell>
          <cell r="C630">
            <v>3</v>
          </cell>
          <cell r="D630" t="str">
            <v>720-3</v>
          </cell>
          <cell r="E630" t="str">
            <v>SPR8</v>
          </cell>
          <cell r="F630" t="str">
            <v>34271008G</v>
          </cell>
          <cell r="G630" t="str">
            <v>N/A</v>
          </cell>
          <cell r="H630" t="str">
            <v>OVALIDAD</v>
          </cell>
          <cell r="I630"/>
          <cell r="J630" t="str">
            <v>MAYRA HERNANDEZ</v>
          </cell>
          <cell r="K630">
            <v>44954</v>
          </cell>
          <cell r="L630" t="str">
            <v>Abel</v>
          </cell>
          <cell r="M630" t="str">
            <v>PASS</v>
          </cell>
          <cell r="N630" t="str">
            <v>OVALIDAD</v>
          </cell>
        </row>
        <row r="631">
          <cell r="A631">
            <v>20230628</v>
          </cell>
          <cell r="B631">
            <v>44954</v>
          </cell>
          <cell r="C631">
            <v>3</v>
          </cell>
          <cell r="D631" t="str">
            <v>720-2</v>
          </cell>
          <cell r="E631" t="str">
            <v>SPR8</v>
          </cell>
          <cell r="F631" t="str">
            <v>34301470D</v>
          </cell>
          <cell r="G631" t="str">
            <v>N/A</v>
          </cell>
          <cell r="H631" t="str">
            <v>OVALIDAD</v>
          </cell>
          <cell r="I631"/>
          <cell r="J631" t="str">
            <v>MAYRA HERNANDEZ</v>
          </cell>
          <cell r="K631">
            <v>44954</v>
          </cell>
          <cell r="L631" t="str">
            <v>Abel</v>
          </cell>
          <cell r="M631" t="str">
            <v>PASS</v>
          </cell>
          <cell r="N631" t="str">
            <v>OVALIDAD</v>
          </cell>
        </row>
        <row r="632">
          <cell r="A632">
            <v>20230629</v>
          </cell>
          <cell r="B632">
            <v>44954</v>
          </cell>
          <cell r="C632">
            <v>3</v>
          </cell>
          <cell r="D632" t="str">
            <v>720-1</v>
          </cell>
          <cell r="E632" t="str">
            <v>SPR8</v>
          </cell>
          <cell r="F632" t="str">
            <v>34346842C</v>
          </cell>
          <cell r="G632" t="str">
            <v>N/A</v>
          </cell>
          <cell r="H632" t="str">
            <v>CONCENTRICIDAD</v>
          </cell>
          <cell r="I632">
            <v>12</v>
          </cell>
          <cell r="J632" t="str">
            <v>MAYRA HERNANDEZ</v>
          </cell>
          <cell r="K632">
            <v>44954</v>
          </cell>
          <cell r="L632" t="str">
            <v>Ernesto</v>
          </cell>
          <cell r="M632" t="str">
            <v>PASS</v>
          </cell>
          <cell r="N632" t="str">
            <v>CONCENTRICIDAD</v>
          </cell>
        </row>
        <row r="633">
          <cell r="A633">
            <v>20230630</v>
          </cell>
          <cell r="B633">
            <v>44954</v>
          </cell>
          <cell r="C633">
            <v>3</v>
          </cell>
          <cell r="D633" t="str">
            <v>720-1</v>
          </cell>
          <cell r="E633" t="str">
            <v>SPR8</v>
          </cell>
          <cell r="F633" t="str">
            <v>34346842C</v>
          </cell>
          <cell r="G633" t="str">
            <v>N/A</v>
          </cell>
          <cell r="H633" t="str">
            <v>OVALIDAD</v>
          </cell>
          <cell r="I633">
            <v>12</v>
          </cell>
          <cell r="J633" t="str">
            <v>MAYRA HERNANDEZ</v>
          </cell>
          <cell r="K633">
            <v>44954</v>
          </cell>
          <cell r="L633" t="str">
            <v>Ernesto</v>
          </cell>
          <cell r="M633" t="str">
            <v>PASS</v>
          </cell>
          <cell r="N633" t="str">
            <v>OVALIDAD</v>
          </cell>
        </row>
        <row r="634">
          <cell r="A634">
            <v>20230631</v>
          </cell>
          <cell r="B634">
            <v>44954</v>
          </cell>
          <cell r="C634">
            <v>3</v>
          </cell>
          <cell r="D634" t="str">
            <v>720-6</v>
          </cell>
          <cell r="E634" t="str">
            <v>SPR8</v>
          </cell>
          <cell r="F634" t="str">
            <v>A020R6618A</v>
          </cell>
          <cell r="G634" t="str">
            <v>N/A</v>
          </cell>
          <cell r="H634" t="str">
            <v>CONCENTRICIDAD</v>
          </cell>
          <cell r="I634">
            <v>12</v>
          </cell>
          <cell r="J634" t="str">
            <v>MAYRA HERNANDEZ</v>
          </cell>
          <cell r="K634">
            <v>44954</v>
          </cell>
          <cell r="L634" t="str">
            <v>Ernesto</v>
          </cell>
          <cell r="M634" t="str">
            <v>PASS</v>
          </cell>
          <cell r="N634" t="str">
            <v>CONCENTRICIDAD</v>
          </cell>
        </row>
        <row r="635">
          <cell r="A635">
            <v>20230632</v>
          </cell>
          <cell r="B635">
            <v>44954</v>
          </cell>
          <cell r="C635">
            <v>3</v>
          </cell>
          <cell r="D635" t="str">
            <v>720-6</v>
          </cell>
          <cell r="E635" t="str">
            <v>SPR8</v>
          </cell>
          <cell r="F635" t="str">
            <v>A020R6618A</v>
          </cell>
          <cell r="G635" t="str">
            <v>N/A</v>
          </cell>
          <cell r="H635" t="str">
            <v>OVALIDAD</v>
          </cell>
          <cell r="I635">
            <v>12</v>
          </cell>
          <cell r="J635" t="str">
            <v>MAYRA HERNANDEZ</v>
          </cell>
          <cell r="K635">
            <v>44954</v>
          </cell>
          <cell r="L635" t="str">
            <v>Ernesto</v>
          </cell>
          <cell r="M635" t="str">
            <v>PASS</v>
          </cell>
          <cell r="N635" t="str">
            <v>OVALIDAD</v>
          </cell>
        </row>
        <row r="636">
          <cell r="A636">
            <v>20230633</v>
          </cell>
          <cell r="B636">
            <v>44955</v>
          </cell>
          <cell r="C636">
            <v>1</v>
          </cell>
          <cell r="D636" t="str">
            <v>720-3</v>
          </cell>
          <cell r="E636" t="str">
            <v>SPR8</v>
          </cell>
          <cell r="F636" t="str">
            <v>34235232G</v>
          </cell>
          <cell r="G636" t="str">
            <v>N/A</v>
          </cell>
          <cell r="H636" t="str">
            <v>OVALIDAD</v>
          </cell>
          <cell r="I636"/>
          <cell r="J636" t="str">
            <v>EVELYN ESTUDILLO</v>
          </cell>
          <cell r="K636">
            <v>44955</v>
          </cell>
          <cell r="L636" t="str">
            <v>Gilberto</v>
          </cell>
          <cell r="M636" t="str">
            <v>PASS</v>
          </cell>
          <cell r="N636" t="str">
            <v>OVALIDAD</v>
          </cell>
        </row>
        <row r="637">
          <cell r="A637">
            <v>20230634</v>
          </cell>
          <cell r="B637">
            <v>44955</v>
          </cell>
          <cell r="C637">
            <v>1</v>
          </cell>
          <cell r="D637" t="str">
            <v>720-3</v>
          </cell>
          <cell r="E637" t="str">
            <v>SPR8</v>
          </cell>
          <cell r="F637" t="str">
            <v>34235232G</v>
          </cell>
          <cell r="G637" t="str">
            <v>N/A</v>
          </cell>
          <cell r="H637" t="str">
            <v>CONCENTRICIDAD</v>
          </cell>
          <cell r="I637"/>
          <cell r="J637" t="str">
            <v>EVELYN ESTUDILLO</v>
          </cell>
          <cell r="K637">
            <v>44955</v>
          </cell>
          <cell r="L637" t="str">
            <v>Gilberto</v>
          </cell>
          <cell r="M637" t="str">
            <v>PASS</v>
          </cell>
          <cell r="N637" t="str">
            <v>CONCENTRICIDAD</v>
          </cell>
        </row>
        <row r="638">
          <cell r="A638">
            <v>20230635</v>
          </cell>
          <cell r="B638">
            <v>44955</v>
          </cell>
          <cell r="C638">
            <v>1</v>
          </cell>
          <cell r="D638" t="str">
            <v>720-2</v>
          </cell>
          <cell r="E638" t="str">
            <v>SPR8</v>
          </cell>
          <cell r="F638" t="str">
            <v>34301470D</v>
          </cell>
          <cell r="G638" t="str">
            <v>N/A</v>
          </cell>
          <cell r="H638" t="str">
            <v>OVALIDAD</v>
          </cell>
          <cell r="I638"/>
          <cell r="J638" t="str">
            <v>EVELYN ESTUDILLO</v>
          </cell>
          <cell r="K638">
            <v>44955</v>
          </cell>
          <cell r="L638" t="str">
            <v>Gilberto</v>
          </cell>
          <cell r="M638" t="str">
            <v>PASS</v>
          </cell>
          <cell r="N638" t="str">
            <v>OVALIDAD</v>
          </cell>
        </row>
        <row r="639">
          <cell r="A639">
            <v>20230636</v>
          </cell>
          <cell r="B639">
            <v>44955</v>
          </cell>
          <cell r="C639">
            <v>1</v>
          </cell>
          <cell r="D639" t="str">
            <v>720-2</v>
          </cell>
          <cell r="E639" t="str">
            <v>SPR8</v>
          </cell>
          <cell r="F639" t="str">
            <v>34301470D</v>
          </cell>
          <cell r="G639" t="str">
            <v>N/A</v>
          </cell>
          <cell r="H639" t="str">
            <v>CONCENTRICIDAD</v>
          </cell>
          <cell r="I639"/>
          <cell r="J639" t="str">
            <v>EVELYN ESTUDILLO</v>
          </cell>
          <cell r="K639">
            <v>44955</v>
          </cell>
          <cell r="L639" t="str">
            <v>Gilberto</v>
          </cell>
          <cell r="M639" t="str">
            <v>PASS</v>
          </cell>
          <cell r="N639" t="str">
            <v>CONCENTRICIDAD</v>
          </cell>
        </row>
        <row r="640">
          <cell r="A640">
            <v>20230637</v>
          </cell>
          <cell r="B640">
            <v>44955</v>
          </cell>
          <cell r="C640">
            <v>1</v>
          </cell>
          <cell r="D640" t="str">
            <v>720-5</v>
          </cell>
          <cell r="E640" t="str">
            <v>SPR8</v>
          </cell>
          <cell r="F640" t="str">
            <v>34324759E</v>
          </cell>
          <cell r="G640" t="str">
            <v>N/A</v>
          </cell>
          <cell r="H640" t="str">
            <v>OVALIDAD</v>
          </cell>
          <cell r="I640"/>
          <cell r="J640" t="str">
            <v>EVELYN ESTUDILLO</v>
          </cell>
          <cell r="K640">
            <v>44955</v>
          </cell>
          <cell r="L640" t="str">
            <v>Gilberto</v>
          </cell>
          <cell r="M640" t="str">
            <v>PASS</v>
          </cell>
          <cell r="N640" t="str">
            <v>OVALIDAD</v>
          </cell>
        </row>
        <row r="641">
          <cell r="A641">
            <v>20230638</v>
          </cell>
          <cell r="B641">
            <v>44955</v>
          </cell>
          <cell r="C641">
            <v>1</v>
          </cell>
          <cell r="D641" t="str">
            <v>720-5</v>
          </cell>
          <cell r="E641" t="str">
            <v>SPR8</v>
          </cell>
          <cell r="F641" t="str">
            <v>34324759E</v>
          </cell>
          <cell r="G641" t="str">
            <v>N/A</v>
          </cell>
          <cell r="H641" t="str">
            <v>CONCENTRICIDAD</v>
          </cell>
          <cell r="I641"/>
          <cell r="J641" t="str">
            <v>EVELYN ESTUDILLO</v>
          </cell>
          <cell r="K641">
            <v>44955</v>
          </cell>
          <cell r="L641" t="str">
            <v>Gilberto</v>
          </cell>
          <cell r="M641" t="str">
            <v>PASS</v>
          </cell>
          <cell r="N641" t="str">
            <v>CONCENTRICIDAD</v>
          </cell>
        </row>
        <row r="642">
          <cell r="A642">
            <v>20230639</v>
          </cell>
          <cell r="B642">
            <v>44955</v>
          </cell>
          <cell r="C642">
            <v>3</v>
          </cell>
          <cell r="D642" t="str">
            <v>720-2</v>
          </cell>
          <cell r="E642" t="str">
            <v>SPR8</v>
          </cell>
          <cell r="F642" t="str">
            <v>34296438C</v>
          </cell>
          <cell r="G642" t="str">
            <v>N/A</v>
          </cell>
          <cell r="H642" t="str">
            <v>CONCENTRICIDAD</v>
          </cell>
          <cell r="I642"/>
          <cell r="J642" t="str">
            <v>Augusto Rdz</v>
          </cell>
          <cell r="K642">
            <v>44955</v>
          </cell>
          <cell r="L642" t="str">
            <v>Eric</v>
          </cell>
          <cell r="M642" t="str">
            <v>PASS</v>
          </cell>
          <cell r="N642" t="str">
            <v>CONCENTRICIDAD</v>
          </cell>
        </row>
        <row r="643">
          <cell r="A643">
            <v>20230640</v>
          </cell>
          <cell r="B643">
            <v>44955</v>
          </cell>
          <cell r="C643">
            <v>3</v>
          </cell>
          <cell r="D643" t="str">
            <v>720-3</v>
          </cell>
          <cell r="E643" t="str">
            <v>SPR8</v>
          </cell>
          <cell r="F643" t="str">
            <v>34235232G</v>
          </cell>
          <cell r="G643" t="str">
            <v>N/A</v>
          </cell>
          <cell r="H643" t="str">
            <v>CONCENTRICIDAD</v>
          </cell>
          <cell r="I643"/>
          <cell r="J643" t="str">
            <v>Augusto Rdz</v>
          </cell>
          <cell r="K643">
            <v>44955</v>
          </cell>
          <cell r="L643" t="str">
            <v>Eric</v>
          </cell>
          <cell r="M643" t="str">
            <v>PASS</v>
          </cell>
          <cell r="N643" t="str">
            <v>CONCENTRICIDAD</v>
          </cell>
        </row>
        <row r="644">
          <cell r="A644">
            <v>20230641</v>
          </cell>
          <cell r="B644">
            <v>44955</v>
          </cell>
          <cell r="C644">
            <v>3</v>
          </cell>
          <cell r="D644" t="str">
            <v>720-4</v>
          </cell>
          <cell r="E644" t="str">
            <v>SPR8</v>
          </cell>
          <cell r="F644" t="str">
            <v>34361270A</v>
          </cell>
          <cell r="G644" t="str">
            <v>N/A</v>
          </cell>
          <cell r="H644" t="str">
            <v>CONCENTRICIDAD</v>
          </cell>
          <cell r="I644"/>
          <cell r="J644" t="str">
            <v>Augusto Rdz</v>
          </cell>
          <cell r="K644">
            <v>44955</v>
          </cell>
          <cell r="L644" t="str">
            <v>Eric</v>
          </cell>
          <cell r="M644" t="str">
            <v>PASS</v>
          </cell>
          <cell r="N644" t="str">
            <v>CONCENTRICIDAD</v>
          </cell>
        </row>
        <row r="645">
          <cell r="A645">
            <v>20230642</v>
          </cell>
          <cell r="B645">
            <v>44955</v>
          </cell>
          <cell r="C645">
            <v>3</v>
          </cell>
          <cell r="D645" t="str">
            <v>720-5</v>
          </cell>
          <cell r="E645" t="str">
            <v>SPR8</v>
          </cell>
          <cell r="F645" t="str">
            <v>34235233G</v>
          </cell>
          <cell r="G645" t="str">
            <v>N/A</v>
          </cell>
          <cell r="H645" t="str">
            <v>CONCENTRICIDAD</v>
          </cell>
          <cell r="I645"/>
          <cell r="J645" t="str">
            <v>Augusto Rdz</v>
          </cell>
          <cell r="K645">
            <v>44955</v>
          </cell>
          <cell r="L645" t="str">
            <v>Eric</v>
          </cell>
          <cell r="M645" t="str">
            <v>PASS</v>
          </cell>
          <cell r="N645" t="str">
            <v>CONCENTRICIDAD</v>
          </cell>
        </row>
        <row r="646">
          <cell r="A646">
            <v>20230643</v>
          </cell>
          <cell r="B646">
            <v>44955</v>
          </cell>
          <cell r="C646">
            <v>3</v>
          </cell>
          <cell r="D646" t="str">
            <v>720-2</v>
          </cell>
          <cell r="E646" t="str">
            <v>SPR8</v>
          </cell>
          <cell r="F646" t="str">
            <v>34296438C</v>
          </cell>
          <cell r="G646" t="str">
            <v>N/A</v>
          </cell>
          <cell r="H646" t="str">
            <v>OVALIDAD</v>
          </cell>
          <cell r="I646"/>
          <cell r="J646" t="str">
            <v>Augusto Rdz</v>
          </cell>
          <cell r="K646">
            <v>44955</v>
          </cell>
          <cell r="L646" t="str">
            <v>Eric</v>
          </cell>
          <cell r="M646" t="str">
            <v>PASS</v>
          </cell>
          <cell r="N646" t="str">
            <v>OVALIDAD</v>
          </cell>
        </row>
        <row r="647">
          <cell r="A647">
            <v>20230644</v>
          </cell>
          <cell r="B647">
            <v>44955</v>
          </cell>
          <cell r="C647">
            <v>3</v>
          </cell>
          <cell r="D647" t="str">
            <v>720-3</v>
          </cell>
          <cell r="E647" t="str">
            <v>SPR8</v>
          </cell>
          <cell r="F647" t="str">
            <v>34235232G</v>
          </cell>
          <cell r="G647" t="str">
            <v>N/A</v>
          </cell>
          <cell r="H647" t="str">
            <v>OVALIDAD</v>
          </cell>
          <cell r="I647"/>
          <cell r="J647" t="str">
            <v>Augusto Rdz</v>
          </cell>
          <cell r="K647">
            <v>44955</v>
          </cell>
          <cell r="L647" t="str">
            <v>Eric</v>
          </cell>
          <cell r="M647" t="str">
            <v>PASS</v>
          </cell>
          <cell r="N647" t="str">
            <v>OVALIDAD</v>
          </cell>
        </row>
        <row r="648">
          <cell r="A648">
            <v>20230645</v>
          </cell>
          <cell r="B648">
            <v>44955</v>
          </cell>
          <cell r="C648">
            <v>3</v>
          </cell>
          <cell r="D648" t="str">
            <v>720-4</v>
          </cell>
          <cell r="E648" t="str">
            <v>SPR8</v>
          </cell>
          <cell r="F648" t="str">
            <v>34361270A</v>
          </cell>
          <cell r="G648" t="str">
            <v>N/A</v>
          </cell>
          <cell r="H648" t="str">
            <v>OVALIDAD</v>
          </cell>
          <cell r="I648"/>
          <cell r="J648" t="str">
            <v>Augusto Rdz</v>
          </cell>
          <cell r="K648">
            <v>44955</v>
          </cell>
          <cell r="L648" t="str">
            <v>Eric</v>
          </cell>
          <cell r="M648" t="str">
            <v>PASS</v>
          </cell>
          <cell r="N648" t="str">
            <v>OVALIDAD</v>
          </cell>
        </row>
        <row r="649">
          <cell r="A649">
            <v>20230646</v>
          </cell>
          <cell r="B649">
            <v>44955</v>
          </cell>
          <cell r="C649">
            <v>3</v>
          </cell>
          <cell r="D649" t="str">
            <v>720-5</v>
          </cell>
          <cell r="E649" t="str">
            <v>SPR8</v>
          </cell>
          <cell r="F649" t="str">
            <v>34235233G</v>
          </cell>
          <cell r="G649" t="str">
            <v>N/A</v>
          </cell>
          <cell r="H649" t="str">
            <v>OVALIDAD</v>
          </cell>
          <cell r="I649"/>
          <cell r="J649" t="str">
            <v>Augusto Rdz</v>
          </cell>
          <cell r="K649">
            <v>44955</v>
          </cell>
          <cell r="L649" t="str">
            <v>Eric</v>
          </cell>
          <cell r="M649" t="str">
            <v>PASS</v>
          </cell>
          <cell r="N649" t="str">
            <v>OVALIDAD</v>
          </cell>
        </row>
        <row r="650">
          <cell r="A650">
            <v>20230647</v>
          </cell>
          <cell r="B650">
            <v>44955</v>
          </cell>
          <cell r="C650">
            <v>3</v>
          </cell>
          <cell r="D650" t="str">
            <v>720-1</v>
          </cell>
          <cell r="E650" t="str">
            <v>SPR8</v>
          </cell>
          <cell r="F650" t="str">
            <v>34296437C</v>
          </cell>
          <cell r="G650" t="str">
            <v>N/A</v>
          </cell>
          <cell r="H650" t="str">
            <v>CONCENTRICIDAD</v>
          </cell>
          <cell r="I650"/>
          <cell r="J650" t="str">
            <v>Augusto Rdz</v>
          </cell>
          <cell r="K650">
            <v>44955</v>
          </cell>
          <cell r="L650" t="str">
            <v>Eric</v>
          </cell>
          <cell r="M650" t="str">
            <v>PASS</v>
          </cell>
          <cell r="N650" t="str">
            <v>CONCENTRICIDAD</v>
          </cell>
        </row>
        <row r="651">
          <cell r="A651">
            <v>20230648</v>
          </cell>
          <cell r="B651">
            <v>44955</v>
          </cell>
          <cell r="C651">
            <v>3</v>
          </cell>
          <cell r="D651" t="str">
            <v>720-1</v>
          </cell>
          <cell r="E651" t="str">
            <v>SPR8</v>
          </cell>
          <cell r="F651" t="str">
            <v>34296437C</v>
          </cell>
          <cell r="G651" t="str">
            <v>N/A</v>
          </cell>
          <cell r="H651" t="str">
            <v>OVALIDAD</v>
          </cell>
          <cell r="I651"/>
          <cell r="J651" t="str">
            <v>Augusto Rdz</v>
          </cell>
          <cell r="K651">
            <v>44955</v>
          </cell>
          <cell r="L651" t="str">
            <v>Eric</v>
          </cell>
          <cell r="M651" t="str">
            <v>PASS</v>
          </cell>
          <cell r="N651" t="str">
            <v>OVALIDAD</v>
          </cell>
        </row>
        <row r="652">
          <cell r="A652">
            <v>20230649</v>
          </cell>
          <cell r="B652">
            <v>44956</v>
          </cell>
          <cell r="C652">
            <v>2</v>
          </cell>
          <cell r="D652" t="str">
            <v>720-2</v>
          </cell>
          <cell r="E652" t="str">
            <v>SPR8</v>
          </cell>
          <cell r="F652" t="str">
            <v>34296438C</v>
          </cell>
          <cell r="G652" t="str">
            <v>N/A</v>
          </cell>
          <cell r="H652" t="str">
            <v>CONCENTRICIDAD</v>
          </cell>
          <cell r="I652"/>
          <cell r="J652" t="str">
            <v>Augusto Rdz</v>
          </cell>
          <cell r="K652">
            <v>44956</v>
          </cell>
          <cell r="L652" t="str">
            <v>Jose</v>
          </cell>
          <cell r="M652" t="str">
            <v>PASS</v>
          </cell>
          <cell r="N652" t="str">
            <v>CONCENTRICIDAD</v>
          </cell>
        </row>
        <row r="653">
          <cell r="A653">
            <v>20230650</v>
          </cell>
          <cell r="B653">
            <v>44956</v>
          </cell>
          <cell r="C653">
            <v>2</v>
          </cell>
          <cell r="D653" t="str">
            <v>720-2</v>
          </cell>
          <cell r="E653" t="str">
            <v>SPR8</v>
          </cell>
          <cell r="F653" t="str">
            <v>34296438C</v>
          </cell>
          <cell r="G653" t="str">
            <v>N/A</v>
          </cell>
          <cell r="H653" t="str">
            <v>OVALIDAD</v>
          </cell>
          <cell r="I653"/>
          <cell r="J653" t="str">
            <v>Augusto Rdz</v>
          </cell>
          <cell r="K653">
            <v>44956</v>
          </cell>
          <cell r="L653" t="str">
            <v>Jose</v>
          </cell>
          <cell r="M653" t="str">
            <v>PASS</v>
          </cell>
          <cell r="N653" t="str">
            <v>OVALIDAD</v>
          </cell>
        </row>
        <row r="654">
          <cell r="A654">
            <v>20230651</v>
          </cell>
          <cell r="B654">
            <v>44956</v>
          </cell>
          <cell r="C654"/>
          <cell r="D654" t="str">
            <v>N/A</v>
          </cell>
          <cell r="E654" t="str">
            <v>SAP</v>
          </cell>
          <cell r="F654" t="str">
            <v>34195795A</v>
          </cell>
          <cell r="G654" t="str">
            <v>FA0226740</v>
          </cell>
          <cell r="H654" t="str">
            <v>**Distancia</v>
          </cell>
          <cell r="I654"/>
          <cell r="J654" t="str">
            <v>Maria Sustaita</v>
          </cell>
          <cell r="K654">
            <v>44956</v>
          </cell>
          <cell r="L654" t="str">
            <v>Luis</v>
          </cell>
          <cell r="M654" t="str">
            <v>NO PASS</v>
          </cell>
          <cell r="N654"/>
        </row>
        <row r="655">
          <cell r="A655">
            <v>20230652</v>
          </cell>
          <cell r="B655">
            <v>44956</v>
          </cell>
          <cell r="C655">
            <v>1</v>
          </cell>
          <cell r="D655" t="str">
            <v>N/A</v>
          </cell>
          <cell r="E655" t="str">
            <v>N/A</v>
          </cell>
          <cell r="F655" t="str">
            <v>34018123D</v>
          </cell>
          <cell r="G655" t="str">
            <v>45-48</v>
          </cell>
          <cell r="H655" t="str">
            <v xml:space="preserve">Conforme al rip </v>
          </cell>
          <cell r="I655" t="str">
            <v>5 pcs</v>
          </cell>
          <cell r="J655" t="str">
            <v>Nuevos programas</v>
          </cell>
          <cell r="K655">
            <v>44956</v>
          </cell>
          <cell r="L655" t="str">
            <v xml:space="preserve">Adela </v>
          </cell>
          <cell r="M655" t="str">
            <v>PASS</v>
          </cell>
          <cell r="N655" t="str">
            <v>N/A</v>
          </cell>
        </row>
        <row r="656">
          <cell r="A656">
            <v>20230653</v>
          </cell>
          <cell r="B656">
            <v>44956</v>
          </cell>
          <cell r="C656">
            <v>1</v>
          </cell>
          <cell r="D656" t="str">
            <v>703-A</v>
          </cell>
          <cell r="E656" t="str">
            <v>A100</v>
          </cell>
          <cell r="F656" t="str">
            <v>A015C873C</v>
          </cell>
          <cell r="G656" t="str">
            <v>N/A</v>
          </cell>
          <cell r="H656" t="str">
            <v>31,32</v>
          </cell>
          <cell r="I656"/>
          <cell r="J656" t="str">
            <v>Laura Castillo</v>
          </cell>
          <cell r="K656">
            <v>44956</v>
          </cell>
          <cell r="L656" t="str">
            <v>Nohemi</v>
          </cell>
          <cell r="M656" t="str">
            <v>PASS</v>
          </cell>
          <cell r="N656" t="str">
            <v>A0038M7086A-C</v>
          </cell>
        </row>
        <row r="657">
          <cell r="A657">
            <v>20230654</v>
          </cell>
          <cell r="B657">
            <v>44956</v>
          </cell>
          <cell r="C657">
            <v>1</v>
          </cell>
          <cell r="D657">
            <v>464</v>
          </cell>
          <cell r="E657" t="str">
            <v>A100</v>
          </cell>
          <cell r="F657" t="str">
            <v>34333111A</v>
          </cell>
          <cell r="G657" t="str">
            <v>N/A</v>
          </cell>
          <cell r="H657">
            <v>11</v>
          </cell>
          <cell r="I657"/>
          <cell r="J657" t="str">
            <v>Laura Castillo</v>
          </cell>
          <cell r="K657">
            <v>44956</v>
          </cell>
          <cell r="L657" t="str">
            <v>Nohemi</v>
          </cell>
          <cell r="M657" t="str">
            <v>PASS</v>
          </cell>
          <cell r="N657" t="str">
            <v>A0053N8503A-D</v>
          </cell>
        </row>
        <row r="658">
          <cell r="A658">
            <v>20230655</v>
          </cell>
          <cell r="B658">
            <v>44956</v>
          </cell>
          <cell r="C658">
            <v>1</v>
          </cell>
          <cell r="D658" t="str">
            <v>N/A</v>
          </cell>
          <cell r="E658" t="str">
            <v>N/A</v>
          </cell>
          <cell r="F658" t="str">
            <v>34146057BBB</v>
          </cell>
          <cell r="G658" t="str">
            <v>01</v>
          </cell>
          <cell r="H658" t="str">
            <v xml:space="preserve">Conforme al rip </v>
          </cell>
          <cell r="I658" t="str">
            <v>5 pcs</v>
          </cell>
          <cell r="J658" t="str">
            <v>Nuevos programas</v>
          </cell>
          <cell r="K658">
            <v>44956</v>
          </cell>
          <cell r="L658" t="str">
            <v xml:space="preserve">Adela </v>
          </cell>
          <cell r="M658" t="str">
            <v>NO PASS</v>
          </cell>
          <cell r="N658" t="str">
            <v>N/A</v>
          </cell>
        </row>
        <row r="659">
          <cell r="A659">
            <v>20230656</v>
          </cell>
          <cell r="B659">
            <v>44956</v>
          </cell>
          <cell r="C659">
            <v>1</v>
          </cell>
          <cell r="D659" t="str">
            <v>720-2</v>
          </cell>
          <cell r="E659" t="str">
            <v>SPR8</v>
          </cell>
          <cell r="F659" t="str">
            <v>34296438C</v>
          </cell>
          <cell r="G659" t="str">
            <v>N/A</v>
          </cell>
          <cell r="H659" t="str">
            <v>CONCENTRICIDAD</v>
          </cell>
          <cell r="I659"/>
          <cell r="J659" t="str">
            <v>EVELYN ESTUDILLO</v>
          </cell>
          <cell r="K659">
            <v>44956</v>
          </cell>
          <cell r="L659" t="str">
            <v>MAURICIO</v>
          </cell>
          <cell r="M659" t="str">
            <v>PASS</v>
          </cell>
          <cell r="N659" t="str">
            <v>CONCENTRICIDAD</v>
          </cell>
        </row>
        <row r="660">
          <cell r="A660">
            <v>20230657</v>
          </cell>
          <cell r="B660">
            <v>44956</v>
          </cell>
          <cell r="C660">
            <v>1</v>
          </cell>
          <cell r="D660" t="str">
            <v>720-4</v>
          </cell>
          <cell r="E660" t="str">
            <v>SPR8</v>
          </cell>
          <cell r="F660" t="str">
            <v>34361270A</v>
          </cell>
          <cell r="G660" t="str">
            <v>N/A</v>
          </cell>
          <cell r="H660" t="str">
            <v>CONCENTRICIDAD</v>
          </cell>
          <cell r="I660"/>
          <cell r="J660" t="str">
            <v>EVELYN ESTUDILLO</v>
          </cell>
          <cell r="K660">
            <v>44956</v>
          </cell>
          <cell r="L660" t="str">
            <v>MAURICIO</v>
          </cell>
          <cell r="M660" t="str">
            <v>PASS</v>
          </cell>
          <cell r="N660" t="str">
            <v>CONCENTRICIDAD</v>
          </cell>
        </row>
        <row r="661">
          <cell r="A661">
            <v>20230658</v>
          </cell>
          <cell r="B661">
            <v>44956</v>
          </cell>
          <cell r="C661">
            <v>1</v>
          </cell>
          <cell r="D661" t="str">
            <v>720-6</v>
          </cell>
          <cell r="E661" t="str">
            <v>SPR8</v>
          </cell>
          <cell r="F661" t="str">
            <v>A020R618A</v>
          </cell>
          <cell r="G661" t="str">
            <v>N/A</v>
          </cell>
          <cell r="H661" t="str">
            <v>CONCENTRICIDAD</v>
          </cell>
          <cell r="I661"/>
          <cell r="J661" t="str">
            <v>EVELYN ESTUDILLO</v>
          </cell>
          <cell r="K661">
            <v>44956</v>
          </cell>
          <cell r="L661" t="str">
            <v>MAURICIO</v>
          </cell>
          <cell r="M661" t="str">
            <v>PASS</v>
          </cell>
          <cell r="N661" t="str">
            <v>CONCENTRICIDAD</v>
          </cell>
        </row>
        <row r="662">
          <cell r="A662">
            <v>20230659</v>
          </cell>
          <cell r="B662">
            <v>44956</v>
          </cell>
          <cell r="C662">
            <v>1</v>
          </cell>
          <cell r="D662" t="str">
            <v>720-5</v>
          </cell>
          <cell r="E662" t="str">
            <v>SPR8</v>
          </cell>
          <cell r="F662" t="str">
            <v>34324759E</v>
          </cell>
          <cell r="G662" t="str">
            <v>N/A</v>
          </cell>
          <cell r="H662" t="str">
            <v>CONCENTRICIDAD</v>
          </cell>
          <cell r="I662"/>
          <cell r="J662" t="str">
            <v>EVELYN ESTUDILLO</v>
          </cell>
          <cell r="K662">
            <v>44956</v>
          </cell>
          <cell r="L662" t="str">
            <v>MAURICIO</v>
          </cell>
          <cell r="M662" t="str">
            <v>PASS</v>
          </cell>
          <cell r="N662" t="str">
            <v>CONCENTRICIDAD</v>
          </cell>
        </row>
        <row r="663">
          <cell r="A663">
            <v>20230660</v>
          </cell>
          <cell r="B663">
            <v>44956</v>
          </cell>
          <cell r="C663">
            <v>1</v>
          </cell>
          <cell r="D663" t="str">
            <v>720-3</v>
          </cell>
          <cell r="E663" t="str">
            <v>SPR8</v>
          </cell>
          <cell r="F663" t="str">
            <v>34235232G</v>
          </cell>
          <cell r="G663" t="str">
            <v>N/A</v>
          </cell>
          <cell r="H663" t="str">
            <v>CONCENTRICIDAD</v>
          </cell>
          <cell r="I663"/>
          <cell r="J663" t="str">
            <v>EVELYN ESTUDILLO</v>
          </cell>
          <cell r="K663">
            <v>44956</v>
          </cell>
          <cell r="L663" t="str">
            <v>MAURICIO</v>
          </cell>
          <cell r="M663" t="str">
            <v>PASS</v>
          </cell>
          <cell r="N663" t="str">
            <v>CONCENTRICIDAD</v>
          </cell>
        </row>
        <row r="664">
          <cell r="A664">
            <v>20230661</v>
          </cell>
          <cell r="B664">
            <v>44956</v>
          </cell>
          <cell r="C664">
            <v>1</v>
          </cell>
          <cell r="D664" t="str">
            <v>720-1</v>
          </cell>
          <cell r="E664" t="str">
            <v>SPR8</v>
          </cell>
          <cell r="F664" t="str">
            <v>34296437C</v>
          </cell>
          <cell r="G664" t="str">
            <v>N/A</v>
          </cell>
          <cell r="H664" t="str">
            <v>CONCENTRICIDAD</v>
          </cell>
          <cell r="I664"/>
          <cell r="J664" t="str">
            <v>EVELYN ESTUDILLO</v>
          </cell>
          <cell r="K664">
            <v>44956</v>
          </cell>
          <cell r="L664" t="str">
            <v>MAURICIO</v>
          </cell>
          <cell r="M664" t="str">
            <v>PASS</v>
          </cell>
          <cell r="N664" t="str">
            <v>CONCENTRICIDAD</v>
          </cell>
        </row>
        <row r="665">
          <cell r="A665">
            <v>20230662</v>
          </cell>
          <cell r="B665">
            <v>44956</v>
          </cell>
          <cell r="C665">
            <v>1</v>
          </cell>
          <cell r="D665" t="str">
            <v>720-2</v>
          </cell>
          <cell r="E665" t="str">
            <v>SPR8</v>
          </cell>
          <cell r="F665" t="str">
            <v>34296438C</v>
          </cell>
          <cell r="G665" t="str">
            <v>N/A</v>
          </cell>
          <cell r="H665" t="str">
            <v>OVALIDAD</v>
          </cell>
          <cell r="I665"/>
          <cell r="J665" t="str">
            <v>EVELYN ESTUDILLO</v>
          </cell>
          <cell r="K665">
            <v>44956</v>
          </cell>
          <cell r="L665" t="str">
            <v>MAURICIO</v>
          </cell>
          <cell r="M665" t="str">
            <v>PASS</v>
          </cell>
          <cell r="N665" t="str">
            <v>OVALIDAD</v>
          </cell>
        </row>
        <row r="666">
          <cell r="A666">
            <v>20230663</v>
          </cell>
          <cell r="B666">
            <v>44956</v>
          </cell>
          <cell r="C666">
            <v>1</v>
          </cell>
          <cell r="D666" t="str">
            <v>720-4</v>
          </cell>
          <cell r="E666" t="str">
            <v>SPR8</v>
          </cell>
          <cell r="F666" t="str">
            <v>34361270A</v>
          </cell>
          <cell r="G666" t="str">
            <v>N/A</v>
          </cell>
          <cell r="H666" t="str">
            <v>OVALIDAD</v>
          </cell>
          <cell r="I666"/>
          <cell r="J666" t="str">
            <v>EVELYN ESTUDILLO</v>
          </cell>
          <cell r="K666">
            <v>44956</v>
          </cell>
          <cell r="L666" t="str">
            <v>MAURICIO</v>
          </cell>
          <cell r="M666" t="str">
            <v>PASS</v>
          </cell>
          <cell r="N666" t="str">
            <v>OVALIDAD</v>
          </cell>
        </row>
        <row r="667">
          <cell r="A667">
            <v>20230664</v>
          </cell>
          <cell r="B667">
            <v>44956</v>
          </cell>
          <cell r="C667">
            <v>1</v>
          </cell>
          <cell r="D667" t="str">
            <v>720-6</v>
          </cell>
          <cell r="E667" t="str">
            <v>SPR8</v>
          </cell>
          <cell r="F667" t="str">
            <v>A020R618A</v>
          </cell>
          <cell r="G667" t="str">
            <v>N/A</v>
          </cell>
          <cell r="H667" t="str">
            <v>OVALIDAD</v>
          </cell>
          <cell r="I667"/>
          <cell r="J667" t="str">
            <v>EVELYN ESTUDILLO</v>
          </cell>
          <cell r="K667">
            <v>44956</v>
          </cell>
          <cell r="L667" t="str">
            <v>MAURICIO</v>
          </cell>
          <cell r="M667" t="str">
            <v>PASS</v>
          </cell>
          <cell r="N667" t="str">
            <v>OVALIDAD</v>
          </cell>
        </row>
        <row r="668">
          <cell r="A668">
            <v>20230665</v>
          </cell>
          <cell r="B668">
            <v>44956</v>
          </cell>
          <cell r="C668">
            <v>1</v>
          </cell>
          <cell r="D668" t="str">
            <v>720-5</v>
          </cell>
          <cell r="E668" t="str">
            <v>SPR8</v>
          </cell>
          <cell r="F668" t="str">
            <v>34324759E</v>
          </cell>
          <cell r="G668" t="str">
            <v>N/A</v>
          </cell>
          <cell r="H668" t="str">
            <v>OVALIDAD</v>
          </cell>
          <cell r="I668"/>
          <cell r="J668" t="str">
            <v>EVELYN ESTUDILLO</v>
          </cell>
          <cell r="K668">
            <v>44956</v>
          </cell>
          <cell r="L668" t="str">
            <v>MAURICIO</v>
          </cell>
          <cell r="M668" t="str">
            <v>PASS</v>
          </cell>
          <cell r="N668" t="str">
            <v>OVALIDAD</v>
          </cell>
        </row>
        <row r="669">
          <cell r="A669">
            <v>20230666</v>
          </cell>
          <cell r="B669">
            <v>44956</v>
          </cell>
          <cell r="C669">
            <v>1</v>
          </cell>
          <cell r="D669" t="str">
            <v>720-3</v>
          </cell>
          <cell r="E669" t="str">
            <v>SPR8</v>
          </cell>
          <cell r="F669" t="str">
            <v>34235232G</v>
          </cell>
          <cell r="G669" t="str">
            <v>N/A</v>
          </cell>
          <cell r="H669" t="str">
            <v>OVALIDAD</v>
          </cell>
          <cell r="I669"/>
          <cell r="J669" t="str">
            <v>EVELYN ESTUDILLO</v>
          </cell>
          <cell r="K669">
            <v>44956</v>
          </cell>
          <cell r="L669" t="str">
            <v>MAURICIO</v>
          </cell>
          <cell r="M669" t="str">
            <v>PASS</v>
          </cell>
          <cell r="N669" t="str">
            <v>OVALIDAD</v>
          </cell>
        </row>
        <row r="670">
          <cell r="A670">
            <v>20230667</v>
          </cell>
          <cell r="B670">
            <v>44956</v>
          </cell>
          <cell r="C670">
            <v>1</v>
          </cell>
          <cell r="D670" t="str">
            <v>720-1</v>
          </cell>
          <cell r="E670" t="str">
            <v>SPR8</v>
          </cell>
          <cell r="F670" t="str">
            <v>34296437C</v>
          </cell>
          <cell r="G670" t="str">
            <v>N/A</v>
          </cell>
          <cell r="H670" t="str">
            <v>OVALIDAD</v>
          </cell>
          <cell r="I670"/>
          <cell r="J670" t="str">
            <v>EVELYN ESTUDILLO</v>
          </cell>
          <cell r="K670">
            <v>44956</v>
          </cell>
          <cell r="L670" t="str">
            <v>MAURICIO</v>
          </cell>
          <cell r="M670" t="str">
            <v>PASS</v>
          </cell>
          <cell r="N670" t="str">
            <v>OVALIDAD</v>
          </cell>
        </row>
        <row r="671">
          <cell r="A671">
            <v>20230668</v>
          </cell>
          <cell r="B671">
            <v>44956</v>
          </cell>
          <cell r="C671">
            <v>1</v>
          </cell>
          <cell r="D671" t="str">
            <v>720-1</v>
          </cell>
          <cell r="E671" t="str">
            <v>SPR8</v>
          </cell>
          <cell r="F671" t="str">
            <v>34296437C</v>
          </cell>
          <cell r="G671" t="str">
            <v>N/A</v>
          </cell>
          <cell r="H671" t="str">
            <v>CONCENTRICIDAD</v>
          </cell>
          <cell r="I671"/>
          <cell r="J671" t="str">
            <v>Gabriel Ramos</v>
          </cell>
          <cell r="K671">
            <v>44956</v>
          </cell>
          <cell r="L671" t="str">
            <v>Nohemi</v>
          </cell>
          <cell r="M671" t="str">
            <v>PASS</v>
          </cell>
          <cell r="N671" t="str">
            <v>CONCENTRICIDAD</v>
          </cell>
        </row>
        <row r="672">
          <cell r="A672">
            <v>20230669</v>
          </cell>
          <cell r="B672">
            <v>44956</v>
          </cell>
          <cell r="C672">
            <v>1</v>
          </cell>
          <cell r="D672" t="str">
            <v>720-1</v>
          </cell>
          <cell r="E672" t="str">
            <v>SPR8</v>
          </cell>
          <cell r="F672" t="str">
            <v>34296437C</v>
          </cell>
          <cell r="G672" t="str">
            <v>N/A</v>
          </cell>
          <cell r="H672" t="str">
            <v>OVALIDAD</v>
          </cell>
          <cell r="I672"/>
          <cell r="J672" t="str">
            <v>Gabriel Ramos</v>
          </cell>
          <cell r="K672">
            <v>44956</v>
          </cell>
          <cell r="L672" t="str">
            <v>Nohemi</v>
          </cell>
          <cell r="M672" t="str">
            <v>PASS</v>
          </cell>
          <cell r="N672" t="str">
            <v>OVALIDAD</v>
          </cell>
        </row>
        <row r="673">
          <cell r="A673">
            <v>20230670</v>
          </cell>
          <cell r="B673">
            <v>44956</v>
          </cell>
          <cell r="C673">
            <v>1</v>
          </cell>
          <cell r="D673" t="str">
            <v>720-1</v>
          </cell>
          <cell r="E673" t="str">
            <v>SPR8</v>
          </cell>
          <cell r="F673" t="str">
            <v>34296437C</v>
          </cell>
          <cell r="G673" t="str">
            <v>N/A</v>
          </cell>
          <cell r="H673" t="str">
            <v>CONCENTRICIDAD</v>
          </cell>
          <cell r="I673"/>
          <cell r="J673" t="str">
            <v>Gabriel Ramos</v>
          </cell>
          <cell r="K673">
            <v>44956</v>
          </cell>
          <cell r="L673" t="str">
            <v>Nohemi</v>
          </cell>
          <cell r="M673" t="str">
            <v>PASS</v>
          </cell>
          <cell r="N673" t="str">
            <v>CONCENTRICIDAD</v>
          </cell>
        </row>
        <row r="674">
          <cell r="A674">
            <v>20230671</v>
          </cell>
          <cell r="B674">
            <v>44956</v>
          </cell>
          <cell r="C674">
            <v>1</v>
          </cell>
          <cell r="D674" t="str">
            <v>720-1</v>
          </cell>
          <cell r="E674" t="str">
            <v>SPR8</v>
          </cell>
          <cell r="F674" t="str">
            <v>34296437C</v>
          </cell>
          <cell r="G674" t="str">
            <v>N/A</v>
          </cell>
          <cell r="H674" t="str">
            <v>OVALIDAD</v>
          </cell>
          <cell r="I674"/>
          <cell r="J674" t="str">
            <v>Gabriel Ramos</v>
          </cell>
          <cell r="K674">
            <v>44956</v>
          </cell>
          <cell r="L674" t="str">
            <v>Nohemi</v>
          </cell>
          <cell r="M674" t="str">
            <v>PASS</v>
          </cell>
          <cell r="N674" t="str">
            <v>OVALIDAD</v>
          </cell>
        </row>
        <row r="675">
          <cell r="A675">
            <v>20230672</v>
          </cell>
          <cell r="B675">
            <v>44956</v>
          </cell>
          <cell r="C675">
            <v>2</v>
          </cell>
          <cell r="D675" t="str">
            <v>720-1</v>
          </cell>
          <cell r="E675" t="str">
            <v>SPR8</v>
          </cell>
          <cell r="F675" t="str">
            <v>34296437C</v>
          </cell>
          <cell r="G675" t="str">
            <v>N/A</v>
          </cell>
          <cell r="H675" t="str">
            <v>CONCENTRICIDAD</v>
          </cell>
          <cell r="I675"/>
          <cell r="J675" t="str">
            <v>Augusto Rdz</v>
          </cell>
          <cell r="K675">
            <v>44956</v>
          </cell>
          <cell r="L675" t="str">
            <v>Jose</v>
          </cell>
          <cell r="M675" t="str">
            <v>PASS</v>
          </cell>
          <cell r="N675" t="str">
            <v>CONCENTRICIDAD</v>
          </cell>
        </row>
        <row r="676">
          <cell r="A676">
            <v>20230673</v>
          </cell>
          <cell r="B676">
            <v>44956</v>
          </cell>
          <cell r="C676">
            <v>2</v>
          </cell>
          <cell r="D676" t="str">
            <v>720-1</v>
          </cell>
          <cell r="E676" t="str">
            <v>SPR8</v>
          </cell>
          <cell r="F676" t="str">
            <v>34296437C</v>
          </cell>
          <cell r="G676" t="str">
            <v>N/A</v>
          </cell>
          <cell r="H676" t="str">
            <v>OVALIDAD</v>
          </cell>
          <cell r="I676"/>
          <cell r="J676" t="str">
            <v>Augusto Rdz</v>
          </cell>
          <cell r="K676">
            <v>44956</v>
          </cell>
          <cell r="L676" t="str">
            <v>Jose</v>
          </cell>
          <cell r="M676" t="str">
            <v>PASS</v>
          </cell>
          <cell r="N676" t="str">
            <v>OVALIDAD</v>
          </cell>
        </row>
        <row r="677">
          <cell r="A677">
            <v>20230674</v>
          </cell>
          <cell r="B677">
            <v>44956</v>
          </cell>
          <cell r="C677">
            <v>2</v>
          </cell>
          <cell r="D677" t="str">
            <v>720-3</v>
          </cell>
          <cell r="E677" t="str">
            <v>SPR8</v>
          </cell>
          <cell r="F677" t="str">
            <v>34235231G</v>
          </cell>
          <cell r="G677" t="str">
            <v>N/A</v>
          </cell>
          <cell r="H677" t="str">
            <v>CONCENTRICIDAD</v>
          </cell>
          <cell r="I677"/>
          <cell r="J677" t="str">
            <v>Augusto Rdz</v>
          </cell>
          <cell r="K677">
            <v>44956</v>
          </cell>
          <cell r="L677" t="str">
            <v>Jose</v>
          </cell>
          <cell r="M677" t="str">
            <v>PASS</v>
          </cell>
          <cell r="N677" t="str">
            <v>CONCENTRICIDAD</v>
          </cell>
        </row>
        <row r="678">
          <cell r="A678">
            <v>20230675</v>
          </cell>
          <cell r="B678">
            <v>44956</v>
          </cell>
          <cell r="C678">
            <v>2</v>
          </cell>
          <cell r="D678" t="str">
            <v>720-3</v>
          </cell>
          <cell r="E678" t="str">
            <v>SPR8</v>
          </cell>
          <cell r="F678" t="str">
            <v>34235231G</v>
          </cell>
          <cell r="G678" t="str">
            <v>N/A</v>
          </cell>
          <cell r="H678" t="str">
            <v>OVALIDAD</v>
          </cell>
          <cell r="I678"/>
          <cell r="J678" t="str">
            <v>Augusto Rdz</v>
          </cell>
          <cell r="K678">
            <v>44956</v>
          </cell>
          <cell r="L678" t="str">
            <v>Jose</v>
          </cell>
          <cell r="M678" t="str">
            <v>PASS</v>
          </cell>
          <cell r="N678" t="str">
            <v>OVALIDAD</v>
          </cell>
        </row>
        <row r="679">
          <cell r="A679">
            <v>20230676</v>
          </cell>
          <cell r="B679">
            <v>44956</v>
          </cell>
          <cell r="C679">
            <v>2</v>
          </cell>
          <cell r="D679" t="str">
            <v>720-5</v>
          </cell>
          <cell r="E679" t="str">
            <v>SPR8</v>
          </cell>
          <cell r="F679" t="str">
            <v>34324759E</v>
          </cell>
          <cell r="G679" t="str">
            <v>N/A</v>
          </cell>
          <cell r="H679" t="str">
            <v>CONCENTRICIDAD</v>
          </cell>
          <cell r="I679"/>
          <cell r="J679" t="str">
            <v>Augusto Rdz</v>
          </cell>
          <cell r="K679">
            <v>44956</v>
          </cell>
          <cell r="L679" t="str">
            <v>Jose</v>
          </cell>
          <cell r="M679" t="str">
            <v>PASS</v>
          </cell>
          <cell r="N679" t="str">
            <v>CONCENTRICIDAD</v>
          </cell>
        </row>
        <row r="680">
          <cell r="A680">
            <v>20230677</v>
          </cell>
          <cell r="B680">
            <v>44956</v>
          </cell>
          <cell r="C680">
            <v>2</v>
          </cell>
          <cell r="D680" t="str">
            <v>720-5</v>
          </cell>
          <cell r="E680" t="str">
            <v>SPR8</v>
          </cell>
          <cell r="F680" t="str">
            <v>34324759E</v>
          </cell>
          <cell r="G680" t="str">
            <v>N/A</v>
          </cell>
          <cell r="H680" t="str">
            <v>OVALIDAD</v>
          </cell>
          <cell r="I680"/>
          <cell r="J680" t="str">
            <v>Augusto Rdz</v>
          </cell>
          <cell r="K680">
            <v>44956</v>
          </cell>
          <cell r="L680" t="str">
            <v>Jose</v>
          </cell>
          <cell r="M680" t="str">
            <v>PASS</v>
          </cell>
          <cell r="N680" t="str">
            <v>OVALIDAD</v>
          </cell>
        </row>
        <row r="681">
          <cell r="A681">
            <v>20230678</v>
          </cell>
          <cell r="B681">
            <v>44956</v>
          </cell>
          <cell r="C681">
            <v>2</v>
          </cell>
          <cell r="D681" t="str">
            <v>720-2</v>
          </cell>
          <cell r="E681" t="str">
            <v>SPR8</v>
          </cell>
          <cell r="F681" t="str">
            <v>34285574C</v>
          </cell>
          <cell r="G681" t="str">
            <v>N/A</v>
          </cell>
          <cell r="H681" t="str">
            <v>CONCENTRICIDAD</v>
          </cell>
          <cell r="I681"/>
          <cell r="J681" t="str">
            <v>Augusto Rdz</v>
          </cell>
          <cell r="K681">
            <v>44956</v>
          </cell>
          <cell r="L681" t="str">
            <v>Jose</v>
          </cell>
          <cell r="M681" t="str">
            <v>PASS</v>
          </cell>
          <cell r="N681" t="str">
            <v>CONCENTRICIDAD</v>
          </cell>
        </row>
        <row r="682">
          <cell r="A682">
            <v>20230679</v>
          </cell>
          <cell r="B682">
            <v>44956</v>
          </cell>
          <cell r="C682">
            <v>2</v>
          </cell>
          <cell r="D682" t="str">
            <v>720-2</v>
          </cell>
          <cell r="E682" t="str">
            <v>SPR8</v>
          </cell>
          <cell r="F682" t="str">
            <v>34285574C</v>
          </cell>
          <cell r="G682" t="str">
            <v>N/A</v>
          </cell>
          <cell r="H682" t="str">
            <v>OVALIDAD</v>
          </cell>
          <cell r="I682"/>
          <cell r="J682" t="str">
            <v>Augusto Rdz</v>
          </cell>
          <cell r="K682">
            <v>44956</v>
          </cell>
          <cell r="L682" t="str">
            <v>Jose</v>
          </cell>
          <cell r="M682" t="str">
            <v>PASS</v>
          </cell>
          <cell r="N682" t="str">
            <v>OVALIDAD</v>
          </cell>
        </row>
        <row r="683">
          <cell r="A683">
            <v>20230680</v>
          </cell>
          <cell r="B683">
            <v>44956</v>
          </cell>
          <cell r="C683">
            <v>2</v>
          </cell>
          <cell r="D683" t="str">
            <v>720-4</v>
          </cell>
          <cell r="E683" t="str">
            <v>SPR8</v>
          </cell>
          <cell r="F683" t="str">
            <v>34361270A</v>
          </cell>
          <cell r="G683" t="str">
            <v>N/A</v>
          </cell>
          <cell r="H683" t="str">
            <v>CONCENTRICIDAD</v>
          </cell>
          <cell r="I683"/>
          <cell r="J683" t="str">
            <v>Augusto Rdz</v>
          </cell>
          <cell r="K683">
            <v>44956</v>
          </cell>
          <cell r="L683" t="str">
            <v>Jose</v>
          </cell>
          <cell r="M683" t="str">
            <v>PASS</v>
          </cell>
          <cell r="N683" t="str">
            <v>CONCENTRICIDAD</v>
          </cell>
        </row>
        <row r="684">
          <cell r="A684">
            <v>20230681</v>
          </cell>
          <cell r="B684">
            <v>44956</v>
          </cell>
          <cell r="C684">
            <v>2</v>
          </cell>
          <cell r="D684" t="str">
            <v>720-4</v>
          </cell>
          <cell r="E684" t="str">
            <v>SPR8</v>
          </cell>
          <cell r="F684" t="str">
            <v>34361270A</v>
          </cell>
          <cell r="G684" t="str">
            <v>N/A</v>
          </cell>
          <cell r="H684" t="str">
            <v>OVALIDAD</v>
          </cell>
          <cell r="I684"/>
          <cell r="J684" t="str">
            <v>Augusto Rdz</v>
          </cell>
          <cell r="K684">
            <v>44956</v>
          </cell>
          <cell r="L684" t="str">
            <v>Jose</v>
          </cell>
          <cell r="M684" t="str">
            <v>PASS</v>
          </cell>
          <cell r="N684" t="str">
            <v>OVALIDAD</v>
          </cell>
        </row>
        <row r="685">
          <cell r="A685">
            <v>20230682</v>
          </cell>
          <cell r="B685">
            <v>44956</v>
          </cell>
          <cell r="C685">
            <v>2</v>
          </cell>
          <cell r="D685" t="str">
            <v>720-6</v>
          </cell>
          <cell r="E685" t="str">
            <v>SPR8</v>
          </cell>
          <cell r="F685" t="str">
            <v>A020R617B</v>
          </cell>
          <cell r="G685" t="str">
            <v>N/A</v>
          </cell>
          <cell r="H685" t="str">
            <v>CONCENTRICIDAD</v>
          </cell>
          <cell r="I685"/>
          <cell r="J685" t="str">
            <v>Augusto Rdz</v>
          </cell>
          <cell r="K685">
            <v>44956</v>
          </cell>
          <cell r="L685" t="str">
            <v>Jose</v>
          </cell>
          <cell r="M685" t="str">
            <v>PASS</v>
          </cell>
          <cell r="N685" t="str">
            <v>CONCENTRICIDAD</v>
          </cell>
        </row>
        <row r="686">
          <cell r="A686">
            <v>20230683</v>
          </cell>
          <cell r="B686">
            <v>44956</v>
          </cell>
          <cell r="C686">
            <v>2</v>
          </cell>
          <cell r="D686" t="str">
            <v>720-6</v>
          </cell>
          <cell r="E686" t="str">
            <v>SPR8</v>
          </cell>
          <cell r="F686" t="str">
            <v>A020R617B</v>
          </cell>
          <cell r="G686" t="str">
            <v>N/A</v>
          </cell>
          <cell r="H686" t="str">
            <v>OVALIDAD</v>
          </cell>
          <cell r="I686"/>
          <cell r="J686" t="str">
            <v>Augusto Rdz</v>
          </cell>
          <cell r="K686">
            <v>44956</v>
          </cell>
          <cell r="L686" t="str">
            <v>Jose</v>
          </cell>
          <cell r="M686" t="str">
            <v>PASS</v>
          </cell>
          <cell r="N686" t="str">
            <v>OVALIDAD</v>
          </cell>
        </row>
        <row r="687">
          <cell r="A687">
            <v>20230684</v>
          </cell>
          <cell r="B687">
            <v>44956</v>
          </cell>
          <cell r="C687">
            <v>3</v>
          </cell>
          <cell r="D687" t="str">
            <v>720-3</v>
          </cell>
          <cell r="E687" t="str">
            <v>SPR8</v>
          </cell>
          <cell r="F687" t="str">
            <v>34235231G</v>
          </cell>
          <cell r="G687" t="str">
            <v>N/A</v>
          </cell>
          <cell r="H687" t="str">
            <v>CONCENTRICIDAD</v>
          </cell>
          <cell r="I687"/>
          <cell r="J687" t="str">
            <v>Augusto Rdz</v>
          </cell>
          <cell r="K687">
            <v>44956</v>
          </cell>
          <cell r="L687" t="str">
            <v>Abel</v>
          </cell>
          <cell r="M687" t="str">
            <v>PASS</v>
          </cell>
          <cell r="N687" t="str">
            <v>CONCENTRICIDAD</v>
          </cell>
        </row>
        <row r="688">
          <cell r="A688">
            <v>20230685</v>
          </cell>
          <cell r="B688">
            <v>44956</v>
          </cell>
          <cell r="C688">
            <v>3</v>
          </cell>
          <cell r="D688" t="str">
            <v>720-3</v>
          </cell>
          <cell r="E688" t="str">
            <v>SPR8</v>
          </cell>
          <cell r="F688" t="str">
            <v>34235231G</v>
          </cell>
          <cell r="G688" t="str">
            <v>N/A</v>
          </cell>
          <cell r="H688" t="str">
            <v>OVALIDAD</v>
          </cell>
          <cell r="I688"/>
          <cell r="J688" t="str">
            <v>Augusto Rdz</v>
          </cell>
          <cell r="K688">
            <v>44956</v>
          </cell>
          <cell r="L688" t="str">
            <v>Abel</v>
          </cell>
          <cell r="M688" t="str">
            <v>PASS</v>
          </cell>
          <cell r="N688" t="str">
            <v>OVALIDAD</v>
          </cell>
        </row>
        <row r="689">
          <cell r="A689">
            <v>20230686</v>
          </cell>
          <cell r="B689">
            <v>44957</v>
          </cell>
          <cell r="C689">
            <v>1</v>
          </cell>
          <cell r="D689" t="str">
            <v>703-A</v>
          </cell>
          <cell r="E689" t="str">
            <v>A100</v>
          </cell>
          <cell r="F689" t="str">
            <v>A015C074C</v>
          </cell>
          <cell r="G689" t="str">
            <v>N/A</v>
          </cell>
          <cell r="H689" t="str">
            <v>31,32</v>
          </cell>
          <cell r="I689"/>
          <cell r="J689" t="str">
            <v>Laura Castillo</v>
          </cell>
          <cell r="K689">
            <v>44957</v>
          </cell>
          <cell r="L689" t="str">
            <v>Nohemi</v>
          </cell>
          <cell r="M689" t="str">
            <v>PASS</v>
          </cell>
          <cell r="N689" t="str">
            <v>A0038M7086A-C</v>
          </cell>
        </row>
        <row r="690">
          <cell r="A690">
            <v>20230687</v>
          </cell>
          <cell r="B690">
            <v>44957</v>
          </cell>
          <cell r="C690">
            <v>1</v>
          </cell>
          <cell r="D690" t="str">
            <v>714-3</v>
          </cell>
          <cell r="E690" t="str">
            <v>JL MCA</v>
          </cell>
          <cell r="F690" t="str">
            <v>34257331B</v>
          </cell>
          <cell r="G690" t="str">
            <v>N/A</v>
          </cell>
          <cell r="H690" t="str">
            <v>15,16,17,19</v>
          </cell>
          <cell r="I690"/>
          <cell r="J690" t="str">
            <v>Laura Castillo</v>
          </cell>
          <cell r="K690">
            <v>44957</v>
          </cell>
          <cell r="L690" t="str">
            <v>Nohemi</v>
          </cell>
          <cell r="M690" t="str">
            <v>NO PASS</v>
          </cell>
          <cell r="N690" t="str">
            <v>CH34259297 A15</v>
          </cell>
        </row>
        <row r="691">
          <cell r="A691">
            <v>20230688</v>
          </cell>
          <cell r="B691">
            <v>44957</v>
          </cell>
          <cell r="C691">
            <v>1</v>
          </cell>
          <cell r="D691" t="str">
            <v>714-3</v>
          </cell>
          <cell r="E691" t="str">
            <v>JL MCA</v>
          </cell>
          <cell r="F691" t="str">
            <v>34257333A</v>
          </cell>
          <cell r="G691" t="str">
            <v>N/A</v>
          </cell>
          <cell r="H691" t="str">
            <v>15,16,17,19</v>
          </cell>
          <cell r="I691"/>
          <cell r="J691" t="str">
            <v>Laura Castillo</v>
          </cell>
          <cell r="K691">
            <v>44957</v>
          </cell>
          <cell r="L691" t="str">
            <v>Nohemi</v>
          </cell>
          <cell r="M691" t="str">
            <v>NO PASS</v>
          </cell>
          <cell r="N691" t="str">
            <v>CH34259298 A06</v>
          </cell>
        </row>
        <row r="692">
          <cell r="A692">
            <v>20230689</v>
          </cell>
          <cell r="B692">
            <v>44957</v>
          </cell>
          <cell r="C692">
            <v>1</v>
          </cell>
          <cell r="D692" t="str">
            <v>714-3</v>
          </cell>
          <cell r="E692" t="str">
            <v>JL MCA</v>
          </cell>
          <cell r="F692" t="str">
            <v>34257333A</v>
          </cell>
          <cell r="G692" t="str">
            <v>N/A</v>
          </cell>
          <cell r="H692" t="str">
            <v>15,16,17,19</v>
          </cell>
          <cell r="I692"/>
          <cell r="J692" t="str">
            <v>Laura Castillo</v>
          </cell>
          <cell r="K692">
            <v>44957</v>
          </cell>
          <cell r="L692" t="str">
            <v>Nohemi</v>
          </cell>
          <cell r="M692" t="str">
            <v>NO PASS</v>
          </cell>
          <cell r="N692" t="str">
            <v>CH34259298 A06</v>
          </cell>
        </row>
        <row r="693">
          <cell r="A693">
            <v>20230690</v>
          </cell>
          <cell r="B693">
            <v>44957</v>
          </cell>
          <cell r="C693">
            <v>1</v>
          </cell>
          <cell r="D693" t="str">
            <v>714-3</v>
          </cell>
          <cell r="E693" t="str">
            <v>JL MCA</v>
          </cell>
          <cell r="F693" t="str">
            <v>34257332A</v>
          </cell>
          <cell r="G693" t="str">
            <v>N/A</v>
          </cell>
          <cell r="H693" t="str">
            <v>15,16,17,19</v>
          </cell>
          <cell r="I693"/>
          <cell r="J693" t="str">
            <v>Laura Castillo</v>
          </cell>
          <cell r="K693">
            <v>44957</v>
          </cell>
          <cell r="L693" t="str">
            <v>Nohemi</v>
          </cell>
          <cell r="M693" t="str">
            <v>NO PASS</v>
          </cell>
          <cell r="N693" t="str">
            <v>CH34259298 A06</v>
          </cell>
        </row>
        <row r="694">
          <cell r="A694">
            <v>20230691</v>
          </cell>
          <cell r="B694">
            <v>44957</v>
          </cell>
          <cell r="C694">
            <v>1</v>
          </cell>
          <cell r="D694" t="str">
            <v>N/A</v>
          </cell>
          <cell r="E694" t="str">
            <v>N/A</v>
          </cell>
          <cell r="F694" t="str">
            <v>34190903B</v>
          </cell>
          <cell r="G694" t="str">
            <v>P1-002053</v>
          </cell>
          <cell r="H694" t="str">
            <v xml:space="preserve">Conforme al rip </v>
          </cell>
          <cell r="I694" t="str">
            <v>5 pcs</v>
          </cell>
          <cell r="J694" t="str">
            <v>Nuevos programas</v>
          </cell>
          <cell r="K694">
            <v>44957</v>
          </cell>
          <cell r="L694" t="str">
            <v xml:space="preserve">Adela </v>
          </cell>
          <cell r="M694" t="str">
            <v>PASS</v>
          </cell>
          <cell r="N694" t="str">
            <v>N/A</v>
          </cell>
        </row>
        <row r="695">
          <cell r="A695">
            <v>20230692</v>
          </cell>
          <cell r="B695">
            <v>44957</v>
          </cell>
          <cell r="C695">
            <v>1</v>
          </cell>
          <cell r="D695" t="str">
            <v>714-3</v>
          </cell>
          <cell r="E695" t="str">
            <v>JL MCA</v>
          </cell>
          <cell r="F695" t="str">
            <v>34257328A</v>
          </cell>
          <cell r="G695" t="str">
            <v>N/A</v>
          </cell>
          <cell r="H695" t="str">
            <v>15,16,17,19</v>
          </cell>
          <cell r="I695"/>
          <cell r="J695" t="str">
            <v>Laura Castillo</v>
          </cell>
          <cell r="K695">
            <v>44957</v>
          </cell>
          <cell r="L695" t="str">
            <v>Nohemi</v>
          </cell>
          <cell r="M695" t="str">
            <v>NO PASS</v>
          </cell>
          <cell r="N695" t="str">
            <v>CH34259297 A15</v>
          </cell>
        </row>
        <row r="696">
          <cell r="A696">
            <v>20230693</v>
          </cell>
          <cell r="B696">
            <v>44957</v>
          </cell>
          <cell r="C696">
            <v>1</v>
          </cell>
          <cell r="D696" t="str">
            <v>714-3</v>
          </cell>
          <cell r="E696" t="str">
            <v>JL MCA</v>
          </cell>
          <cell r="F696" t="str">
            <v>34257329A</v>
          </cell>
          <cell r="G696" t="str">
            <v>N/A</v>
          </cell>
          <cell r="H696" t="str">
            <v>15,16,17,19</v>
          </cell>
          <cell r="I696"/>
          <cell r="J696" t="str">
            <v>Laura Castillo</v>
          </cell>
          <cell r="K696">
            <v>44957</v>
          </cell>
          <cell r="L696" t="str">
            <v>Nohemi</v>
          </cell>
          <cell r="M696" t="str">
            <v>NO PASS</v>
          </cell>
          <cell r="N696" t="str">
            <v>CH34259297 A15</v>
          </cell>
        </row>
        <row r="697">
          <cell r="A697">
            <v>20230694</v>
          </cell>
          <cell r="B697">
            <v>44957</v>
          </cell>
          <cell r="C697">
            <v>1</v>
          </cell>
          <cell r="D697" t="str">
            <v>714-3</v>
          </cell>
          <cell r="E697" t="str">
            <v>JL MCA</v>
          </cell>
          <cell r="F697" t="str">
            <v>34257328A</v>
          </cell>
          <cell r="G697" t="str">
            <v>N/A</v>
          </cell>
          <cell r="H697" t="str">
            <v>15,16,17,19</v>
          </cell>
          <cell r="I697"/>
          <cell r="J697" t="str">
            <v>Laura Castillo</v>
          </cell>
          <cell r="K697">
            <v>44957</v>
          </cell>
          <cell r="L697" t="str">
            <v>Nohemi</v>
          </cell>
          <cell r="M697" t="str">
            <v>NO PASS</v>
          </cell>
          <cell r="N697" t="str">
            <v>CH34259297 A15</v>
          </cell>
        </row>
        <row r="698">
          <cell r="A698">
            <v>20230695</v>
          </cell>
          <cell r="B698">
            <v>44957</v>
          </cell>
          <cell r="C698">
            <v>1</v>
          </cell>
          <cell r="D698" t="str">
            <v>N/A</v>
          </cell>
          <cell r="E698" t="str">
            <v>N/A</v>
          </cell>
          <cell r="F698" t="str">
            <v>34257017G</v>
          </cell>
          <cell r="G698" t="str">
            <v>N/A</v>
          </cell>
          <cell r="H698">
            <v>35</v>
          </cell>
          <cell r="I698"/>
          <cell r="J698" t="str">
            <v>CRISTIAN ARNOLDO</v>
          </cell>
          <cell r="K698">
            <v>44957</v>
          </cell>
          <cell r="L698" t="str">
            <v>MAURICIO</v>
          </cell>
          <cell r="M698" t="str">
            <v>NO PASS</v>
          </cell>
          <cell r="N698" t="str">
            <v>PLANO MARCADO</v>
          </cell>
        </row>
        <row r="699">
          <cell r="A699">
            <v>20230696</v>
          </cell>
          <cell r="B699">
            <v>44957</v>
          </cell>
          <cell r="C699">
            <v>1</v>
          </cell>
          <cell r="D699" t="str">
            <v>720-1</v>
          </cell>
          <cell r="E699" t="str">
            <v>SPR8</v>
          </cell>
          <cell r="F699" t="str">
            <v>34324760D</v>
          </cell>
          <cell r="G699" t="str">
            <v>N/A</v>
          </cell>
          <cell r="H699" t="str">
            <v>CONCENTRICIDAD</v>
          </cell>
          <cell r="I699"/>
          <cell r="J699" t="str">
            <v>EVELYN ESTUDILLO</v>
          </cell>
          <cell r="K699">
            <v>44957</v>
          </cell>
          <cell r="L699" t="str">
            <v>MAURICIO</v>
          </cell>
          <cell r="M699" t="str">
            <v>PASS</v>
          </cell>
          <cell r="N699" t="str">
            <v>CONCENTRICIDAD</v>
          </cell>
        </row>
        <row r="700">
          <cell r="A700">
            <v>20230697</v>
          </cell>
          <cell r="B700">
            <v>44957</v>
          </cell>
          <cell r="C700">
            <v>1</v>
          </cell>
          <cell r="D700" t="str">
            <v>720-2</v>
          </cell>
          <cell r="E700" t="str">
            <v>SPR8</v>
          </cell>
          <cell r="F700" t="str">
            <v>34235231G</v>
          </cell>
          <cell r="G700" t="str">
            <v>N/A</v>
          </cell>
          <cell r="H700" t="str">
            <v>CONCENTRICIDAD</v>
          </cell>
          <cell r="I700"/>
          <cell r="J700" t="str">
            <v>EVELYN ESTUDILLO</v>
          </cell>
          <cell r="K700">
            <v>44957</v>
          </cell>
          <cell r="L700" t="str">
            <v>MAURICIO</v>
          </cell>
          <cell r="M700" t="str">
            <v>PASS</v>
          </cell>
          <cell r="N700" t="str">
            <v>CONCENTRICIDAD</v>
          </cell>
        </row>
        <row r="701">
          <cell r="A701">
            <v>20230698</v>
          </cell>
          <cell r="B701">
            <v>44957</v>
          </cell>
          <cell r="C701">
            <v>1</v>
          </cell>
          <cell r="D701" t="str">
            <v>720-4</v>
          </cell>
          <cell r="E701" t="str">
            <v>SPR8</v>
          </cell>
          <cell r="F701" t="str">
            <v>34361271A</v>
          </cell>
          <cell r="G701" t="str">
            <v>N/A</v>
          </cell>
          <cell r="H701" t="str">
            <v>CONCENTRICIDAD</v>
          </cell>
          <cell r="I701"/>
          <cell r="J701" t="str">
            <v>EVELYN ESTUDILLO</v>
          </cell>
          <cell r="K701">
            <v>44957</v>
          </cell>
          <cell r="L701" t="str">
            <v>MAURICIO</v>
          </cell>
          <cell r="M701" t="str">
            <v>PASS</v>
          </cell>
          <cell r="N701" t="str">
            <v>CONCENTRICIDAD</v>
          </cell>
        </row>
        <row r="702">
          <cell r="A702">
            <v>20230699</v>
          </cell>
          <cell r="B702">
            <v>44957</v>
          </cell>
          <cell r="C702">
            <v>1</v>
          </cell>
          <cell r="D702" t="str">
            <v>720-5</v>
          </cell>
          <cell r="E702" t="str">
            <v>SPR8</v>
          </cell>
          <cell r="F702" t="str">
            <v>34364569B</v>
          </cell>
          <cell r="G702" t="str">
            <v>N/A</v>
          </cell>
          <cell r="H702" t="str">
            <v>CONCENTRICIDAD</v>
          </cell>
          <cell r="I702"/>
          <cell r="J702" t="str">
            <v>EVELYN ESTUDILLO</v>
          </cell>
          <cell r="K702">
            <v>44957</v>
          </cell>
          <cell r="L702" t="str">
            <v>MAURICIO</v>
          </cell>
          <cell r="M702" t="str">
            <v>PASS</v>
          </cell>
          <cell r="N702" t="str">
            <v>CONCENTRICIDAD</v>
          </cell>
        </row>
        <row r="703">
          <cell r="A703">
            <v>20230700</v>
          </cell>
          <cell r="B703">
            <v>44957</v>
          </cell>
          <cell r="C703">
            <v>1</v>
          </cell>
          <cell r="D703" t="str">
            <v>720-6</v>
          </cell>
          <cell r="E703" t="str">
            <v>SPR8</v>
          </cell>
          <cell r="F703" t="str">
            <v>A020R619B</v>
          </cell>
          <cell r="G703" t="str">
            <v>N/A</v>
          </cell>
          <cell r="H703" t="str">
            <v>CONCENTRICIDAD</v>
          </cell>
          <cell r="I703"/>
          <cell r="J703" t="str">
            <v>EVELYN ESTUDILLO</v>
          </cell>
          <cell r="K703">
            <v>44957</v>
          </cell>
          <cell r="L703" t="str">
            <v>MAURICIO</v>
          </cell>
          <cell r="M703" t="str">
            <v>PASS</v>
          </cell>
          <cell r="N703" t="str">
            <v>CONCENTRICIDAD</v>
          </cell>
        </row>
        <row r="704">
          <cell r="A704">
            <v>20230701</v>
          </cell>
          <cell r="B704">
            <v>44957</v>
          </cell>
          <cell r="C704">
            <v>1</v>
          </cell>
          <cell r="D704" t="str">
            <v>720-1</v>
          </cell>
          <cell r="E704" t="str">
            <v>SPR8</v>
          </cell>
          <cell r="F704" t="str">
            <v>34324760D</v>
          </cell>
          <cell r="G704" t="str">
            <v>N/A</v>
          </cell>
          <cell r="H704" t="str">
            <v>OVALIDAD</v>
          </cell>
          <cell r="I704"/>
          <cell r="J704" t="str">
            <v>EVELYN ESTUDILLO</v>
          </cell>
          <cell r="K704">
            <v>44957</v>
          </cell>
          <cell r="L704" t="str">
            <v>MAURICIO</v>
          </cell>
          <cell r="M704" t="str">
            <v>PASS</v>
          </cell>
          <cell r="N704" t="str">
            <v>OVALIDAD</v>
          </cell>
        </row>
        <row r="705">
          <cell r="A705">
            <v>20230702</v>
          </cell>
          <cell r="B705">
            <v>44957</v>
          </cell>
          <cell r="C705">
            <v>1</v>
          </cell>
          <cell r="D705" t="str">
            <v>720-2</v>
          </cell>
          <cell r="E705" t="str">
            <v>SPR8</v>
          </cell>
          <cell r="F705" t="str">
            <v>34235231G</v>
          </cell>
          <cell r="G705" t="str">
            <v>N/A</v>
          </cell>
          <cell r="H705" t="str">
            <v>OVALIDAD</v>
          </cell>
          <cell r="I705"/>
          <cell r="J705" t="str">
            <v>EVELYN ESTUDILLO</v>
          </cell>
          <cell r="K705">
            <v>44957</v>
          </cell>
          <cell r="L705" t="str">
            <v>MAURICIO</v>
          </cell>
          <cell r="M705" t="str">
            <v>PASS</v>
          </cell>
          <cell r="N705" t="str">
            <v>OVALIDAD</v>
          </cell>
        </row>
        <row r="706">
          <cell r="A706">
            <v>20230703</v>
          </cell>
          <cell r="B706">
            <v>44957</v>
          </cell>
          <cell r="C706">
            <v>1</v>
          </cell>
          <cell r="D706" t="str">
            <v>720-4</v>
          </cell>
          <cell r="E706" t="str">
            <v>SPR8</v>
          </cell>
          <cell r="F706" t="str">
            <v>34361271A</v>
          </cell>
          <cell r="G706" t="str">
            <v>N/A</v>
          </cell>
          <cell r="H706" t="str">
            <v>OVALIDAD</v>
          </cell>
          <cell r="I706"/>
          <cell r="J706" t="str">
            <v>EVELYN ESTUDILLO</v>
          </cell>
          <cell r="K706">
            <v>44957</v>
          </cell>
          <cell r="L706" t="str">
            <v>MAURICIO</v>
          </cell>
          <cell r="M706" t="str">
            <v>PASS</v>
          </cell>
          <cell r="N706" t="str">
            <v>OVALIDAD</v>
          </cell>
        </row>
        <row r="707">
          <cell r="A707">
            <v>20230704</v>
          </cell>
          <cell r="B707">
            <v>44957</v>
          </cell>
          <cell r="C707">
            <v>1</v>
          </cell>
          <cell r="D707" t="str">
            <v>720-5</v>
          </cell>
          <cell r="E707" t="str">
            <v>SPR8</v>
          </cell>
          <cell r="F707" t="str">
            <v>34364569B</v>
          </cell>
          <cell r="G707" t="str">
            <v>N/A</v>
          </cell>
          <cell r="H707" t="str">
            <v>OVALIDAD</v>
          </cell>
          <cell r="I707"/>
          <cell r="J707" t="str">
            <v>EVELYN ESTUDILLO</v>
          </cell>
          <cell r="K707">
            <v>44957</v>
          </cell>
          <cell r="L707" t="str">
            <v>MAURICIO</v>
          </cell>
          <cell r="M707" t="str">
            <v>PASS</v>
          </cell>
          <cell r="N707" t="str">
            <v>OVALIDAD</v>
          </cell>
        </row>
        <row r="708">
          <cell r="A708">
            <v>20230705</v>
          </cell>
          <cell r="B708">
            <v>44957</v>
          </cell>
          <cell r="C708">
            <v>1</v>
          </cell>
          <cell r="D708" t="str">
            <v>720-6</v>
          </cell>
          <cell r="E708" t="str">
            <v>SPR8</v>
          </cell>
          <cell r="F708" t="str">
            <v>A020R619B</v>
          </cell>
          <cell r="G708" t="str">
            <v>N/A</v>
          </cell>
          <cell r="H708" t="str">
            <v>OVALIDAD</v>
          </cell>
          <cell r="I708"/>
          <cell r="J708" t="str">
            <v>EVELYN ESTUDILLO</v>
          </cell>
          <cell r="K708">
            <v>44957</v>
          </cell>
          <cell r="L708" t="str">
            <v>MAURICIO</v>
          </cell>
          <cell r="M708" t="str">
            <v>PASS</v>
          </cell>
          <cell r="N708" t="str">
            <v>OVALIDAD</v>
          </cell>
        </row>
        <row r="709">
          <cell r="A709">
            <v>20230706</v>
          </cell>
          <cell r="B709">
            <v>44957</v>
          </cell>
          <cell r="C709">
            <v>1</v>
          </cell>
          <cell r="D709" t="str">
            <v>720-3</v>
          </cell>
          <cell r="E709" t="str">
            <v>SPR8</v>
          </cell>
          <cell r="F709" t="str">
            <v>A023P561B</v>
          </cell>
          <cell r="G709" t="str">
            <v>N/A</v>
          </cell>
          <cell r="H709" t="str">
            <v>CONCENTRICIDAD</v>
          </cell>
          <cell r="I709"/>
          <cell r="J709" t="str">
            <v>Yesenia Venegas</v>
          </cell>
          <cell r="K709">
            <v>44957</v>
          </cell>
          <cell r="L709" t="str">
            <v>Nohemi</v>
          </cell>
          <cell r="M709" t="str">
            <v>PASS</v>
          </cell>
          <cell r="N709" t="str">
            <v>CONCENTRICIDAD</v>
          </cell>
        </row>
        <row r="710">
          <cell r="A710">
            <v>20230707</v>
          </cell>
          <cell r="B710">
            <v>44957</v>
          </cell>
          <cell r="C710">
            <v>1</v>
          </cell>
          <cell r="D710" t="str">
            <v>720-3</v>
          </cell>
          <cell r="E710" t="str">
            <v>SPR8</v>
          </cell>
          <cell r="F710" t="str">
            <v>A023P561B</v>
          </cell>
          <cell r="G710" t="str">
            <v>N/A</v>
          </cell>
          <cell r="H710" t="str">
            <v>OVALIDAD</v>
          </cell>
          <cell r="I710"/>
          <cell r="J710" t="str">
            <v>Yesenia Venegas</v>
          </cell>
          <cell r="K710">
            <v>44957</v>
          </cell>
          <cell r="L710" t="str">
            <v>Nohemi</v>
          </cell>
          <cell r="M710" t="str">
            <v>PASS</v>
          </cell>
          <cell r="N710" t="str">
            <v>OVALIDAD</v>
          </cell>
        </row>
        <row r="711">
          <cell r="A711">
            <v>20230708</v>
          </cell>
          <cell r="B711">
            <v>44957</v>
          </cell>
          <cell r="C711">
            <v>1</v>
          </cell>
          <cell r="D711" t="str">
            <v>720-6</v>
          </cell>
          <cell r="E711" t="str">
            <v>SPR8</v>
          </cell>
          <cell r="F711" t="str">
            <v>A020R617B</v>
          </cell>
          <cell r="G711" t="str">
            <v>N/A</v>
          </cell>
          <cell r="H711" t="str">
            <v>CONCENTRICIDAD</v>
          </cell>
          <cell r="I711"/>
          <cell r="J711" t="str">
            <v>Gabriel Ramos</v>
          </cell>
          <cell r="K711">
            <v>44957</v>
          </cell>
          <cell r="L711" t="str">
            <v>Nohemi</v>
          </cell>
          <cell r="M711" t="str">
            <v>PASS</v>
          </cell>
          <cell r="N711" t="str">
            <v>CONCENTRICIDAD</v>
          </cell>
        </row>
        <row r="712">
          <cell r="A712">
            <v>20230709</v>
          </cell>
          <cell r="B712">
            <v>44957</v>
          </cell>
          <cell r="C712">
            <v>1</v>
          </cell>
          <cell r="D712" t="str">
            <v>720-6</v>
          </cell>
          <cell r="E712" t="str">
            <v>SPR8</v>
          </cell>
          <cell r="F712" t="str">
            <v>A020R617B</v>
          </cell>
          <cell r="G712" t="str">
            <v>N/A</v>
          </cell>
          <cell r="H712" t="str">
            <v>OVALIDAD</v>
          </cell>
          <cell r="I712"/>
          <cell r="J712" t="str">
            <v>Gabriel Ramos</v>
          </cell>
          <cell r="K712">
            <v>44957</v>
          </cell>
          <cell r="L712" t="str">
            <v>Nohemi</v>
          </cell>
          <cell r="M712" t="str">
            <v>PASS</v>
          </cell>
          <cell r="N712" t="str">
            <v>OVALIDAD</v>
          </cell>
        </row>
        <row r="713">
          <cell r="A713">
            <v>20230710</v>
          </cell>
          <cell r="B713">
            <v>44957</v>
          </cell>
          <cell r="C713">
            <v>1</v>
          </cell>
          <cell r="D713" t="str">
            <v>720-4</v>
          </cell>
          <cell r="E713" t="str">
            <v>SPR8</v>
          </cell>
          <cell r="F713" t="str">
            <v>34361270A</v>
          </cell>
          <cell r="G713" t="str">
            <v>N/A</v>
          </cell>
          <cell r="H713" t="str">
            <v>CONCENTRICIDAD</v>
          </cell>
          <cell r="I713"/>
          <cell r="J713" t="str">
            <v>Gabriel Ramos</v>
          </cell>
          <cell r="K713">
            <v>44957</v>
          </cell>
          <cell r="L713" t="str">
            <v>Nohemi</v>
          </cell>
          <cell r="M713" t="str">
            <v>PASS</v>
          </cell>
          <cell r="N713" t="str">
            <v>CONCENTRICIDAD</v>
          </cell>
        </row>
        <row r="714">
          <cell r="A714">
            <v>20230711</v>
          </cell>
          <cell r="B714">
            <v>44957</v>
          </cell>
          <cell r="C714">
            <v>1</v>
          </cell>
          <cell r="D714" t="str">
            <v>720-4</v>
          </cell>
          <cell r="E714" t="str">
            <v>SPR8</v>
          </cell>
          <cell r="F714" t="str">
            <v>34361270A</v>
          </cell>
          <cell r="G714" t="str">
            <v>N/A</v>
          </cell>
          <cell r="H714" t="str">
            <v>OVALIDAD</v>
          </cell>
          <cell r="I714"/>
          <cell r="J714" t="str">
            <v>Gabriel Ramos</v>
          </cell>
          <cell r="K714">
            <v>44957</v>
          </cell>
          <cell r="L714" t="str">
            <v>Nohemi</v>
          </cell>
          <cell r="M714" t="str">
            <v>PASS</v>
          </cell>
          <cell r="N714" t="str">
            <v>OVALIDAD</v>
          </cell>
        </row>
        <row r="715">
          <cell r="A715">
            <v>20230712</v>
          </cell>
          <cell r="B715">
            <v>44957</v>
          </cell>
          <cell r="C715">
            <v>2</v>
          </cell>
          <cell r="D715" t="str">
            <v>720-2</v>
          </cell>
          <cell r="E715" t="str">
            <v>SPR8</v>
          </cell>
          <cell r="F715" t="str">
            <v>34235232G</v>
          </cell>
          <cell r="G715" t="str">
            <v>N/A</v>
          </cell>
          <cell r="H715" t="str">
            <v>CONCENTRICIDAD</v>
          </cell>
          <cell r="I715"/>
          <cell r="J715" t="str">
            <v>Augusto Rdz</v>
          </cell>
          <cell r="K715">
            <v>44957</v>
          </cell>
          <cell r="L715" t="str">
            <v>Jose</v>
          </cell>
          <cell r="M715" t="str">
            <v>PASS</v>
          </cell>
          <cell r="N715" t="str">
            <v>CONCENTRICIDAD</v>
          </cell>
        </row>
        <row r="716">
          <cell r="A716">
            <v>20230713</v>
          </cell>
          <cell r="B716">
            <v>44957</v>
          </cell>
          <cell r="C716">
            <v>2</v>
          </cell>
          <cell r="D716" t="str">
            <v>720-2</v>
          </cell>
          <cell r="E716" t="str">
            <v>SPR8</v>
          </cell>
          <cell r="F716" t="str">
            <v>34235232G</v>
          </cell>
          <cell r="G716" t="str">
            <v>N/A</v>
          </cell>
          <cell r="H716" t="str">
            <v>OVALIDAD</v>
          </cell>
          <cell r="I716"/>
          <cell r="J716" t="str">
            <v>Augusto Rdz</v>
          </cell>
          <cell r="K716">
            <v>44957</v>
          </cell>
          <cell r="L716" t="str">
            <v>Jose</v>
          </cell>
          <cell r="M716" t="str">
            <v>PASS</v>
          </cell>
          <cell r="N716" t="str">
            <v>OVALIDAD</v>
          </cell>
        </row>
        <row r="717">
          <cell r="A717">
            <v>20230714</v>
          </cell>
          <cell r="B717">
            <v>44957</v>
          </cell>
          <cell r="C717">
            <v>2</v>
          </cell>
          <cell r="D717" t="str">
            <v>720-3</v>
          </cell>
          <cell r="E717" t="str">
            <v>SPR8</v>
          </cell>
          <cell r="F717" t="str">
            <v>34235232G</v>
          </cell>
          <cell r="G717" t="str">
            <v>N/A</v>
          </cell>
          <cell r="H717" t="str">
            <v>CONCENTRICIDAD</v>
          </cell>
          <cell r="I717"/>
          <cell r="J717" t="str">
            <v>Augusto Rdz</v>
          </cell>
          <cell r="K717">
            <v>44957</v>
          </cell>
          <cell r="L717" t="str">
            <v>Jose</v>
          </cell>
          <cell r="M717" t="str">
            <v>PASS</v>
          </cell>
          <cell r="N717" t="str">
            <v>CONCENTRICIDAD</v>
          </cell>
        </row>
        <row r="718">
          <cell r="A718">
            <v>20230715</v>
          </cell>
          <cell r="B718">
            <v>44957</v>
          </cell>
          <cell r="C718">
            <v>2</v>
          </cell>
          <cell r="D718" t="str">
            <v>720-3</v>
          </cell>
          <cell r="E718" t="str">
            <v>SPR8</v>
          </cell>
          <cell r="F718" t="str">
            <v>34235232G</v>
          </cell>
          <cell r="G718" t="str">
            <v>N/A</v>
          </cell>
          <cell r="H718" t="str">
            <v>OVALIDAD</v>
          </cell>
          <cell r="I718"/>
          <cell r="J718" t="str">
            <v>Augusto Rdz</v>
          </cell>
          <cell r="K718">
            <v>44957</v>
          </cell>
          <cell r="L718" t="str">
            <v>Jose</v>
          </cell>
          <cell r="M718" t="str">
            <v>PASS</v>
          </cell>
          <cell r="N718" t="str">
            <v>OVALIDAD</v>
          </cell>
        </row>
        <row r="719">
          <cell r="A719">
            <v>20230716</v>
          </cell>
          <cell r="B719">
            <v>44957</v>
          </cell>
          <cell r="C719">
            <v>2</v>
          </cell>
          <cell r="D719" t="str">
            <v>720-5</v>
          </cell>
          <cell r="E719" t="str">
            <v>SPR8</v>
          </cell>
          <cell r="F719" t="str">
            <v>34324760D</v>
          </cell>
          <cell r="G719" t="str">
            <v>N/A</v>
          </cell>
          <cell r="H719" t="str">
            <v>CONCENTRICIDAD</v>
          </cell>
          <cell r="I719"/>
          <cell r="J719" t="str">
            <v>Augusto Rdz</v>
          </cell>
          <cell r="K719">
            <v>44957</v>
          </cell>
          <cell r="L719" t="str">
            <v>Jose</v>
          </cell>
          <cell r="M719" t="str">
            <v>PASS</v>
          </cell>
          <cell r="N719" t="str">
            <v>CONCENTRICIDAD</v>
          </cell>
        </row>
        <row r="720">
          <cell r="A720">
            <v>20230717</v>
          </cell>
          <cell r="B720">
            <v>44957</v>
          </cell>
          <cell r="C720">
            <v>2</v>
          </cell>
          <cell r="D720" t="str">
            <v>720-5</v>
          </cell>
          <cell r="E720" t="str">
            <v>SPR8</v>
          </cell>
          <cell r="F720" t="str">
            <v>34324760D</v>
          </cell>
          <cell r="G720" t="str">
            <v>N/A</v>
          </cell>
          <cell r="H720" t="str">
            <v>OVALIDAD</v>
          </cell>
          <cell r="I720"/>
          <cell r="J720" t="str">
            <v>Augusto Rdz</v>
          </cell>
          <cell r="K720">
            <v>44957</v>
          </cell>
          <cell r="L720" t="str">
            <v>Jose</v>
          </cell>
          <cell r="M720" t="str">
            <v>PASS</v>
          </cell>
          <cell r="N720" t="str">
            <v>OVALIDAD</v>
          </cell>
        </row>
        <row r="721">
          <cell r="A721">
            <v>20230718</v>
          </cell>
          <cell r="B721">
            <v>44957</v>
          </cell>
          <cell r="C721">
            <v>2</v>
          </cell>
          <cell r="D721" t="str">
            <v>720-1</v>
          </cell>
          <cell r="E721" t="str">
            <v>SPR8</v>
          </cell>
          <cell r="F721" t="str">
            <v>34324760D</v>
          </cell>
          <cell r="G721" t="str">
            <v>N/A</v>
          </cell>
          <cell r="H721" t="str">
            <v>CONCENTRICIDAD</v>
          </cell>
          <cell r="I721"/>
          <cell r="J721" t="str">
            <v>Augusto Rdz</v>
          </cell>
          <cell r="K721">
            <v>44957</v>
          </cell>
          <cell r="L721" t="str">
            <v>Jose</v>
          </cell>
          <cell r="M721" t="str">
            <v>PASS</v>
          </cell>
          <cell r="N721" t="str">
            <v>CONCENTRICIDAD</v>
          </cell>
        </row>
        <row r="722">
          <cell r="A722">
            <v>20230719</v>
          </cell>
          <cell r="B722">
            <v>44957</v>
          </cell>
          <cell r="C722">
            <v>2</v>
          </cell>
          <cell r="D722" t="str">
            <v>720-1</v>
          </cell>
          <cell r="E722" t="str">
            <v>SPR8</v>
          </cell>
          <cell r="F722" t="str">
            <v>34324760D</v>
          </cell>
          <cell r="G722" t="str">
            <v>N/A</v>
          </cell>
          <cell r="H722" t="str">
            <v>OVALIDAD</v>
          </cell>
          <cell r="I722"/>
          <cell r="J722" t="str">
            <v>Augusto Rdz</v>
          </cell>
          <cell r="K722">
            <v>44957</v>
          </cell>
          <cell r="L722" t="str">
            <v>Jose</v>
          </cell>
          <cell r="M722" t="str">
            <v>PASS</v>
          </cell>
          <cell r="N722" t="str">
            <v>OVALIDAD</v>
          </cell>
        </row>
        <row r="723">
          <cell r="A723">
            <v>20230720</v>
          </cell>
          <cell r="B723">
            <v>44958</v>
          </cell>
          <cell r="C723">
            <v>1</v>
          </cell>
          <cell r="D723" t="str">
            <v>N/A</v>
          </cell>
          <cell r="E723" t="str">
            <v>N/A</v>
          </cell>
          <cell r="F723" t="str">
            <v>34248120B</v>
          </cell>
          <cell r="G723" t="str">
            <v>01292023</v>
          </cell>
          <cell r="H723" t="str">
            <v xml:space="preserve">Conforme al rip </v>
          </cell>
          <cell r="I723" t="str">
            <v>5 pcs</v>
          </cell>
          <cell r="J723" t="str">
            <v>Nuevos programas</v>
          </cell>
          <cell r="K723">
            <v>44958</v>
          </cell>
          <cell r="L723" t="str">
            <v xml:space="preserve">Adela </v>
          </cell>
          <cell r="M723" t="str">
            <v>NO PASS</v>
          </cell>
          <cell r="N723" t="str">
            <v>N/A</v>
          </cell>
        </row>
        <row r="724">
          <cell r="A724">
            <v>20230721</v>
          </cell>
          <cell r="B724">
            <v>44958</v>
          </cell>
          <cell r="C724">
            <v>1</v>
          </cell>
          <cell r="D724" t="str">
            <v>720-3</v>
          </cell>
          <cell r="E724" t="str">
            <v>SPR8</v>
          </cell>
          <cell r="F724" t="str">
            <v>A023P565B</v>
          </cell>
          <cell r="G724" t="str">
            <v>N/A</v>
          </cell>
          <cell r="H724" t="str">
            <v>7,8,9,10,11,15,17,18,19</v>
          </cell>
          <cell r="I724"/>
          <cell r="J724" t="str">
            <v>Yesenia Venegas</v>
          </cell>
          <cell r="K724">
            <v>44949</v>
          </cell>
          <cell r="L724" t="str">
            <v>Nohemi</v>
          </cell>
          <cell r="M724" t="str">
            <v>NO PASS</v>
          </cell>
          <cell r="N724" t="str">
            <v>A0054G8117A-C</v>
          </cell>
        </row>
        <row r="725">
          <cell r="A725">
            <v>20230722</v>
          </cell>
          <cell r="B725">
            <v>44958</v>
          </cell>
          <cell r="C725">
            <v>1</v>
          </cell>
          <cell r="D725" t="str">
            <v>720-3</v>
          </cell>
          <cell r="E725" t="str">
            <v>SPR8</v>
          </cell>
          <cell r="F725" t="str">
            <v>A023P566B</v>
          </cell>
          <cell r="G725" t="str">
            <v>N/A</v>
          </cell>
          <cell r="H725" t="str">
            <v>7,8,9,10,11,15,17,18,19</v>
          </cell>
          <cell r="I725"/>
          <cell r="J725" t="str">
            <v>Yesenia Venegas</v>
          </cell>
          <cell r="K725">
            <v>44949</v>
          </cell>
          <cell r="L725" t="str">
            <v>Nohemi</v>
          </cell>
          <cell r="M725" t="str">
            <v>NO PASS</v>
          </cell>
          <cell r="N725" t="str">
            <v>A0054G8117A-C</v>
          </cell>
        </row>
        <row r="726">
          <cell r="A726">
            <v>20230723</v>
          </cell>
          <cell r="B726">
            <v>44958</v>
          </cell>
          <cell r="C726">
            <v>1</v>
          </cell>
          <cell r="D726" t="str">
            <v>720-3</v>
          </cell>
          <cell r="E726" t="str">
            <v>SPR8</v>
          </cell>
          <cell r="F726" t="str">
            <v>A023P567B</v>
          </cell>
          <cell r="G726" t="str">
            <v>N/A</v>
          </cell>
          <cell r="H726" t="str">
            <v>7,8,9,10,11,15,17,18,19</v>
          </cell>
          <cell r="I726"/>
          <cell r="J726" t="str">
            <v>Yesenia Venegas</v>
          </cell>
          <cell r="K726">
            <v>44949</v>
          </cell>
          <cell r="L726" t="str">
            <v>Nohemi</v>
          </cell>
          <cell r="M726" t="str">
            <v>NO PASS</v>
          </cell>
          <cell r="N726" t="str">
            <v>A0054G8117A-C</v>
          </cell>
        </row>
        <row r="727">
          <cell r="A727">
            <v>20230724</v>
          </cell>
          <cell r="B727">
            <v>44958</v>
          </cell>
          <cell r="C727">
            <v>1</v>
          </cell>
          <cell r="D727" t="str">
            <v>720-3</v>
          </cell>
          <cell r="E727" t="str">
            <v>SPR8</v>
          </cell>
          <cell r="F727" t="str">
            <v>A023P570B</v>
          </cell>
          <cell r="G727" t="str">
            <v>N/A</v>
          </cell>
          <cell r="H727" t="str">
            <v>8,9,10,11,12,16,18,19,20</v>
          </cell>
          <cell r="I727"/>
          <cell r="J727" t="str">
            <v>Yesenia Venegas</v>
          </cell>
          <cell r="K727">
            <v>44949</v>
          </cell>
          <cell r="L727" t="str">
            <v>Nohemi</v>
          </cell>
          <cell r="M727" t="str">
            <v>NO PASS</v>
          </cell>
          <cell r="N727" t="str">
            <v>A0034E4937A G</v>
          </cell>
        </row>
        <row r="728">
          <cell r="A728">
            <v>20230725</v>
          </cell>
          <cell r="B728">
            <v>44958</v>
          </cell>
          <cell r="C728">
            <v>1</v>
          </cell>
          <cell r="D728" t="str">
            <v>ATD</v>
          </cell>
          <cell r="E728" t="str">
            <v>SPR8</v>
          </cell>
          <cell r="F728" t="str">
            <v>BASES</v>
          </cell>
          <cell r="G728" t="str">
            <v>N/A</v>
          </cell>
          <cell r="H728" t="str">
            <v>124 125 152 523</v>
          </cell>
          <cell r="I728"/>
          <cell r="J728" t="str">
            <v>JOE SANCHEZ</v>
          </cell>
          <cell r="K728">
            <v>44958</v>
          </cell>
          <cell r="L728" t="str">
            <v>MAURICIO</v>
          </cell>
          <cell r="M728" t="str">
            <v>NO PASS</v>
          </cell>
          <cell r="N728" t="str">
            <v>PLANO MARCADO</v>
          </cell>
        </row>
        <row r="729">
          <cell r="A729">
            <v>20230726</v>
          </cell>
          <cell r="B729">
            <v>44958</v>
          </cell>
          <cell r="C729">
            <v>1</v>
          </cell>
          <cell r="D729">
            <v>122</v>
          </cell>
          <cell r="E729" t="str">
            <v>N/A</v>
          </cell>
          <cell r="F729" t="str">
            <v>34265382F</v>
          </cell>
          <cell r="G729" t="str">
            <v>N/A</v>
          </cell>
          <cell r="H729">
            <v>17</v>
          </cell>
          <cell r="I729"/>
          <cell r="J729" t="str">
            <v>Laura Castillo</v>
          </cell>
          <cell r="K729">
            <v>44949</v>
          </cell>
          <cell r="L729" t="str">
            <v>Nohemi</v>
          </cell>
          <cell r="M729" t="str">
            <v>NO PASS</v>
          </cell>
          <cell r="N729" t="str">
            <v>A0033Y1679A-B</v>
          </cell>
        </row>
        <row r="730">
          <cell r="A730">
            <v>20230727</v>
          </cell>
          <cell r="B730">
            <v>44958</v>
          </cell>
          <cell r="C730">
            <v>1</v>
          </cell>
          <cell r="D730" t="str">
            <v>703-B</v>
          </cell>
          <cell r="E730" t="str">
            <v>A100</v>
          </cell>
          <cell r="F730" t="str">
            <v>A012R614B</v>
          </cell>
          <cell r="G730" t="str">
            <v>N/A</v>
          </cell>
          <cell r="H730" t="str">
            <v>17,18,13,22</v>
          </cell>
          <cell r="I730"/>
          <cell r="J730" t="str">
            <v>Laura Castillo</v>
          </cell>
          <cell r="K730">
            <v>44958</v>
          </cell>
          <cell r="L730" t="str">
            <v>Nohemi</v>
          </cell>
          <cell r="M730" t="str">
            <v>PASS</v>
          </cell>
          <cell r="N730" t="str">
            <v>A0038M7042A-C</v>
          </cell>
        </row>
        <row r="731">
          <cell r="A731">
            <v>20230728</v>
          </cell>
          <cell r="B731">
            <v>44958</v>
          </cell>
          <cell r="C731">
            <v>1</v>
          </cell>
          <cell r="D731" t="str">
            <v>720-5</v>
          </cell>
          <cell r="E731" t="str">
            <v>SPR8</v>
          </cell>
          <cell r="F731" t="str">
            <v>34327672C</v>
          </cell>
          <cell r="G731" t="str">
            <v>N/A</v>
          </cell>
          <cell r="H731" t="str">
            <v>CONCENTRICIDAD</v>
          </cell>
          <cell r="I731"/>
          <cell r="J731" t="str">
            <v>EVELYN ESTUDILLO</v>
          </cell>
          <cell r="K731">
            <v>44958</v>
          </cell>
          <cell r="L731" t="str">
            <v>MAURICIO</v>
          </cell>
          <cell r="M731" t="str">
            <v>PASS</v>
          </cell>
          <cell r="N731" t="str">
            <v>CONCENTRICIDAD</v>
          </cell>
        </row>
        <row r="732">
          <cell r="A732">
            <v>20230729</v>
          </cell>
          <cell r="B732">
            <v>44958</v>
          </cell>
          <cell r="C732">
            <v>1</v>
          </cell>
          <cell r="D732" t="str">
            <v>720-2</v>
          </cell>
          <cell r="E732" t="str">
            <v>SPR8</v>
          </cell>
          <cell r="F732" t="str">
            <v>34296438C</v>
          </cell>
          <cell r="G732" t="str">
            <v>N/A</v>
          </cell>
          <cell r="H732" t="str">
            <v>CONCENTRICIDAD</v>
          </cell>
          <cell r="I732"/>
          <cell r="J732" t="str">
            <v>EVELYN ESTUDILLO</v>
          </cell>
          <cell r="K732">
            <v>44958</v>
          </cell>
          <cell r="L732" t="str">
            <v>MAURICIO</v>
          </cell>
          <cell r="M732" t="str">
            <v>PASS</v>
          </cell>
          <cell r="N732" t="str">
            <v>CONCENTRICIDAD</v>
          </cell>
        </row>
        <row r="733">
          <cell r="A733">
            <v>20230730</v>
          </cell>
          <cell r="B733">
            <v>44958</v>
          </cell>
          <cell r="C733">
            <v>1</v>
          </cell>
          <cell r="D733" t="str">
            <v>720-4</v>
          </cell>
          <cell r="E733" t="str">
            <v>SPR8</v>
          </cell>
          <cell r="F733" t="str">
            <v>34361270A</v>
          </cell>
          <cell r="G733" t="str">
            <v>N/A</v>
          </cell>
          <cell r="H733" t="str">
            <v>CONCENTRICIDAD</v>
          </cell>
          <cell r="I733"/>
          <cell r="J733" t="str">
            <v>EVELYN ESTUDILLO</v>
          </cell>
          <cell r="K733">
            <v>44958</v>
          </cell>
          <cell r="L733" t="str">
            <v>MAURICIO</v>
          </cell>
          <cell r="M733" t="str">
            <v>PASS</v>
          </cell>
          <cell r="N733" t="str">
            <v>CONCENTRICIDAD</v>
          </cell>
        </row>
        <row r="734">
          <cell r="A734">
            <v>20230731</v>
          </cell>
          <cell r="B734">
            <v>44958</v>
          </cell>
          <cell r="C734">
            <v>1</v>
          </cell>
          <cell r="D734" t="str">
            <v>720-3</v>
          </cell>
          <cell r="E734" t="str">
            <v>SPR8</v>
          </cell>
          <cell r="F734" t="str">
            <v>34235233G</v>
          </cell>
          <cell r="G734" t="str">
            <v>N/A</v>
          </cell>
          <cell r="H734" t="str">
            <v>CONCENTRICIDAD</v>
          </cell>
          <cell r="I734"/>
          <cell r="J734" t="str">
            <v>EVELYN ESTUDILLO</v>
          </cell>
          <cell r="K734">
            <v>44958</v>
          </cell>
          <cell r="L734" t="str">
            <v>MAURICIO</v>
          </cell>
          <cell r="M734" t="str">
            <v>PASS</v>
          </cell>
          <cell r="N734" t="str">
            <v>CONCENTRICIDAD</v>
          </cell>
        </row>
        <row r="735">
          <cell r="A735">
            <v>20230732</v>
          </cell>
          <cell r="B735">
            <v>44958</v>
          </cell>
          <cell r="C735">
            <v>1</v>
          </cell>
          <cell r="D735" t="str">
            <v>720-1</v>
          </cell>
          <cell r="E735" t="str">
            <v>SPR8</v>
          </cell>
          <cell r="F735" t="str">
            <v>34324760D</v>
          </cell>
          <cell r="G735" t="str">
            <v>N/A</v>
          </cell>
          <cell r="H735" t="str">
            <v>CONCENTRICIDAD</v>
          </cell>
          <cell r="I735"/>
          <cell r="J735" t="str">
            <v>EVELYN ESTUDILLO</v>
          </cell>
          <cell r="K735">
            <v>44958</v>
          </cell>
          <cell r="L735" t="str">
            <v>MAURICIO</v>
          </cell>
          <cell r="M735" t="str">
            <v>PASS</v>
          </cell>
          <cell r="N735" t="str">
            <v>CONCENTRICIDAD</v>
          </cell>
        </row>
        <row r="736">
          <cell r="A736">
            <v>20230733</v>
          </cell>
          <cell r="B736">
            <v>44958</v>
          </cell>
          <cell r="C736">
            <v>1</v>
          </cell>
          <cell r="D736" t="str">
            <v>720-6</v>
          </cell>
          <cell r="E736" t="str">
            <v>SPR8</v>
          </cell>
          <cell r="F736" t="str">
            <v>A020R619B</v>
          </cell>
          <cell r="G736" t="str">
            <v>N/A</v>
          </cell>
          <cell r="H736" t="str">
            <v>CONCENTRICIDAD</v>
          </cell>
          <cell r="I736"/>
          <cell r="J736" t="str">
            <v>EVELYN ESTUDILLO</v>
          </cell>
          <cell r="K736">
            <v>44958</v>
          </cell>
          <cell r="L736" t="str">
            <v>MAURICIO</v>
          </cell>
          <cell r="M736" t="str">
            <v>PASS</v>
          </cell>
          <cell r="N736" t="str">
            <v>CONCENTRICIDAD</v>
          </cell>
        </row>
        <row r="737">
          <cell r="A737">
            <v>20230734</v>
          </cell>
          <cell r="B737">
            <v>44958</v>
          </cell>
          <cell r="C737">
            <v>1</v>
          </cell>
          <cell r="D737" t="str">
            <v>720-5</v>
          </cell>
          <cell r="E737" t="str">
            <v>SPR8</v>
          </cell>
          <cell r="F737" t="str">
            <v>34327672C</v>
          </cell>
          <cell r="G737" t="str">
            <v>N/A</v>
          </cell>
          <cell r="H737" t="str">
            <v>OVALIDAD</v>
          </cell>
          <cell r="I737"/>
          <cell r="J737" t="str">
            <v>EVELYN ESTUDILLO</v>
          </cell>
          <cell r="K737">
            <v>44958</v>
          </cell>
          <cell r="L737" t="str">
            <v>MAURICIO</v>
          </cell>
          <cell r="M737" t="str">
            <v>PASS</v>
          </cell>
          <cell r="N737" t="str">
            <v>OVALIDAD</v>
          </cell>
        </row>
        <row r="738">
          <cell r="A738">
            <v>20230735</v>
          </cell>
          <cell r="B738">
            <v>44958</v>
          </cell>
          <cell r="C738">
            <v>1</v>
          </cell>
          <cell r="D738" t="str">
            <v>720-2</v>
          </cell>
          <cell r="E738" t="str">
            <v>SPR8</v>
          </cell>
          <cell r="F738" t="str">
            <v>34296438C</v>
          </cell>
          <cell r="G738" t="str">
            <v>N/A</v>
          </cell>
          <cell r="H738" t="str">
            <v>OVALIDAD</v>
          </cell>
          <cell r="I738"/>
          <cell r="J738" t="str">
            <v>EVELYN ESTUDILLO</v>
          </cell>
          <cell r="K738">
            <v>44958</v>
          </cell>
          <cell r="L738" t="str">
            <v>MAURICIO</v>
          </cell>
          <cell r="M738" t="str">
            <v>PASS</v>
          </cell>
          <cell r="N738" t="str">
            <v>OVALIDAD</v>
          </cell>
        </row>
        <row r="739">
          <cell r="A739">
            <v>20230736</v>
          </cell>
          <cell r="B739">
            <v>44958</v>
          </cell>
          <cell r="C739">
            <v>1</v>
          </cell>
          <cell r="D739" t="str">
            <v>720-4</v>
          </cell>
          <cell r="E739" t="str">
            <v>SPR8</v>
          </cell>
          <cell r="F739" t="str">
            <v>34361270A</v>
          </cell>
          <cell r="G739" t="str">
            <v>N/A</v>
          </cell>
          <cell r="H739" t="str">
            <v>OVALIDAD</v>
          </cell>
          <cell r="I739"/>
          <cell r="J739" t="str">
            <v>EVELYN ESTUDILLO</v>
          </cell>
          <cell r="K739">
            <v>44958</v>
          </cell>
          <cell r="L739" t="str">
            <v>MAURICIO</v>
          </cell>
          <cell r="M739" t="str">
            <v>PASS</v>
          </cell>
          <cell r="N739" t="str">
            <v>OVALIDAD</v>
          </cell>
        </row>
        <row r="740">
          <cell r="A740">
            <v>20230737</v>
          </cell>
          <cell r="B740">
            <v>44958</v>
          </cell>
          <cell r="C740">
            <v>1</v>
          </cell>
          <cell r="D740" t="str">
            <v>720-3</v>
          </cell>
          <cell r="E740" t="str">
            <v>SPR8</v>
          </cell>
          <cell r="F740" t="str">
            <v>34235233G</v>
          </cell>
          <cell r="G740" t="str">
            <v>N/A</v>
          </cell>
          <cell r="H740" t="str">
            <v>OVALIDAD</v>
          </cell>
          <cell r="I740"/>
          <cell r="J740" t="str">
            <v>EVELYN ESTUDILLO</v>
          </cell>
          <cell r="K740">
            <v>44958</v>
          </cell>
          <cell r="L740" t="str">
            <v>MAURICIO</v>
          </cell>
          <cell r="M740" t="str">
            <v>PASS</v>
          </cell>
          <cell r="N740" t="str">
            <v>OVALIDAD</v>
          </cell>
        </row>
        <row r="741">
          <cell r="A741">
            <v>20230738</v>
          </cell>
          <cell r="B741">
            <v>44958</v>
          </cell>
          <cell r="C741">
            <v>1</v>
          </cell>
          <cell r="D741" t="str">
            <v>720-1</v>
          </cell>
          <cell r="E741" t="str">
            <v>SPR8</v>
          </cell>
          <cell r="F741" t="str">
            <v>34324760D</v>
          </cell>
          <cell r="G741" t="str">
            <v>N/A</v>
          </cell>
          <cell r="H741" t="str">
            <v>OVALIDAD</v>
          </cell>
          <cell r="I741"/>
          <cell r="J741" t="str">
            <v>EVELYN ESTUDILLO</v>
          </cell>
          <cell r="K741">
            <v>44958</v>
          </cell>
          <cell r="L741" t="str">
            <v>MAURICIO</v>
          </cell>
          <cell r="M741" t="str">
            <v>PASS</v>
          </cell>
          <cell r="N741" t="str">
            <v>OVALIDAD</v>
          </cell>
        </row>
        <row r="742">
          <cell r="A742">
            <v>20230739</v>
          </cell>
          <cell r="B742">
            <v>44958</v>
          </cell>
          <cell r="C742">
            <v>1</v>
          </cell>
          <cell r="D742" t="str">
            <v>720-6</v>
          </cell>
          <cell r="E742" t="str">
            <v>SPR8</v>
          </cell>
          <cell r="F742" t="str">
            <v>A020R619B</v>
          </cell>
          <cell r="G742" t="str">
            <v>N/A</v>
          </cell>
          <cell r="H742" t="str">
            <v>OVALIDAD</v>
          </cell>
          <cell r="I742"/>
          <cell r="J742" t="str">
            <v>EVELYN ESTUDILLO</v>
          </cell>
          <cell r="K742">
            <v>44958</v>
          </cell>
          <cell r="L742" t="str">
            <v>MAURICIO</v>
          </cell>
          <cell r="M742" t="str">
            <v>PASS</v>
          </cell>
          <cell r="N742" t="str">
            <v>OVALIDAD</v>
          </cell>
        </row>
        <row r="743">
          <cell r="A743">
            <v>20230740</v>
          </cell>
          <cell r="B743">
            <v>44958</v>
          </cell>
          <cell r="C743">
            <v>1</v>
          </cell>
          <cell r="D743" t="str">
            <v>720-3</v>
          </cell>
          <cell r="E743" t="str">
            <v>SPR8</v>
          </cell>
          <cell r="F743" t="str">
            <v>A023P562B</v>
          </cell>
          <cell r="G743" t="str">
            <v>N/A</v>
          </cell>
          <cell r="H743" t="str">
            <v>CONCENTRICIDAD</v>
          </cell>
          <cell r="I743"/>
          <cell r="J743" t="str">
            <v>Laura Castillo</v>
          </cell>
          <cell r="K743">
            <v>44958</v>
          </cell>
          <cell r="L743" t="str">
            <v>Nohemi</v>
          </cell>
          <cell r="M743" t="str">
            <v>PASS</v>
          </cell>
          <cell r="N743" t="str">
            <v>CONCENTRICIDAD</v>
          </cell>
        </row>
        <row r="744">
          <cell r="A744">
            <v>20230741</v>
          </cell>
          <cell r="B744">
            <v>44958</v>
          </cell>
          <cell r="C744">
            <v>1</v>
          </cell>
          <cell r="D744" t="str">
            <v>720-3</v>
          </cell>
          <cell r="E744" t="str">
            <v>SPR8</v>
          </cell>
          <cell r="F744" t="str">
            <v>A023P562B</v>
          </cell>
          <cell r="G744" t="str">
            <v>N/A</v>
          </cell>
          <cell r="H744" t="str">
            <v>OVALIDAD</v>
          </cell>
          <cell r="I744"/>
          <cell r="J744" t="str">
            <v>Laura Castillo</v>
          </cell>
          <cell r="K744">
            <v>44958</v>
          </cell>
          <cell r="L744" t="str">
            <v>Nohemi</v>
          </cell>
          <cell r="M744" t="str">
            <v>PASS</v>
          </cell>
          <cell r="N744" t="str">
            <v>OVALIDAD</v>
          </cell>
        </row>
        <row r="745">
          <cell r="A745">
            <v>20230742</v>
          </cell>
          <cell r="B745">
            <v>44958</v>
          </cell>
          <cell r="C745">
            <v>1</v>
          </cell>
          <cell r="D745" t="str">
            <v>720-6</v>
          </cell>
          <cell r="E745" t="str">
            <v>SPR8</v>
          </cell>
          <cell r="F745" t="str">
            <v>A020R619B</v>
          </cell>
          <cell r="G745" t="str">
            <v>N/A</v>
          </cell>
          <cell r="H745" t="str">
            <v>CONCENTRICIDAD</v>
          </cell>
          <cell r="I745"/>
          <cell r="J745" t="str">
            <v>Gabriel Ramos</v>
          </cell>
          <cell r="K745">
            <v>44958</v>
          </cell>
          <cell r="L745" t="str">
            <v>Nohemi</v>
          </cell>
          <cell r="M745" t="str">
            <v>PASS</v>
          </cell>
          <cell r="N745" t="str">
            <v>CONCENTRICIDAD</v>
          </cell>
        </row>
        <row r="746">
          <cell r="A746">
            <v>20230743</v>
          </cell>
          <cell r="B746">
            <v>44958</v>
          </cell>
          <cell r="C746">
            <v>1</v>
          </cell>
          <cell r="D746" t="str">
            <v>720-6</v>
          </cell>
          <cell r="E746" t="str">
            <v>SPR8</v>
          </cell>
          <cell r="F746" t="str">
            <v>A020R619B</v>
          </cell>
          <cell r="G746" t="str">
            <v>N/A</v>
          </cell>
          <cell r="H746" t="str">
            <v>OVALIDAD</v>
          </cell>
          <cell r="I746"/>
          <cell r="J746" t="str">
            <v>Gabriel Ramos</v>
          </cell>
          <cell r="K746">
            <v>44958</v>
          </cell>
          <cell r="L746" t="str">
            <v>Nohemi</v>
          </cell>
          <cell r="M746" t="str">
            <v>PASS</v>
          </cell>
          <cell r="N746" t="str">
            <v>OVALIDAD</v>
          </cell>
        </row>
        <row r="747">
          <cell r="A747">
            <v>20230744</v>
          </cell>
          <cell r="B747">
            <v>44958</v>
          </cell>
          <cell r="C747">
            <v>1</v>
          </cell>
          <cell r="D747" t="str">
            <v>720-6</v>
          </cell>
          <cell r="E747" t="str">
            <v>SPR8</v>
          </cell>
          <cell r="F747" t="str">
            <v>A020R619B</v>
          </cell>
          <cell r="G747" t="str">
            <v>N/A</v>
          </cell>
          <cell r="H747" t="str">
            <v>CONCENTRICIDAD</v>
          </cell>
          <cell r="I747"/>
          <cell r="J747" t="str">
            <v>Gabriel Ramos</v>
          </cell>
          <cell r="K747">
            <v>44958</v>
          </cell>
          <cell r="L747" t="str">
            <v>Nohemi</v>
          </cell>
          <cell r="M747" t="str">
            <v>PASS</v>
          </cell>
          <cell r="N747" t="str">
            <v>CONCENTRICIDAD</v>
          </cell>
        </row>
        <row r="748">
          <cell r="A748">
            <v>20230745</v>
          </cell>
          <cell r="B748">
            <v>44958</v>
          </cell>
          <cell r="C748">
            <v>1</v>
          </cell>
          <cell r="D748" t="str">
            <v>720-6</v>
          </cell>
          <cell r="E748" t="str">
            <v>SPR8</v>
          </cell>
          <cell r="F748" t="str">
            <v>A020R619B</v>
          </cell>
          <cell r="G748" t="str">
            <v>N/A</v>
          </cell>
          <cell r="H748" t="str">
            <v>OVALIDAD</v>
          </cell>
          <cell r="I748"/>
          <cell r="J748" t="str">
            <v>Gabriel Ramos</v>
          </cell>
          <cell r="K748">
            <v>44958</v>
          </cell>
          <cell r="L748" t="str">
            <v>Nohemi</v>
          </cell>
          <cell r="M748" t="str">
            <v>PASS</v>
          </cell>
          <cell r="N748" t="str">
            <v>OVALIDAD</v>
          </cell>
        </row>
        <row r="749">
          <cell r="A749">
            <v>20230746</v>
          </cell>
          <cell r="B749">
            <v>44958</v>
          </cell>
          <cell r="C749">
            <v>1</v>
          </cell>
          <cell r="D749" t="str">
            <v>720-6</v>
          </cell>
          <cell r="E749" t="str">
            <v>SPR8</v>
          </cell>
          <cell r="F749" t="str">
            <v>A020R619B</v>
          </cell>
          <cell r="G749" t="str">
            <v>N/A</v>
          </cell>
          <cell r="H749" t="str">
            <v>CONCENTRICIDAD</v>
          </cell>
          <cell r="I749"/>
          <cell r="J749" t="str">
            <v>Gabriel Ramos</v>
          </cell>
          <cell r="K749">
            <v>44958</v>
          </cell>
          <cell r="L749" t="str">
            <v>Nohemi</v>
          </cell>
          <cell r="M749" t="str">
            <v>PASS</v>
          </cell>
          <cell r="N749" t="str">
            <v>CONCENTRICIDAD</v>
          </cell>
        </row>
        <row r="750">
          <cell r="A750">
            <v>20230747</v>
          </cell>
          <cell r="B750">
            <v>44958</v>
          </cell>
          <cell r="C750">
            <v>1</v>
          </cell>
          <cell r="D750" t="str">
            <v>720-6</v>
          </cell>
          <cell r="E750" t="str">
            <v>SPR8</v>
          </cell>
          <cell r="F750" t="str">
            <v>A020R619B</v>
          </cell>
          <cell r="G750" t="str">
            <v>N/A</v>
          </cell>
          <cell r="H750" t="str">
            <v>OVALIDAD</v>
          </cell>
          <cell r="I750"/>
          <cell r="J750" t="str">
            <v>Gabriel Ramos</v>
          </cell>
          <cell r="K750">
            <v>44958</v>
          </cell>
          <cell r="L750" t="str">
            <v>Nohemi</v>
          </cell>
          <cell r="M750" t="str">
            <v>PASS</v>
          </cell>
          <cell r="N750" t="str">
            <v>OVALIDAD</v>
          </cell>
        </row>
        <row r="751">
          <cell r="A751">
            <v>20230748</v>
          </cell>
          <cell r="B751">
            <v>44958</v>
          </cell>
          <cell r="C751">
            <v>2</v>
          </cell>
          <cell r="D751" t="str">
            <v>720-5</v>
          </cell>
          <cell r="E751" t="str">
            <v>SPR8</v>
          </cell>
          <cell r="F751" t="str">
            <v>34327672C</v>
          </cell>
          <cell r="G751" t="str">
            <v>N/A</v>
          </cell>
          <cell r="H751" t="str">
            <v>CONCENTRICIDAD</v>
          </cell>
          <cell r="I751"/>
          <cell r="J751" t="str">
            <v>Augusto Rdz</v>
          </cell>
          <cell r="K751">
            <v>44958</v>
          </cell>
          <cell r="L751" t="str">
            <v>Jose</v>
          </cell>
          <cell r="M751" t="str">
            <v>PASS</v>
          </cell>
          <cell r="N751" t="str">
            <v>CONCENTRICIDAD</v>
          </cell>
        </row>
        <row r="752">
          <cell r="A752">
            <v>20230749</v>
          </cell>
          <cell r="B752">
            <v>44958</v>
          </cell>
          <cell r="C752">
            <v>2</v>
          </cell>
          <cell r="D752" t="str">
            <v>720-5</v>
          </cell>
          <cell r="E752" t="str">
            <v>SPR8</v>
          </cell>
          <cell r="F752" t="str">
            <v>34327672C</v>
          </cell>
          <cell r="G752" t="str">
            <v>N/A</v>
          </cell>
          <cell r="H752" t="str">
            <v>OVALIDAD</v>
          </cell>
          <cell r="I752"/>
          <cell r="J752" t="str">
            <v>Augusto Rdz</v>
          </cell>
          <cell r="K752">
            <v>44958</v>
          </cell>
          <cell r="L752" t="str">
            <v>Jose</v>
          </cell>
          <cell r="M752" t="str">
            <v>PASS</v>
          </cell>
          <cell r="N752" t="str">
            <v>OVALIDAD</v>
          </cell>
        </row>
        <row r="753">
          <cell r="A753">
            <v>20230750</v>
          </cell>
          <cell r="B753">
            <v>44958</v>
          </cell>
          <cell r="C753">
            <v>2</v>
          </cell>
          <cell r="D753" t="str">
            <v>720-4</v>
          </cell>
          <cell r="E753" t="str">
            <v>SPR8</v>
          </cell>
          <cell r="F753" t="str">
            <v>34309474B</v>
          </cell>
          <cell r="G753" t="str">
            <v>N/A</v>
          </cell>
          <cell r="H753" t="str">
            <v>CONCENTRICIDAD</v>
          </cell>
          <cell r="I753"/>
          <cell r="J753" t="str">
            <v>Augusto Rdz</v>
          </cell>
          <cell r="K753">
            <v>44958</v>
          </cell>
          <cell r="L753" t="str">
            <v>Jose</v>
          </cell>
          <cell r="M753" t="str">
            <v>PASS</v>
          </cell>
          <cell r="N753" t="str">
            <v>CONCENTRICIDAD</v>
          </cell>
        </row>
        <row r="754">
          <cell r="A754">
            <v>20230751</v>
          </cell>
          <cell r="B754">
            <v>44958</v>
          </cell>
          <cell r="C754">
            <v>2</v>
          </cell>
          <cell r="D754" t="str">
            <v>720-4</v>
          </cell>
          <cell r="E754" t="str">
            <v>SPR8</v>
          </cell>
          <cell r="F754" t="str">
            <v>34309474B</v>
          </cell>
          <cell r="G754" t="str">
            <v>N/A</v>
          </cell>
          <cell r="H754" t="str">
            <v>OVALIDAD</v>
          </cell>
          <cell r="I754"/>
          <cell r="J754" t="str">
            <v>Augusto Rdz</v>
          </cell>
          <cell r="K754">
            <v>44958</v>
          </cell>
          <cell r="L754" t="str">
            <v>Jose</v>
          </cell>
          <cell r="M754" t="str">
            <v>PASS</v>
          </cell>
          <cell r="N754" t="str">
            <v>OVALIDAD</v>
          </cell>
        </row>
        <row r="755">
          <cell r="A755">
            <v>20230752</v>
          </cell>
          <cell r="B755">
            <v>44958</v>
          </cell>
          <cell r="C755">
            <v>2</v>
          </cell>
          <cell r="D755" t="str">
            <v>720-3</v>
          </cell>
          <cell r="E755" t="str">
            <v>SPR8</v>
          </cell>
          <cell r="F755" t="str">
            <v>34271010E</v>
          </cell>
          <cell r="G755" t="str">
            <v>N/A</v>
          </cell>
          <cell r="H755" t="str">
            <v>CONCENTRICIDAD</v>
          </cell>
          <cell r="I755"/>
          <cell r="J755" t="str">
            <v>Augusto Rdz</v>
          </cell>
          <cell r="K755">
            <v>44958</v>
          </cell>
          <cell r="L755" t="str">
            <v>Jose</v>
          </cell>
          <cell r="M755" t="str">
            <v>PASS</v>
          </cell>
          <cell r="N755" t="str">
            <v>CONCENTRICIDAD</v>
          </cell>
        </row>
        <row r="756">
          <cell r="A756">
            <v>20230753</v>
          </cell>
          <cell r="B756">
            <v>44958</v>
          </cell>
          <cell r="C756">
            <v>2</v>
          </cell>
          <cell r="D756" t="str">
            <v>720-3</v>
          </cell>
          <cell r="E756" t="str">
            <v>SPR8</v>
          </cell>
          <cell r="F756" t="str">
            <v>34271010E</v>
          </cell>
          <cell r="G756" t="str">
            <v>N/A</v>
          </cell>
          <cell r="H756" t="str">
            <v>OVALIDAD</v>
          </cell>
          <cell r="I756"/>
          <cell r="J756" t="str">
            <v>Augusto Rdz</v>
          </cell>
          <cell r="K756">
            <v>44958</v>
          </cell>
          <cell r="L756" t="str">
            <v>Jose</v>
          </cell>
          <cell r="M756" t="str">
            <v>PASS</v>
          </cell>
          <cell r="N756" t="str">
            <v>OVALIDAD</v>
          </cell>
        </row>
        <row r="757">
          <cell r="A757">
            <v>20230754</v>
          </cell>
          <cell r="B757">
            <v>44958</v>
          </cell>
          <cell r="C757">
            <v>2</v>
          </cell>
          <cell r="D757" t="str">
            <v>720-2</v>
          </cell>
          <cell r="E757" t="str">
            <v>SPR8</v>
          </cell>
          <cell r="F757" t="str">
            <v>34296441C</v>
          </cell>
          <cell r="G757" t="str">
            <v>N/A</v>
          </cell>
          <cell r="H757" t="str">
            <v>CONCENTRICIDAD</v>
          </cell>
          <cell r="I757"/>
          <cell r="J757" t="str">
            <v>Augusto Rdz</v>
          </cell>
          <cell r="K757">
            <v>44958</v>
          </cell>
          <cell r="L757" t="str">
            <v>Jose</v>
          </cell>
          <cell r="M757" t="str">
            <v>PASS</v>
          </cell>
          <cell r="N757" t="str">
            <v>CONCENTRICIDAD</v>
          </cell>
        </row>
        <row r="758">
          <cell r="A758">
            <v>20230755</v>
          </cell>
          <cell r="B758">
            <v>44958</v>
          </cell>
          <cell r="C758">
            <v>2</v>
          </cell>
          <cell r="D758" t="str">
            <v>720-2</v>
          </cell>
          <cell r="E758" t="str">
            <v>SPR8</v>
          </cell>
          <cell r="F758" t="str">
            <v>34296441C</v>
          </cell>
          <cell r="G758" t="str">
            <v>N/A</v>
          </cell>
          <cell r="H758" t="str">
            <v>OVALIDAD</v>
          </cell>
          <cell r="I758"/>
          <cell r="J758" t="str">
            <v>Augusto Rdz</v>
          </cell>
          <cell r="K758">
            <v>44958</v>
          </cell>
          <cell r="L758" t="str">
            <v>Jose</v>
          </cell>
          <cell r="M758" t="str">
            <v>PASS</v>
          </cell>
          <cell r="N758" t="str">
            <v>OVALIDAD</v>
          </cell>
        </row>
        <row r="759">
          <cell r="A759">
            <v>20230756</v>
          </cell>
          <cell r="B759">
            <v>44958</v>
          </cell>
          <cell r="C759">
            <v>2</v>
          </cell>
          <cell r="D759" t="str">
            <v>720-1</v>
          </cell>
          <cell r="E759" t="str">
            <v>SPR8</v>
          </cell>
          <cell r="F759" t="str">
            <v>34324760D</v>
          </cell>
          <cell r="G759" t="str">
            <v>N/A</v>
          </cell>
          <cell r="H759" t="str">
            <v>CONCENTRICIDAD</v>
          </cell>
          <cell r="I759"/>
          <cell r="J759" t="str">
            <v>Augusto Rdz</v>
          </cell>
          <cell r="K759">
            <v>44958</v>
          </cell>
          <cell r="L759" t="str">
            <v>Jose</v>
          </cell>
          <cell r="M759" t="str">
            <v>PASS</v>
          </cell>
          <cell r="N759" t="str">
            <v>CONCENTRICIDAD</v>
          </cell>
        </row>
        <row r="760">
          <cell r="A760">
            <v>20230757</v>
          </cell>
          <cell r="B760">
            <v>44958</v>
          </cell>
          <cell r="C760">
            <v>2</v>
          </cell>
          <cell r="D760" t="str">
            <v>720-1</v>
          </cell>
          <cell r="E760" t="str">
            <v>SPR8</v>
          </cell>
          <cell r="F760" t="str">
            <v>34324760D</v>
          </cell>
          <cell r="G760" t="str">
            <v>N/A</v>
          </cell>
          <cell r="H760" t="str">
            <v>OVALIDAD</v>
          </cell>
          <cell r="I760"/>
          <cell r="J760" t="str">
            <v>Augusto Rdz</v>
          </cell>
          <cell r="K760">
            <v>44958</v>
          </cell>
          <cell r="L760" t="str">
            <v>Jose</v>
          </cell>
          <cell r="M760" t="str">
            <v>PASS</v>
          </cell>
          <cell r="N760" t="str">
            <v>OVALIDAD</v>
          </cell>
        </row>
        <row r="761">
          <cell r="A761">
            <v>20230758</v>
          </cell>
          <cell r="B761">
            <v>44959</v>
          </cell>
          <cell r="C761">
            <v>1</v>
          </cell>
          <cell r="D761" t="str">
            <v>N/A</v>
          </cell>
          <cell r="E761" t="str">
            <v>N/A</v>
          </cell>
          <cell r="F761" t="str">
            <v>00020045B</v>
          </cell>
          <cell r="G761" t="str">
            <v>BF420006R</v>
          </cell>
          <cell r="H761" t="str">
            <v xml:space="preserve">Conforme al rip </v>
          </cell>
          <cell r="I761">
            <v>30</v>
          </cell>
          <cell r="J761" t="str">
            <v>ALEJANDRO ORTIZ</v>
          </cell>
          <cell r="K761">
            <v>44959</v>
          </cell>
          <cell r="L761" t="str">
            <v xml:space="preserve">Adela </v>
          </cell>
          <cell r="M761" t="str">
            <v>PASS</v>
          </cell>
          <cell r="N761" t="str">
            <v>N/A</v>
          </cell>
        </row>
        <row r="762">
          <cell r="A762">
            <v>20230759</v>
          </cell>
          <cell r="B762">
            <v>44959</v>
          </cell>
          <cell r="C762">
            <v>1</v>
          </cell>
          <cell r="D762">
            <v>604</v>
          </cell>
          <cell r="E762" t="str">
            <v>N/A</v>
          </cell>
          <cell r="F762" t="str">
            <v>34100151D</v>
          </cell>
          <cell r="G762" t="str">
            <v>N/A</v>
          </cell>
          <cell r="H762">
            <v>146147</v>
          </cell>
          <cell r="I762"/>
          <cell r="J762" t="str">
            <v>LILIANA VARELA</v>
          </cell>
          <cell r="K762">
            <v>44959</v>
          </cell>
          <cell r="L762" t="str">
            <v>Abel</v>
          </cell>
          <cell r="M762" t="str">
            <v>NO PASS</v>
          </cell>
          <cell r="N762" t="str">
            <v>CH34180551 A14/PENDIENTE</v>
          </cell>
        </row>
        <row r="763">
          <cell r="A763">
            <v>20230760</v>
          </cell>
          <cell r="B763">
            <v>44959</v>
          </cell>
          <cell r="C763">
            <v>1</v>
          </cell>
          <cell r="D763">
            <v>604</v>
          </cell>
          <cell r="E763" t="str">
            <v>N/A</v>
          </cell>
          <cell r="F763" t="str">
            <v>34149989C</v>
          </cell>
          <cell r="G763" t="str">
            <v>N/A</v>
          </cell>
          <cell r="H763">
            <v>146147</v>
          </cell>
          <cell r="I763"/>
          <cell r="J763" t="str">
            <v>LILIANA VARELA</v>
          </cell>
          <cell r="K763">
            <v>44959</v>
          </cell>
          <cell r="L763" t="str">
            <v>Abel</v>
          </cell>
          <cell r="M763" t="str">
            <v>NO PASS</v>
          </cell>
          <cell r="N763" t="str">
            <v xml:space="preserve">CH34180551 A14/PENDIENTE </v>
          </cell>
        </row>
        <row r="764">
          <cell r="A764">
            <v>20230761</v>
          </cell>
          <cell r="B764">
            <v>44959</v>
          </cell>
          <cell r="C764">
            <v>1</v>
          </cell>
          <cell r="D764" t="str">
            <v>720-1</v>
          </cell>
          <cell r="E764" t="str">
            <v>SPR8</v>
          </cell>
          <cell r="F764" t="str">
            <v>34296438C</v>
          </cell>
          <cell r="G764" t="str">
            <v>N/A</v>
          </cell>
          <cell r="H764" t="str">
            <v>CONCENTRICIDAD</v>
          </cell>
          <cell r="I764"/>
          <cell r="J764" t="str">
            <v>EVELYN ESTUDILLO</v>
          </cell>
          <cell r="K764">
            <v>44959</v>
          </cell>
          <cell r="L764" t="str">
            <v>Nohemi</v>
          </cell>
          <cell r="M764" t="str">
            <v>PASS</v>
          </cell>
          <cell r="N764" t="str">
            <v>CONCENTRICIDAD</v>
          </cell>
        </row>
        <row r="765">
          <cell r="A765">
            <v>20230762</v>
          </cell>
          <cell r="B765">
            <v>44959</v>
          </cell>
          <cell r="C765">
            <v>1</v>
          </cell>
          <cell r="D765" t="str">
            <v>720-2</v>
          </cell>
          <cell r="E765" t="str">
            <v>SPR8</v>
          </cell>
          <cell r="F765" t="str">
            <v>34296442C</v>
          </cell>
          <cell r="G765" t="str">
            <v>N/A</v>
          </cell>
          <cell r="H765" t="str">
            <v>CONCENTRICIDAD</v>
          </cell>
          <cell r="I765"/>
          <cell r="J765" t="str">
            <v>EVELYN ESTUDILLO</v>
          </cell>
          <cell r="K765">
            <v>44959</v>
          </cell>
          <cell r="L765" t="str">
            <v>Nohemi</v>
          </cell>
          <cell r="M765" t="str">
            <v>PASS</v>
          </cell>
          <cell r="N765" t="str">
            <v>CONCENTRICIDAD</v>
          </cell>
        </row>
        <row r="766">
          <cell r="A766">
            <v>20230763</v>
          </cell>
          <cell r="B766">
            <v>44959</v>
          </cell>
          <cell r="C766">
            <v>1</v>
          </cell>
          <cell r="D766" t="str">
            <v>720-3</v>
          </cell>
          <cell r="E766" t="str">
            <v>SPR8</v>
          </cell>
          <cell r="F766" t="str">
            <v>34235233G</v>
          </cell>
          <cell r="G766" t="str">
            <v>N/A</v>
          </cell>
          <cell r="H766" t="str">
            <v>CONCENTRICIDAD</v>
          </cell>
          <cell r="I766"/>
          <cell r="J766" t="str">
            <v>EVELYN ESTUDILLO</v>
          </cell>
          <cell r="K766">
            <v>44959</v>
          </cell>
          <cell r="L766" t="str">
            <v>Nohemi</v>
          </cell>
          <cell r="M766" t="str">
            <v>PASS</v>
          </cell>
          <cell r="N766" t="str">
            <v>CONCENTRICIDAD</v>
          </cell>
        </row>
        <row r="767">
          <cell r="A767">
            <v>20230764</v>
          </cell>
          <cell r="B767">
            <v>44959</v>
          </cell>
          <cell r="C767">
            <v>1</v>
          </cell>
          <cell r="D767" t="str">
            <v>720-4</v>
          </cell>
          <cell r="E767" t="str">
            <v>SPR8</v>
          </cell>
          <cell r="F767" t="str">
            <v>34361270A</v>
          </cell>
          <cell r="G767" t="str">
            <v>N/A</v>
          </cell>
          <cell r="H767" t="str">
            <v>CONCENTRICIDAD</v>
          </cell>
          <cell r="I767"/>
          <cell r="J767" t="str">
            <v>EVELYN ESTUDILLO</v>
          </cell>
          <cell r="K767">
            <v>44959</v>
          </cell>
          <cell r="L767" t="str">
            <v>Nohemi</v>
          </cell>
          <cell r="M767" t="str">
            <v>PASS</v>
          </cell>
          <cell r="N767" t="str">
            <v>CONCENTRICIDAD</v>
          </cell>
        </row>
        <row r="768">
          <cell r="A768">
            <v>20230765</v>
          </cell>
          <cell r="B768">
            <v>44959</v>
          </cell>
          <cell r="C768">
            <v>1</v>
          </cell>
          <cell r="D768" t="str">
            <v>720-5</v>
          </cell>
          <cell r="E768" t="str">
            <v>SPR8</v>
          </cell>
          <cell r="F768" t="str">
            <v>34327672C</v>
          </cell>
          <cell r="G768" t="str">
            <v>N/A</v>
          </cell>
          <cell r="H768" t="str">
            <v>CONCENTRICIDAD</v>
          </cell>
          <cell r="I768"/>
          <cell r="J768" t="str">
            <v>EVELYN ESTUDILLO</v>
          </cell>
          <cell r="K768">
            <v>44959</v>
          </cell>
          <cell r="L768" t="str">
            <v>Nohemi</v>
          </cell>
          <cell r="M768" t="str">
            <v>PASS</v>
          </cell>
          <cell r="N768" t="str">
            <v>CONCENTRICIDAD</v>
          </cell>
        </row>
        <row r="769">
          <cell r="A769">
            <v>20230766</v>
          </cell>
          <cell r="B769">
            <v>44959</v>
          </cell>
          <cell r="C769">
            <v>1</v>
          </cell>
          <cell r="D769" t="str">
            <v>720-6</v>
          </cell>
          <cell r="E769" t="str">
            <v>SPR8</v>
          </cell>
          <cell r="F769" t="str">
            <v>A020R619B</v>
          </cell>
          <cell r="G769" t="str">
            <v>N/A</v>
          </cell>
          <cell r="H769" t="str">
            <v>CONCENTRICIDAD</v>
          </cell>
          <cell r="I769"/>
          <cell r="J769" t="str">
            <v>EVELYN ESTUDILLO</v>
          </cell>
          <cell r="K769">
            <v>44959</v>
          </cell>
          <cell r="L769" t="str">
            <v>Nohemi</v>
          </cell>
          <cell r="M769" t="str">
            <v>PASS</v>
          </cell>
          <cell r="N769" t="str">
            <v>CONCENTRICIDAD</v>
          </cell>
        </row>
        <row r="770">
          <cell r="A770">
            <v>20230767</v>
          </cell>
          <cell r="B770">
            <v>44959</v>
          </cell>
          <cell r="C770">
            <v>1</v>
          </cell>
          <cell r="D770" t="str">
            <v>720-1</v>
          </cell>
          <cell r="E770" t="str">
            <v>SPR8</v>
          </cell>
          <cell r="F770" t="str">
            <v>34296438C</v>
          </cell>
          <cell r="G770" t="str">
            <v>N/A</v>
          </cell>
          <cell r="H770" t="str">
            <v>OVALIDAD</v>
          </cell>
          <cell r="I770"/>
          <cell r="J770" t="str">
            <v>EVELYN ESTUDILLO</v>
          </cell>
          <cell r="K770">
            <v>44959</v>
          </cell>
          <cell r="L770" t="str">
            <v>Nohemi</v>
          </cell>
          <cell r="M770" t="str">
            <v>PASS</v>
          </cell>
          <cell r="N770" t="str">
            <v>OVALIDAD</v>
          </cell>
        </row>
        <row r="771">
          <cell r="A771">
            <v>20230768</v>
          </cell>
          <cell r="B771">
            <v>44959</v>
          </cell>
          <cell r="C771">
            <v>1</v>
          </cell>
          <cell r="D771" t="str">
            <v>720-2</v>
          </cell>
          <cell r="E771" t="str">
            <v>SPR8</v>
          </cell>
          <cell r="F771" t="str">
            <v>34296442C</v>
          </cell>
          <cell r="G771" t="str">
            <v>N/A</v>
          </cell>
          <cell r="H771" t="str">
            <v>OVALIDAD</v>
          </cell>
          <cell r="I771"/>
          <cell r="J771" t="str">
            <v>EVELYN ESTUDILLO</v>
          </cell>
          <cell r="K771">
            <v>44959</v>
          </cell>
          <cell r="L771" t="str">
            <v>Nohemi</v>
          </cell>
          <cell r="M771" t="str">
            <v>PASS</v>
          </cell>
          <cell r="N771" t="str">
            <v>OVALIDAD</v>
          </cell>
        </row>
        <row r="772">
          <cell r="A772">
            <v>20230769</v>
          </cell>
          <cell r="B772">
            <v>44959</v>
          </cell>
          <cell r="C772">
            <v>1</v>
          </cell>
          <cell r="D772" t="str">
            <v>720-3</v>
          </cell>
          <cell r="E772" t="str">
            <v>SPR8</v>
          </cell>
          <cell r="F772" t="str">
            <v>34235233G</v>
          </cell>
          <cell r="G772" t="str">
            <v>N/A</v>
          </cell>
          <cell r="H772" t="str">
            <v>OVALIDAD</v>
          </cell>
          <cell r="I772"/>
          <cell r="J772" t="str">
            <v>EVELYN ESTUDILLO</v>
          </cell>
          <cell r="K772">
            <v>44959</v>
          </cell>
          <cell r="L772" t="str">
            <v>Nohemi</v>
          </cell>
          <cell r="M772" t="str">
            <v>PASS</v>
          </cell>
          <cell r="N772" t="str">
            <v>OVALIDAD</v>
          </cell>
        </row>
        <row r="773">
          <cell r="A773">
            <v>20230770</v>
          </cell>
          <cell r="B773">
            <v>44959</v>
          </cell>
          <cell r="C773">
            <v>1</v>
          </cell>
          <cell r="D773" t="str">
            <v>720-4</v>
          </cell>
          <cell r="E773" t="str">
            <v>SPR8</v>
          </cell>
          <cell r="F773" t="str">
            <v>34361270A</v>
          </cell>
          <cell r="G773" t="str">
            <v>N/A</v>
          </cell>
          <cell r="H773" t="str">
            <v>OVALIDAD</v>
          </cell>
          <cell r="I773"/>
          <cell r="J773" t="str">
            <v>EVELYN ESTUDILLO</v>
          </cell>
          <cell r="K773">
            <v>44959</v>
          </cell>
          <cell r="L773" t="str">
            <v>Nohemi</v>
          </cell>
          <cell r="M773" t="str">
            <v>PASS</v>
          </cell>
          <cell r="N773" t="str">
            <v>OVALIDAD</v>
          </cell>
        </row>
        <row r="774">
          <cell r="A774">
            <v>20230771</v>
          </cell>
          <cell r="B774">
            <v>44959</v>
          </cell>
          <cell r="C774">
            <v>1</v>
          </cell>
          <cell r="D774" t="str">
            <v>720-5</v>
          </cell>
          <cell r="E774" t="str">
            <v>SPR8</v>
          </cell>
          <cell r="F774" t="str">
            <v>34327672C</v>
          </cell>
          <cell r="G774" t="str">
            <v>N/A</v>
          </cell>
          <cell r="H774" t="str">
            <v>OVALIDAD</v>
          </cell>
          <cell r="I774"/>
          <cell r="J774" t="str">
            <v>EVELYN ESTUDILLO</v>
          </cell>
          <cell r="K774">
            <v>44959</v>
          </cell>
          <cell r="L774" t="str">
            <v>Nohemi</v>
          </cell>
          <cell r="M774" t="str">
            <v>PASS</v>
          </cell>
          <cell r="N774" t="str">
            <v>OVALIDAD</v>
          </cell>
        </row>
        <row r="775">
          <cell r="A775">
            <v>20230772</v>
          </cell>
          <cell r="B775">
            <v>44959</v>
          </cell>
          <cell r="C775">
            <v>1</v>
          </cell>
          <cell r="D775" t="str">
            <v>720-6</v>
          </cell>
          <cell r="E775" t="str">
            <v>SPR8</v>
          </cell>
          <cell r="F775" t="str">
            <v>A020R619B</v>
          </cell>
          <cell r="G775" t="str">
            <v>N/A</v>
          </cell>
          <cell r="H775" t="str">
            <v>OVALIDAD</v>
          </cell>
          <cell r="I775"/>
          <cell r="J775" t="str">
            <v>EVELYN ESTUDILLO</v>
          </cell>
          <cell r="K775">
            <v>44959</v>
          </cell>
          <cell r="L775" t="str">
            <v>Nohemi</v>
          </cell>
          <cell r="M775" t="str">
            <v>PASS</v>
          </cell>
          <cell r="N775" t="str">
            <v>OVALIDAD</v>
          </cell>
        </row>
        <row r="776">
          <cell r="A776">
            <v>20230773</v>
          </cell>
          <cell r="B776">
            <v>44959</v>
          </cell>
          <cell r="C776">
            <v>1</v>
          </cell>
          <cell r="D776" t="str">
            <v>N/A</v>
          </cell>
          <cell r="E776" t="str">
            <v>N/A</v>
          </cell>
          <cell r="F776" t="str">
            <v>34003244A</v>
          </cell>
          <cell r="G776">
            <v>1359099</v>
          </cell>
          <cell r="H776" t="str">
            <v xml:space="preserve">Conforme al rip </v>
          </cell>
          <cell r="I776">
            <v>30</v>
          </cell>
          <cell r="J776" t="str">
            <v>ALEJANDRO ORTIZ</v>
          </cell>
          <cell r="K776">
            <v>44959</v>
          </cell>
          <cell r="L776" t="str">
            <v xml:space="preserve">Adela </v>
          </cell>
          <cell r="M776" t="str">
            <v>PASS</v>
          </cell>
          <cell r="N776" t="str">
            <v>N/A</v>
          </cell>
        </row>
        <row r="777">
          <cell r="A777">
            <v>20230774</v>
          </cell>
          <cell r="B777">
            <v>44959</v>
          </cell>
          <cell r="C777">
            <v>1</v>
          </cell>
          <cell r="D777" t="str">
            <v>N/A</v>
          </cell>
          <cell r="E777" t="str">
            <v>N/A</v>
          </cell>
          <cell r="F777" t="str">
            <v>31868A</v>
          </cell>
          <cell r="G777">
            <v>276032</v>
          </cell>
          <cell r="H777" t="str">
            <v xml:space="preserve">Conforme al rip </v>
          </cell>
          <cell r="I777">
            <v>5</v>
          </cell>
          <cell r="J777" t="str">
            <v>Adela Leandro</v>
          </cell>
          <cell r="K777">
            <v>44959</v>
          </cell>
          <cell r="L777" t="str">
            <v xml:space="preserve">Adela </v>
          </cell>
          <cell r="M777" t="str">
            <v>PASS</v>
          </cell>
          <cell r="N777" t="str">
            <v>N/A</v>
          </cell>
        </row>
        <row r="778">
          <cell r="A778">
            <v>20230775</v>
          </cell>
          <cell r="B778">
            <v>44959</v>
          </cell>
          <cell r="C778">
            <v>1</v>
          </cell>
          <cell r="D778" t="str">
            <v>N/A</v>
          </cell>
          <cell r="E778" t="str">
            <v>N/A</v>
          </cell>
          <cell r="F778" t="str">
            <v>34257619A</v>
          </cell>
          <cell r="G778" t="str">
            <v>Varios</v>
          </cell>
          <cell r="H778" t="str">
            <v>Plano marcado</v>
          </cell>
          <cell r="I778">
            <v>6</v>
          </cell>
          <cell r="J778" t="str">
            <v>Nicolas Mendoza</v>
          </cell>
          <cell r="K778">
            <v>44959</v>
          </cell>
          <cell r="L778" t="str">
            <v>Nohemi</v>
          </cell>
          <cell r="M778" t="str">
            <v>PASS</v>
          </cell>
          <cell r="N778" t="str">
            <v>Plano marcado</v>
          </cell>
        </row>
        <row r="779">
          <cell r="A779">
            <v>20230776</v>
          </cell>
          <cell r="B779">
            <v>44959</v>
          </cell>
          <cell r="C779">
            <v>1</v>
          </cell>
          <cell r="D779" t="str">
            <v>N/A</v>
          </cell>
          <cell r="E779" t="str">
            <v>N/A</v>
          </cell>
          <cell r="F779" t="str">
            <v>34282566A</v>
          </cell>
          <cell r="G779" t="str">
            <v>N/A</v>
          </cell>
          <cell r="H779" t="str">
            <v>47 55 54 44</v>
          </cell>
          <cell r="I779">
            <v>30</v>
          </cell>
          <cell r="J779" t="str">
            <v>VICTOR MIRANDA</v>
          </cell>
          <cell r="K779">
            <v>44959</v>
          </cell>
          <cell r="L779" t="str">
            <v>MAURICIO</v>
          </cell>
          <cell r="M779" t="str">
            <v>NO PASS</v>
          </cell>
          <cell r="N779" t="str">
            <v>Plano marcado</v>
          </cell>
        </row>
        <row r="780">
          <cell r="A780">
            <v>20230777</v>
          </cell>
          <cell r="B780">
            <v>44959</v>
          </cell>
          <cell r="C780">
            <v>1</v>
          </cell>
          <cell r="D780" t="str">
            <v>720-6</v>
          </cell>
          <cell r="E780" t="str">
            <v>SPR8</v>
          </cell>
          <cell r="F780" t="str">
            <v>A020R617B</v>
          </cell>
          <cell r="G780" t="str">
            <v>N/A</v>
          </cell>
          <cell r="H780" t="str">
            <v>CONCENTRICIDAD</v>
          </cell>
          <cell r="I780">
            <v>6</v>
          </cell>
          <cell r="J780" t="str">
            <v>Gabriel Ramos</v>
          </cell>
          <cell r="K780">
            <v>44959</v>
          </cell>
          <cell r="L780" t="str">
            <v>Nohemi</v>
          </cell>
          <cell r="M780" t="str">
            <v>PASS</v>
          </cell>
          <cell r="N780" t="str">
            <v>CONCENTRICIDAD</v>
          </cell>
        </row>
        <row r="781">
          <cell r="A781">
            <v>20230778</v>
          </cell>
          <cell r="B781">
            <v>44959</v>
          </cell>
          <cell r="C781">
            <v>1</v>
          </cell>
          <cell r="D781" t="str">
            <v>720-6</v>
          </cell>
          <cell r="E781" t="str">
            <v>SPR8</v>
          </cell>
          <cell r="F781" t="str">
            <v>A020R617B</v>
          </cell>
          <cell r="G781" t="str">
            <v>N/A</v>
          </cell>
          <cell r="H781" t="str">
            <v>CONCENTRICIDAD</v>
          </cell>
          <cell r="I781">
            <v>6</v>
          </cell>
          <cell r="J781" t="str">
            <v>Gabriel Ramos</v>
          </cell>
          <cell r="K781">
            <v>44959</v>
          </cell>
          <cell r="L781" t="str">
            <v>Nohemi</v>
          </cell>
          <cell r="M781" t="str">
            <v>PASS</v>
          </cell>
          <cell r="N781" t="str">
            <v>CONCENTRICIDAD</v>
          </cell>
        </row>
        <row r="782">
          <cell r="A782">
            <v>20230779</v>
          </cell>
          <cell r="B782">
            <v>44959</v>
          </cell>
          <cell r="C782">
            <v>2</v>
          </cell>
          <cell r="D782" t="str">
            <v>720-6</v>
          </cell>
          <cell r="E782" t="str">
            <v>SPR8</v>
          </cell>
          <cell r="F782" t="str">
            <v>A020R617B</v>
          </cell>
          <cell r="G782" t="str">
            <v>N/A</v>
          </cell>
          <cell r="H782" t="str">
            <v>CONCENTRICIDAD</v>
          </cell>
          <cell r="I782">
            <v>12</v>
          </cell>
          <cell r="J782" t="str">
            <v>Gabriel Ramos</v>
          </cell>
          <cell r="K782">
            <v>44959</v>
          </cell>
          <cell r="L782" t="str">
            <v>Nohemi</v>
          </cell>
          <cell r="M782" t="str">
            <v>PASS</v>
          </cell>
          <cell r="N782" t="str">
            <v>CONCENTRICIDAD</v>
          </cell>
        </row>
        <row r="783">
          <cell r="A783">
            <v>20230780</v>
          </cell>
          <cell r="B783">
            <v>44959</v>
          </cell>
          <cell r="C783">
            <v>1</v>
          </cell>
          <cell r="D783" t="str">
            <v>720-6</v>
          </cell>
          <cell r="E783" t="str">
            <v>SPR8</v>
          </cell>
          <cell r="F783" t="str">
            <v>A020R617B</v>
          </cell>
          <cell r="G783" t="str">
            <v>N/A</v>
          </cell>
          <cell r="H783" t="str">
            <v>OVALIDAD</v>
          </cell>
          <cell r="I783">
            <v>6</v>
          </cell>
          <cell r="J783" t="str">
            <v>Gabriel Ramos</v>
          </cell>
          <cell r="K783">
            <v>44959</v>
          </cell>
          <cell r="L783" t="str">
            <v>Nohemi</v>
          </cell>
          <cell r="M783" t="str">
            <v>PASS</v>
          </cell>
          <cell r="N783" t="str">
            <v>OVALIDAD</v>
          </cell>
        </row>
        <row r="784">
          <cell r="A784">
            <v>20230781</v>
          </cell>
          <cell r="B784">
            <v>44959</v>
          </cell>
          <cell r="C784">
            <v>1</v>
          </cell>
          <cell r="D784" t="str">
            <v>720-6</v>
          </cell>
          <cell r="E784" t="str">
            <v>SPR8</v>
          </cell>
          <cell r="F784" t="str">
            <v>A020R617B</v>
          </cell>
          <cell r="G784" t="str">
            <v>N/A</v>
          </cell>
          <cell r="H784" t="str">
            <v>OVALIDAD</v>
          </cell>
          <cell r="I784">
            <v>6</v>
          </cell>
          <cell r="J784" t="str">
            <v>Gabriel Ramos</v>
          </cell>
          <cell r="K784">
            <v>44959</v>
          </cell>
          <cell r="L784" t="str">
            <v>Nohemi</v>
          </cell>
          <cell r="M784" t="str">
            <v>PASS</v>
          </cell>
          <cell r="N784" t="str">
            <v>OVALIDAD</v>
          </cell>
        </row>
        <row r="785">
          <cell r="A785">
            <v>20230782</v>
          </cell>
          <cell r="B785">
            <v>44959</v>
          </cell>
          <cell r="C785">
            <v>2</v>
          </cell>
          <cell r="D785" t="str">
            <v>720-6</v>
          </cell>
          <cell r="E785" t="str">
            <v>SPR8</v>
          </cell>
          <cell r="F785" t="str">
            <v>A020R617B</v>
          </cell>
          <cell r="G785" t="str">
            <v>N/A</v>
          </cell>
          <cell r="H785" t="str">
            <v>OVALIDAD</v>
          </cell>
          <cell r="I785">
            <v>12</v>
          </cell>
          <cell r="J785" t="str">
            <v>Gabriel Ramos</v>
          </cell>
          <cell r="K785">
            <v>44959</v>
          </cell>
          <cell r="L785" t="str">
            <v>Nohemi</v>
          </cell>
          <cell r="M785" t="str">
            <v>PASS</v>
          </cell>
          <cell r="N785" t="str">
            <v>OVALIDAD</v>
          </cell>
        </row>
        <row r="786">
          <cell r="A786">
            <v>20230783</v>
          </cell>
          <cell r="B786">
            <v>44959</v>
          </cell>
          <cell r="C786">
            <v>2</v>
          </cell>
          <cell r="D786" t="str">
            <v>720-1</v>
          </cell>
          <cell r="E786" t="str">
            <v>SPR8</v>
          </cell>
          <cell r="F786" t="str">
            <v>34296438C</v>
          </cell>
          <cell r="G786" t="str">
            <v>N/A</v>
          </cell>
          <cell r="H786" t="str">
            <v>CONCENTRICIDAD</v>
          </cell>
          <cell r="I786">
            <v>12</v>
          </cell>
          <cell r="J786" t="str">
            <v>Augusto Rdz</v>
          </cell>
          <cell r="K786">
            <v>44959</v>
          </cell>
          <cell r="L786" t="str">
            <v>Jose</v>
          </cell>
          <cell r="M786" t="str">
            <v>PASS</v>
          </cell>
          <cell r="N786" t="str">
            <v>CONCENTRICIDAD</v>
          </cell>
        </row>
        <row r="787">
          <cell r="A787">
            <v>20230784</v>
          </cell>
          <cell r="B787">
            <v>44959</v>
          </cell>
          <cell r="C787">
            <v>2</v>
          </cell>
          <cell r="D787" t="str">
            <v>720-1</v>
          </cell>
          <cell r="E787" t="str">
            <v>SPR8</v>
          </cell>
          <cell r="F787" t="str">
            <v>34296438C</v>
          </cell>
          <cell r="G787" t="str">
            <v>N/A</v>
          </cell>
          <cell r="H787" t="str">
            <v>OVALIDAD</v>
          </cell>
          <cell r="I787">
            <v>12</v>
          </cell>
          <cell r="J787" t="str">
            <v>Augusto Rdz</v>
          </cell>
          <cell r="K787">
            <v>44959</v>
          </cell>
          <cell r="L787" t="str">
            <v>Jose</v>
          </cell>
          <cell r="M787" t="str">
            <v>PASS</v>
          </cell>
          <cell r="N787" t="str">
            <v>OVALIDAD</v>
          </cell>
        </row>
        <row r="788">
          <cell r="A788">
            <v>20230785</v>
          </cell>
          <cell r="B788">
            <v>44959</v>
          </cell>
          <cell r="C788">
            <v>2</v>
          </cell>
          <cell r="D788" t="str">
            <v>720-2</v>
          </cell>
          <cell r="E788" t="str">
            <v>SPR8</v>
          </cell>
          <cell r="F788" t="str">
            <v>34235234G</v>
          </cell>
          <cell r="G788" t="str">
            <v>N/A</v>
          </cell>
          <cell r="H788" t="str">
            <v>CONCENTRICIDAD</v>
          </cell>
          <cell r="I788">
            <v>12</v>
          </cell>
          <cell r="J788" t="str">
            <v>Augusto Rdz</v>
          </cell>
          <cell r="K788">
            <v>44959</v>
          </cell>
          <cell r="L788" t="str">
            <v>Jose</v>
          </cell>
          <cell r="M788" t="str">
            <v>PASS</v>
          </cell>
          <cell r="N788" t="str">
            <v>CONCENTRICIDAD</v>
          </cell>
        </row>
        <row r="789">
          <cell r="A789">
            <v>20230786</v>
          </cell>
          <cell r="B789">
            <v>44959</v>
          </cell>
          <cell r="C789">
            <v>2</v>
          </cell>
          <cell r="D789" t="str">
            <v>720-2</v>
          </cell>
          <cell r="E789" t="str">
            <v>SPR8</v>
          </cell>
          <cell r="F789" t="str">
            <v>34235234G</v>
          </cell>
          <cell r="G789" t="str">
            <v>N/A</v>
          </cell>
          <cell r="H789" t="str">
            <v>OVALIDAD</v>
          </cell>
          <cell r="I789">
            <v>12</v>
          </cell>
          <cell r="J789" t="str">
            <v>Augusto Rdz</v>
          </cell>
          <cell r="K789">
            <v>44959</v>
          </cell>
          <cell r="L789" t="str">
            <v>Jose</v>
          </cell>
          <cell r="M789" t="str">
            <v>PASS</v>
          </cell>
          <cell r="N789" t="str">
            <v>OVALIDAD</v>
          </cell>
        </row>
        <row r="790">
          <cell r="A790">
            <v>20230787</v>
          </cell>
          <cell r="B790">
            <v>44959</v>
          </cell>
          <cell r="C790">
            <v>2</v>
          </cell>
          <cell r="D790" t="str">
            <v>720-3</v>
          </cell>
          <cell r="E790" t="str">
            <v>SPR8</v>
          </cell>
          <cell r="F790" t="str">
            <v>34235232G</v>
          </cell>
          <cell r="G790" t="str">
            <v>N/A</v>
          </cell>
          <cell r="H790" t="str">
            <v>CONCENTRICIDAD</v>
          </cell>
          <cell r="I790">
            <v>18</v>
          </cell>
          <cell r="J790" t="str">
            <v>Augusto Rdz</v>
          </cell>
          <cell r="K790">
            <v>44959</v>
          </cell>
          <cell r="L790" t="str">
            <v>Jose</v>
          </cell>
          <cell r="M790" t="str">
            <v>PASS</v>
          </cell>
          <cell r="N790" t="str">
            <v>CONCENTRICIDAD</v>
          </cell>
        </row>
        <row r="791">
          <cell r="A791">
            <v>20230788</v>
          </cell>
          <cell r="B791">
            <v>44959</v>
          </cell>
          <cell r="C791">
            <v>2</v>
          </cell>
          <cell r="D791" t="str">
            <v>720-3</v>
          </cell>
          <cell r="E791" t="str">
            <v>SPR8</v>
          </cell>
          <cell r="F791" t="str">
            <v>34235232G</v>
          </cell>
          <cell r="G791" t="str">
            <v>N/A</v>
          </cell>
          <cell r="H791" t="str">
            <v>OVALIDAD</v>
          </cell>
          <cell r="I791">
            <v>18</v>
          </cell>
          <cell r="J791" t="str">
            <v>Augusto Rdz</v>
          </cell>
          <cell r="K791">
            <v>44959</v>
          </cell>
          <cell r="L791" t="str">
            <v>Jose</v>
          </cell>
          <cell r="M791" t="str">
            <v>PASS</v>
          </cell>
          <cell r="N791" t="str">
            <v>OVALIDAD</v>
          </cell>
        </row>
        <row r="792">
          <cell r="A792">
            <v>20230789</v>
          </cell>
          <cell r="B792">
            <v>44959</v>
          </cell>
          <cell r="C792">
            <v>2</v>
          </cell>
          <cell r="D792" t="str">
            <v>720-4</v>
          </cell>
          <cell r="E792" t="str">
            <v>SPR8</v>
          </cell>
          <cell r="F792" t="str">
            <v>34309473B</v>
          </cell>
          <cell r="G792" t="str">
            <v>N/A</v>
          </cell>
          <cell r="H792" t="str">
            <v>CONCENTRICIDAD</v>
          </cell>
          <cell r="I792">
            <v>12</v>
          </cell>
          <cell r="J792" t="str">
            <v>Augusto Rdz</v>
          </cell>
          <cell r="K792">
            <v>44959</v>
          </cell>
          <cell r="L792" t="str">
            <v>Jose</v>
          </cell>
          <cell r="M792" t="str">
            <v>PASS</v>
          </cell>
          <cell r="N792" t="str">
            <v>CONCENTRICIDAD</v>
          </cell>
        </row>
        <row r="793">
          <cell r="A793">
            <v>20230790</v>
          </cell>
          <cell r="B793">
            <v>44959</v>
          </cell>
          <cell r="C793">
            <v>2</v>
          </cell>
          <cell r="D793" t="str">
            <v>720-4</v>
          </cell>
          <cell r="E793" t="str">
            <v>SPR8</v>
          </cell>
          <cell r="F793" t="str">
            <v>34309473B</v>
          </cell>
          <cell r="G793" t="str">
            <v>N/A</v>
          </cell>
          <cell r="H793" t="str">
            <v>OVALIDAD</v>
          </cell>
          <cell r="I793">
            <v>12</v>
          </cell>
          <cell r="J793" t="str">
            <v>Augusto Rdz</v>
          </cell>
          <cell r="K793">
            <v>44959</v>
          </cell>
          <cell r="L793" t="str">
            <v>Jose</v>
          </cell>
          <cell r="M793" t="str">
            <v>PASS</v>
          </cell>
          <cell r="N793" t="str">
            <v>OVALIDAD</v>
          </cell>
        </row>
        <row r="794">
          <cell r="A794">
            <v>20230791</v>
          </cell>
          <cell r="B794">
            <v>44959</v>
          </cell>
          <cell r="C794">
            <v>2</v>
          </cell>
          <cell r="D794" t="str">
            <v>720-5</v>
          </cell>
          <cell r="E794" t="str">
            <v>SPR8</v>
          </cell>
          <cell r="F794" t="str">
            <v>34235234G</v>
          </cell>
          <cell r="G794" t="str">
            <v>N/A</v>
          </cell>
          <cell r="H794" t="str">
            <v>CONCENTRICIDAD</v>
          </cell>
          <cell r="I794">
            <v>12</v>
          </cell>
          <cell r="J794" t="str">
            <v>Augusto Rdz</v>
          </cell>
          <cell r="K794">
            <v>44959</v>
          </cell>
          <cell r="L794" t="str">
            <v>Jose</v>
          </cell>
          <cell r="M794" t="str">
            <v>PASS</v>
          </cell>
          <cell r="N794" t="str">
            <v>CONCENTRICIDAD</v>
          </cell>
        </row>
        <row r="795">
          <cell r="A795">
            <v>20230792</v>
          </cell>
          <cell r="B795">
            <v>44959</v>
          </cell>
          <cell r="C795">
            <v>2</v>
          </cell>
          <cell r="D795" t="str">
            <v>720-5</v>
          </cell>
          <cell r="E795" t="str">
            <v>SPR8</v>
          </cell>
          <cell r="F795" t="str">
            <v>34235234G</v>
          </cell>
          <cell r="G795" t="str">
            <v>N/A</v>
          </cell>
          <cell r="H795" t="str">
            <v>OVALIDAD</v>
          </cell>
          <cell r="I795">
            <v>12</v>
          </cell>
          <cell r="J795" t="str">
            <v>Augusto Rdz</v>
          </cell>
          <cell r="K795">
            <v>44959</v>
          </cell>
          <cell r="L795" t="str">
            <v>Jose</v>
          </cell>
          <cell r="M795" t="str">
            <v>PASS</v>
          </cell>
          <cell r="N795" t="str">
            <v>OVALIDAD</v>
          </cell>
        </row>
        <row r="796">
          <cell r="A796">
            <v>20230793</v>
          </cell>
          <cell r="B796">
            <v>44959</v>
          </cell>
          <cell r="C796">
            <v>1</v>
          </cell>
          <cell r="D796" t="str">
            <v>N/A</v>
          </cell>
          <cell r="E796" t="str">
            <v>N/A</v>
          </cell>
          <cell r="F796" t="str">
            <v>34215633D</v>
          </cell>
          <cell r="G796" t="str">
            <v>ATD-188</v>
          </cell>
          <cell r="H796" t="str">
            <v>QA 10</v>
          </cell>
          <cell r="I796">
            <v>5</v>
          </cell>
          <cell r="J796" t="str">
            <v>Maria Sustaita</v>
          </cell>
          <cell r="K796">
            <v>44960</v>
          </cell>
          <cell r="L796" t="str">
            <v>MAURICIO</v>
          </cell>
          <cell r="M796" t="str">
            <v>PASS</v>
          </cell>
          <cell r="N796" t="str">
            <v>CVS34197233 PLANO MARCADO</v>
          </cell>
        </row>
        <row r="797">
          <cell r="A797">
            <v>20230794</v>
          </cell>
          <cell r="B797">
            <v>44960</v>
          </cell>
          <cell r="C797">
            <v>1</v>
          </cell>
          <cell r="D797" t="str">
            <v>720-1</v>
          </cell>
          <cell r="E797" t="str">
            <v>SPR8</v>
          </cell>
          <cell r="F797" t="str">
            <v>34296438C</v>
          </cell>
          <cell r="G797" t="str">
            <v>N/A</v>
          </cell>
          <cell r="H797" t="str">
            <v>CONCENTRICIDAD</v>
          </cell>
          <cell r="I797">
            <v>12</v>
          </cell>
          <cell r="J797" t="str">
            <v>EVELYN ESTUDILLO</v>
          </cell>
          <cell r="K797">
            <v>44960</v>
          </cell>
          <cell r="L797" t="str">
            <v>Nohemi</v>
          </cell>
          <cell r="M797" t="str">
            <v>PASS</v>
          </cell>
          <cell r="N797" t="str">
            <v>CONCENTRICIDAD</v>
          </cell>
        </row>
        <row r="798">
          <cell r="A798">
            <v>20230795</v>
          </cell>
          <cell r="B798">
            <v>44960</v>
          </cell>
          <cell r="C798">
            <v>1</v>
          </cell>
          <cell r="D798" t="str">
            <v>720-1</v>
          </cell>
          <cell r="E798" t="str">
            <v>SPR8</v>
          </cell>
          <cell r="F798" t="str">
            <v>34296438C</v>
          </cell>
          <cell r="G798" t="str">
            <v>N/A</v>
          </cell>
          <cell r="H798" t="str">
            <v>OVALIDAD</v>
          </cell>
          <cell r="I798">
            <v>12</v>
          </cell>
          <cell r="J798" t="str">
            <v>EVELYN ESTUDILLO</v>
          </cell>
          <cell r="K798">
            <v>44960</v>
          </cell>
          <cell r="L798" t="str">
            <v>Nohemi</v>
          </cell>
          <cell r="M798" t="str">
            <v>PASS</v>
          </cell>
          <cell r="N798" t="str">
            <v>OVALIDAD</v>
          </cell>
        </row>
        <row r="799">
          <cell r="A799">
            <v>20230796</v>
          </cell>
          <cell r="B799">
            <v>44960</v>
          </cell>
          <cell r="C799">
            <v>1</v>
          </cell>
          <cell r="D799" t="str">
            <v>720-2</v>
          </cell>
          <cell r="E799" t="str">
            <v>SPR8</v>
          </cell>
          <cell r="F799" t="str">
            <v>34235234G</v>
          </cell>
          <cell r="G799" t="str">
            <v>N/A</v>
          </cell>
          <cell r="H799" t="str">
            <v>CONCENTRICIDAD</v>
          </cell>
          <cell r="I799">
            <v>12</v>
          </cell>
          <cell r="J799" t="str">
            <v>EVELYN ESTUDILLO</v>
          </cell>
          <cell r="K799">
            <v>44960</v>
          </cell>
          <cell r="L799" t="str">
            <v>Nohemi</v>
          </cell>
          <cell r="M799" t="str">
            <v>PASS</v>
          </cell>
          <cell r="N799" t="str">
            <v>CONCENTRICIDAD</v>
          </cell>
        </row>
        <row r="800">
          <cell r="A800">
            <v>20230797</v>
          </cell>
          <cell r="B800">
            <v>44960</v>
          </cell>
          <cell r="C800">
            <v>1</v>
          </cell>
          <cell r="D800" t="str">
            <v>720-3</v>
          </cell>
          <cell r="E800" t="str">
            <v>SPR8</v>
          </cell>
          <cell r="F800" t="str">
            <v>34235232G</v>
          </cell>
          <cell r="G800" t="str">
            <v>N/A</v>
          </cell>
          <cell r="H800" t="str">
            <v>CONCENTRICIDAD</v>
          </cell>
          <cell r="I800">
            <v>18</v>
          </cell>
          <cell r="J800" t="str">
            <v>EVELYN ESTUDILLO</v>
          </cell>
          <cell r="K800">
            <v>44960</v>
          </cell>
          <cell r="L800" t="str">
            <v>Nohemi</v>
          </cell>
          <cell r="M800" t="str">
            <v>PASS</v>
          </cell>
          <cell r="N800" t="str">
            <v>CONCENTRICIDAD</v>
          </cell>
        </row>
        <row r="801">
          <cell r="A801">
            <v>20230798</v>
          </cell>
          <cell r="B801">
            <v>44960</v>
          </cell>
          <cell r="C801">
            <v>1</v>
          </cell>
          <cell r="D801" t="str">
            <v>720-4</v>
          </cell>
          <cell r="E801" t="str">
            <v>SPR8</v>
          </cell>
          <cell r="F801" t="str">
            <v>34361271A</v>
          </cell>
          <cell r="G801" t="str">
            <v>N/A</v>
          </cell>
          <cell r="H801" t="str">
            <v>CONCENTRICIDAD</v>
          </cell>
          <cell r="I801">
            <v>12</v>
          </cell>
          <cell r="J801" t="str">
            <v>EVELYN ESTUDILLO</v>
          </cell>
          <cell r="K801">
            <v>44960</v>
          </cell>
          <cell r="L801" t="str">
            <v>Nohemi</v>
          </cell>
          <cell r="M801" t="str">
            <v>PASS</v>
          </cell>
          <cell r="N801" t="str">
            <v>CONCENTRICIDAD</v>
          </cell>
        </row>
        <row r="802">
          <cell r="A802">
            <v>20230799</v>
          </cell>
          <cell r="B802">
            <v>44960</v>
          </cell>
          <cell r="C802">
            <v>1</v>
          </cell>
          <cell r="D802" t="str">
            <v>720-5</v>
          </cell>
          <cell r="E802" t="str">
            <v>SPR8</v>
          </cell>
          <cell r="F802" t="str">
            <v>34324759E</v>
          </cell>
          <cell r="G802" t="str">
            <v>N/A</v>
          </cell>
          <cell r="H802" t="str">
            <v>CONCENTRICIDAD</v>
          </cell>
          <cell r="I802">
            <v>12</v>
          </cell>
          <cell r="J802" t="str">
            <v>EVELYN ESTUDILLO</v>
          </cell>
          <cell r="K802">
            <v>44960</v>
          </cell>
          <cell r="L802" t="str">
            <v>Nohemi</v>
          </cell>
          <cell r="M802" t="str">
            <v>PASS</v>
          </cell>
          <cell r="N802" t="str">
            <v>CONCENTRICIDAD</v>
          </cell>
        </row>
        <row r="803">
          <cell r="A803">
            <v>20230800</v>
          </cell>
          <cell r="B803">
            <v>44960</v>
          </cell>
          <cell r="C803">
            <v>1</v>
          </cell>
          <cell r="D803" t="str">
            <v>720-6</v>
          </cell>
          <cell r="E803" t="str">
            <v>SPR8</v>
          </cell>
          <cell r="F803" t="str">
            <v>A020R623B</v>
          </cell>
          <cell r="G803" t="str">
            <v>N/A</v>
          </cell>
          <cell r="H803" t="str">
            <v>CONCENTRICIDAD</v>
          </cell>
          <cell r="I803">
            <v>12</v>
          </cell>
          <cell r="J803" t="str">
            <v>EVELYN ESTUDILLO</v>
          </cell>
          <cell r="K803">
            <v>44960</v>
          </cell>
          <cell r="L803" t="str">
            <v>Nohemi</v>
          </cell>
          <cell r="M803" t="str">
            <v>PASS</v>
          </cell>
          <cell r="N803" t="str">
            <v>CONCENTRICIDAD</v>
          </cell>
        </row>
        <row r="804">
          <cell r="A804">
            <v>20230801</v>
          </cell>
          <cell r="B804">
            <v>44960</v>
          </cell>
          <cell r="C804">
            <v>1</v>
          </cell>
          <cell r="D804" t="str">
            <v>720-2</v>
          </cell>
          <cell r="E804" t="str">
            <v>SPR8</v>
          </cell>
          <cell r="F804" t="str">
            <v>34235234G</v>
          </cell>
          <cell r="G804" t="str">
            <v>N/A</v>
          </cell>
          <cell r="H804" t="str">
            <v>OVALIDAD</v>
          </cell>
          <cell r="I804">
            <v>12</v>
          </cell>
          <cell r="J804" t="str">
            <v>EVELYN ESTUDILLO</v>
          </cell>
          <cell r="K804">
            <v>44960</v>
          </cell>
          <cell r="L804" t="str">
            <v>Nohemi</v>
          </cell>
          <cell r="M804" t="str">
            <v>PASS</v>
          </cell>
          <cell r="N804" t="str">
            <v>OVALIDAD</v>
          </cell>
        </row>
        <row r="805">
          <cell r="A805">
            <v>20230802</v>
          </cell>
          <cell r="B805">
            <v>44960</v>
          </cell>
          <cell r="C805">
            <v>1</v>
          </cell>
          <cell r="D805" t="str">
            <v>720-3</v>
          </cell>
          <cell r="E805" t="str">
            <v>SPR8</v>
          </cell>
          <cell r="F805" t="str">
            <v>34235232G</v>
          </cell>
          <cell r="G805" t="str">
            <v>N/A</v>
          </cell>
          <cell r="H805" t="str">
            <v>OVALIDAD</v>
          </cell>
          <cell r="I805">
            <v>18</v>
          </cell>
          <cell r="J805" t="str">
            <v>EVELYN ESTUDILLO</v>
          </cell>
          <cell r="K805">
            <v>44960</v>
          </cell>
          <cell r="L805" t="str">
            <v>Nohemi</v>
          </cell>
          <cell r="M805" t="str">
            <v>PASS</v>
          </cell>
          <cell r="N805" t="str">
            <v>OVALIDAD</v>
          </cell>
        </row>
        <row r="806">
          <cell r="A806">
            <v>20230803</v>
          </cell>
          <cell r="B806">
            <v>44960</v>
          </cell>
          <cell r="C806">
            <v>1</v>
          </cell>
          <cell r="D806" t="str">
            <v>720-4</v>
          </cell>
          <cell r="E806" t="str">
            <v>SPR8</v>
          </cell>
          <cell r="F806" t="str">
            <v>34361271A</v>
          </cell>
          <cell r="G806" t="str">
            <v>N/A</v>
          </cell>
          <cell r="H806" t="str">
            <v>OVALIDAD</v>
          </cell>
          <cell r="I806">
            <v>12</v>
          </cell>
          <cell r="J806" t="str">
            <v>EVELYN ESTUDILLO</v>
          </cell>
          <cell r="K806">
            <v>44960</v>
          </cell>
          <cell r="L806" t="str">
            <v>Nohemi</v>
          </cell>
          <cell r="M806" t="str">
            <v>PASS</v>
          </cell>
          <cell r="N806" t="str">
            <v>OVALIDAD</v>
          </cell>
        </row>
        <row r="807">
          <cell r="A807">
            <v>20230804</v>
          </cell>
          <cell r="B807">
            <v>44960</v>
          </cell>
          <cell r="C807">
            <v>1</v>
          </cell>
          <cell r="D807" t="str">
            <v>720-5</v>
          </cell>
          <cell r="E807" t="str">
            <v>SPR8</v>
          </cell>
          <cell r="F807" t="str">
            <v>34324759E</v>
          </cell>
          <cell r="G807" t="str">
            <v>N/A</v>
          </cell>
          <cell r="H807" t="str">
            <v>OVALIDAD</v>
          </cell>
          <cell r="I807">
            <v>12</v>
          </cell>
          <cell r="J807" t="str">
            <v>EVELYN ESTUDILLO</v>
          </cell>
          <cell r="K807">
            <v>44960</v>
          </cell>
          <cell r="L807" t="str">
            <v>Nohemi</v>
          </cell>
          <cell r="M807" t="str">
            <v>PASS</v>
          </cell>
          <cell r="N807" t="str">
            <v>OVALIDAD</v>
          </cell>
        </row>
        <row r="808">
          <cell r="A808">
            <v>20230805</v>
          </cell>
          <cell r="B808">
            <v>44960</v>
          </cell>
          <cell r="C808">
            <v>1</v>
          </cell>
          <cell r="D808" t="str">
            <v>720-6</v>
          </cell>
          <cell r="E808" t="str">
            <v>SPR8</v>
          </cell>
          <cell r="F808" t="str">
            <v>A020R623B</v>
          </cell>
          <cell r="G808" t="str">
            <v>N/A</v>
          </cell>
          <cell r="H808" t="str">
            <v>OVALIDAD</v>
          </cell>
          <cell r="I808">
            <v>12</v>
          </cell>
          <cell r="J808" t="str">
            <v>EVELYN ESTUDILLO</v>
          </cell>
          <cell r="K808">
            <v>44960</v>
          </cell>
          <cell r="L808" t="str">
            <v>Nohemi</v>
          </cell>
          <cell r="M808" t="str">
            <v>PASS</v>
          </cell>
          <cell r="N808" t="str">
            <v>OVALIDAD</v>
          </cell>
        </row>
        <row r="809">
          <cell r="A809">
            <v>20230806</v>
          </cell>
          <cell r="B809">
            <v>44960</v>
          </cell>
          <cell r="C809">
            <v>1</v>
          </cell>
          <cell r="D809" t="str">
            <v>720-3</v>
          </cell>
          <cell r="E809" t="str">
            <v>SPR8</v>
          </cell>
          <cell r="F809" t="str">
            <v>A023P570B</v>
          </cell>
          <cell r="G809" t="str">
            <v>N/A</v>
          </cell>
          <cell r="H809" t="str">
            <v>12,11,10,9,8,19,20,18,Z</v>
          </cell>
          <cell r="I809">
            <v>4</v>
          </cell>
          <cell r="J809" t="str">
            <v>Yesenia Venegas</v>
          </cell>
          <cell r="K809">
            <v>44960</v>
          </cell>
          <cell r="L809" t="str">
            <v>Nohemi</v>
          </cell>
          <cell r="M809" t="str">
            <v>NO PASS</v>
          </cell>
          <cell r="N809" t="str">
            <v>A0034E4937A G</v>
          </cell>
        </row>
        <row r="810">
          <cell r="A810">
            <v>20230807</v>
          </cell>
          <cell r="B810">
            <v>44960</v>
          </cell>
          <cell r="C810">
            <v>1</v>
          </cell>
          <cell r="D810" t="str">
            <v>720-3</v>
          </cell>
          <cell r="E810" t="str">
            <v>SPR8</v>
          </cell>
          <cell r="F810" t="str">
            <v>A023P568B</v>
          </cell>
          <cell r="G810" t="str">
            <v>N/A</v>
          </cell>
          <cell r="H810" t="str">
            <v>7,8,9,10,11,17,18,19,Z</v>
          </cell>
          <cell r="I810">
            <v>4</v>
          </cell>
          <cell r="J810" t="str">
            <v>Yesenia Venegas</v>
          </cell>
          <cell r="K810">
            <v>44960</v>
          </cell>
          <cell r="L810" t="str">
            <v>Nohemi</v>
          </cell>
          <cell r="M810" t="str">
            <v>NO PASS</v>
          </cell>
          <cell r="N810" t="str">
            <v>A0054G8117A-C</v>
          </cell>
        </row>
        <row r="811">
          <cell r="A811">
            <v>20230808</v>
          </cell>
          <cell r="B811">
            <v>44960</v>
          </cell>
          <cell r="C811">
            <v>1</v>
          </cell>
          <cell r="D811" t="str">
            <v>N/A</v>
          </cell>
          <cell r="E811" t="str">
            <v>N/A</v>
          </cell>
          <cell r="F811" t="str">
            <v>GAGE</v>
          </cell>
          <cell r="G811" t="str">
            <v>N/A</v>
          </cell>
          <cell r="H811" t="str">
            <v>RADIO &amp; HRC</v>
          </cell>
          <cell r="I811">
            <v>2</v>
          </cell>
          <cell r="J811" t="str">
            <v>MANUEL ITUARTE</v>
          </cell>
          <cell r="K811">
            <v>44960</v>
          </cell>
          <cell r="L811" t="str">
            <v>MAURICIO</v>
          </cell>
          <cell r="M811" t="str">
            <v>NO PASS</v>
          </cell>
          <cell r="N811" t="str">
            <v>Plano marcado</v>
          </cell>
        </row>
        <row r="812">
          <cell r="A812">
            <v>20230809</v>
          </cell>
          <cell r="B812">
            <v>44960</v>
          </cell>
          <cell r="C812">
            <v>1</v>
          </cell>
          <cell r="D812">
            <v>464</v>
          </cell>
          <cell r="E812" t="str">
            <v>A100</v>
          </cell>
          <cell r="F812" t="str">
            <v>34333112A</v>
          </cell>
          <cell r="G812" t="str">
            <v>N/A</v>
          </cell>
          <cell r="H812">
            <v>11</v>
          </cell>
          <cell r="I812">
            <v>4</v>
          </cell>
          <cell r="J812" t="str">
            <v>Laura Castillo</v>
          </cell>
          <cell r="K812">
            <v>44960</v>
          </cell>
          <cell r="L812" t="str">
            <v>Nohemi</v>
          </cell>
          <cell r="M812" t="str">
            <v>NO PASS</v>
          </cell>
          <cell r="N812" t="str">
            <v>A0053N8503A-D</v>
          </cell>
        </row>
        <row r="813">
          <cell r="A813">
            <v>20230810</v>
          </cell>
          <cell r="B813">
            <v>44960</v>
          </cell>
          <cell r="C813">
            <v>1</v>
          </cell>
          <cell r="D813">
            <v>464</v>
          </cell>
          <cell r="E813" t="str">
            <v>A100</v>
          </cell>
          <cell r="F813" t="str">
            <v>34333111A</v>
          </cell>
          <cell r="G813" t="str">
            <v>N/A</v>
          </cell>
          <cell r="H813">
            <v>11</v>
          </cell>
          <cell r="I813">
            <v>4</v>
          </cell>
          <cell r="J813" t="str">
            <v>Laura Castillo</v>
          </cell>
          <cell r="K813">
            <v>44960</v>
          </cell>
          <cell r="L813" t="str">
            <v>Nohemi</v>
          </cell>
          <cell r="M813" t="str">
            <v>PASS</v>
          </cell>
          <cell r="N813" t="str">
            <v>A0053N8503A-D</v>
          </cell>
        </row>
        <row r="814">
          <cell r="A814">
            <v>20230811</v>
          </cell>
          <cell r="B814">
            <v>44960</v>
          </cell>
          <cell r="C814">
            <v>1</v>
          </cell>
          <cell r="D814" t="str">
            <v>720-3</v>
          </cell>
          <cell r="E814" t="str">
            <v>SPR8</v>
          </cell>
          <cell r="F814" t="str">
            <v>A023P558B</v>
          </cell>
          <cell r="G814" t="str">
            <v>N/A</v>
          </cell>
          <cell r="H814" t="str">
            <v>CONCENTRICIDAD</v>
          </cell>
          <cell r="I814">
            <v>6</v>
          </cell>
          <cell r="J814" t="str">
            <v>Laura Castillo</v>
          </cell>
          <cell r="K814">
            <v>44960</v>
          </cell>
          <cell r="L814" t="str">
            <v>Nohemi</v>
          </cell>
          <cell r="M814" t="str">
            <v>PASS</v>
          </cell>
          <cell r="N814" t="str">
            <v>CONCENTRICIDAD</v>
          </cell>
        </row>
        <row r="815">
          <cell r="A815">
            <v>20230812</v>
          </cell>
          <cell r="B815">
            <v>44960</v>
          </cell>
          <cell r="C815">
            <v>1</v>
          </cell>
          <cell r="D815" t="str">
            <v>720-3</v>
          </cell>
          <cell r="E815" t="str">
            <v>SPR8</v>
          </cell>
          <cell r="F815" t="str">
            <v>A023P558B</v>
          </cell>
          <cell r="G815" t="str">
            <v>N/A</v>
          </cell>
          <cell r="H815" t="str">
            <v>OVALIDAD</v>
          </cell>
          <cell r="I815">
            <v>6</v>
          </cell>
          <cell r="J815" t="str">
            <v>Laura Castillo</v>
          </cell>
          <cell r="K815">
            <v>44960</v>
          </cell>
          <cell r="L815" t="str">
            <v>Nohemi</v>
          </cell>
          <cell r="M815" t="str">
            <v>PASS</v>
          </cell>
          <cell r="N815" t="str">
            <v>OVALIDAD</v>
          </cell>
        </row>
        <row r="816">
          <cell r="A816">
            <v>20230813</v>
          </cell>
          <cell r="B816">
            <v>44960</v>
          </cell>
          <cell r="C816">
            <v>1</v>
          </cell>
          <cell r="D816" t="str">
            <v>703-A</v>
          </cell>
          <cell r="E816" t="str">
            <v>A100</v>
          </cell>
          <cell r="F816" t="str">
            <v>A015C040B</v>
          </cell>
          <cell r="G816" t="str">
            <v>N/A</v>
          </cell>
          <cell r="H816" t="str">
            <v>16,35,31,32,5,9,7,11</v>
          </cell>
          <cell r="I816">
            <v>7</v>
          </cell>
          <cell r="J816" t="str">
            <v>Laura Castillo</v>
          </cell>
          <cell r="K816">
            <v>44960</v>
          </cell>
          <cell r="L816" t="str">
            <v>Nohemi</v>
          </cell>
          <cell r="M816" t="str">
            <v>PASS</v>
          </cell>
          <cell r="N816" t="str">
            <v>A0038M7086A C</v>
          </cell>
        </row>
        <row r="817">
          <cell r="A817">
            <v>20230814</v>
          </cell>
          <cell r="B817">
            <v>44960</v>
          </cell>
          <cell r="C817">
            <v>1</v>
          </cell>
          <cell r="D817" t="str">
            <v>703-A</v>
          </cell>
          <cell r="E817" t="str">
            <v>A100</v>
          </cell>
          <cell r="F817" t="str">
            <v>A012R615B</v>
          </cell>
          <cell r="G817" t="str">
            <v>N/A</v>
          </cell>
          <cell r="H817" t="str">
            <v>16,35,5,9,7,11</v>
          </cell>
          <cell r="I817">
            <v>12</v>
          </cell>
          <cell r="J817" t="str">
            <v>Laura Castillo</v>
          </cell>
          <cell r="K817">
            <v>44960</v>
          </cell>
          <cell r="L817" t="str">
            <v>Nohemi</v>
          </cell>
          <cell r="M817" t="str">
            <v>PASS</v>
          </cell>
          <cell r="N817" t="str">
            <v>A0038M7086A C</v>
          </cell>
        </row>
        <row r="818">
          <cell r="A818">
            <v>20230815</v>
          </cell>
          <cell r="B818">
            <v>44960</v>
          </cell>
          <cell r="C818">
            <v>2</v>
          </cell>
          <cell r="D818" t="str">
            <v>720-1</v>
          </cell>
          <cell r="E818" t="str">
            <v>SPR8</v>
          </cell>
          <cell r="F818" t="str">
            <v>34324759E</v>
          </cell>
          <cell r="G818" t="str">
            <v>N/A</v>
          </cell>
          <cell r="H818" t="str">
            <v>CONCENTRICIDAD</v>
          </cell>
          <cell r="I818">
            <v>6</v>
          </cell>
          <cell r="J818" t="str">
            <v>Gabriel Ramos</v>
          </cell>
          <cell r="K818">
            <v>44960</v>
          </cell>
          <cell r="L818" t="str">
            <v>Nohemi</v>
          </cell>
          <cell r="M818" t="str">
            <v>PASS</v>
          </cell>
          <cell r="N818" t="str">
            <v>CONCENTRICIDAD</v>
          </cell>
        </row>
        <row r="819">
          <cell r="A819">
            <v>20230816</v>
          </cell>
          <cell r="B819">
            <v>44960</v>
          </cell>
          <cell r="C819">
            <v>2</v>
          </cell>
          <cell r="D819" t="str">
            <v>720-1</v>
          </cell>
          <cell r="E819" t="str">
            <v>SPR8</v>
          </cell>
          <cell r="F819" t="str">
            <v>34324759E</v>
          </cell>
          <cell r="G819" t="str">
            <v>N/A</v>
          </cell>
          <cell r="H819" t="str">
            <v>OVALIDAD</v>
          </cell>
          <cell r="I819">
            <v>6</v>
          </cell>
          <cell r="J819" t="str">
            <v>Gabriel Ramos</v>
          </cell>
          <cell r="K819">
            <v>44960</v>
          </cell>
          <cell r="L819" t="str">
            <v>Nohemi</v>
          </cell>
          <cell r="M819" t="str">
            <v>PASS</v>
          </cell>
          <cell r="N819" t="str">
            <v>OVALIDAD</v>
          </cell>
        </row>
        <row r="820">
          <cell r="A820">
            <v>20230817</v>
          </cell>
          <cell r="B820">
            <v>44960</v>
          </cell>
          <cell r="C820">
            <v>2</v>
          </cell>
          <cell r="D820" t="str">
            <v>720-3</v>
          </cell>
          <cell r="E820" t="str">
            <v>SPR8</v>
          </cell>
          <cell r="F820" t="str">
            <v>34235231G</v>
          </cell>
          <cell r="G820" t="str">
            <v>N/A</v>
          </cell>
          <cell r="H820" t="str">
            <v>CONCENTRICIDAD</v>
          </cell>
          <cell r="I820">
            <v>18</v>
          </cell>
          <cell r="J820" t="str">
            <v>Augusto Rdz</v>
          </cell>
          <cell r="K820">
            <v>44960</v>
          </cell>
          <cell r="L820" t="str">
            <v>Jose</v>
          </cell>
          <cell r="M820" t="str">
            <v>PASS</v>
          </cell>
          <cell r="N820" t="str">
            <v>CONCENTRICIDAD</v>
          </cell>
        </row>
        <row r="821">
          <cell r="A821">
            <v>20230818</v>
          </cell>
          <cell r="B821">
            <v>44960</v>
          </cell>
          <cell r="C821">
            <v>2</v>
          </cell>
          <cell r="D821" t="str">
            <v>720-3</v>
          </cell>
          <cell r="E821" t="str">
            <v>SPR8</v>
          </cell>
          <cell r="F821" t="str">
            <v>34235231G</v>
          </cell>
          <cell r="G821" t="str">
            <v>N/A</v>
          </cell>
          <cell r="H821" t="str">
            <v>OVALIDAD</v>
          </cell>
          <cell r="I821">
            <v>18</v>
          </cell>
          <cell r="J821" t="str">
            <v>Augusto Rdz</v>
          </cell>
          <cell r="K821">
            <v>44960</v>
          </cell>
          <cell r="L821" t="str">
            <v>Jose</v>
          </cell>
          <cell r="M821" t="str">
            <v>PASS</v>
          </cell>
          <cell r="N821" t="str">
            <v>OVALIDAD</v>
          </cell>
        </row>
        <row r="822">
          <cell r="A822">
            <v>20230819</v>
          </cell>
          <cell r="B822">
            <v>44960</v>
          </cell>
          <cell r="C822">
            <v>2</v>
          </cell>
          <cell r="D822" t="str">
            <v>720-5</v>
          </cell>
          <cell r="E822" t="str">
            <v>SPR8</v>
          </cell>
          <cell r="F822" t="str">
            <v>34324760D</v>
          </cell>
          <cell r="G822" t="str">
            <v>N/A</v>
          </cell>
          <cell r="H822" t="str">
            <v>CONCENTRICIDAD</v>
          </cell>
          <cell r="I822">
            <v>12</v>
          </cell>
          <cell r="J822" t="str">
            <v>Augusto Rdz</v>
          </cell>
          <cell r="K822">
            <v>44960</v>
          </cell>
          <cell r="L822" t="str">
            <v>Jose</v>
          </cell>
          <cell r="M822" t="str">
            <v>PASS</v>
          </cell>
          <cell r="N822" t="str">
            <v>CONCENTRICIDAD</v>
          </cell>
        </row>
        <row r="823">
          <cell r="A823">
            <v>20230820</v>
          </cell>
          <cell r="B823">
            <v>44960</v>
          </cell>
          <cell r="C823">
            <v>2</v>
          </cell>
          <cell r="D823" t="str">
            <v>720-5</v>
          </cell>
          <cell r="E823" t="str">
            <v>SPR8</v>
          </cell>
          <cell r="F823" t="str">
            <v>34324760D</v>
          </cell>
          <cell r="G823" t="str">
            <v>N/A</v>
          </cell>
          <cell r="H823" t="str">
            <v>OVALIDAD</v>
          </cell>
          <cell r="I823">
            <v>12</v>
          </cell>
          <cell r="J823" t="str">
            <v>Augusto Rdz</v>
          </cell>
          <cell r="K823">
            <v>44960</v>
          </cell>
          <cell r="L823" t="str">
            <v>Jose</v>
          </cell>
          <cell r="M823" t="str">
            <v>PASS</v>
          </cell>
          <cell r="N823" t="str">
            <v>OVALIDAD</v>
          </cell>
        </row>
        <row r="824">
          <cell r="A824">
            <v>20230821</v>
          </cell>
          <cell r="B824">
            <v>44960</v>
          </cell>
          <cell r="C824">
            <v>2</v>
          </cell>
          <cell r="D824" t="str">
            <v>720-2</v>
          </cell>
          <cell r="E824" t="str">
            <v>SPR8</v>
          </cell>
          <cell r="F824" t="str">
            <v>34235234G</v>
          </cell>
          <cell r="G824" t="str">
            <v>N/A</v>
          </cell>
          <cell r="H824" t="str">
            <v>CONCENTRICIDAD</v>
          </cell>
          <cell r="I824">
            <v>12</v>
          </cell>
          <cell r="J824" t="str">
            <v>Augusto Rdz</v>
          </cell>
          <cell r="K824">
            <v>44960</v>
          </cell>
          <cell r="L824" t="str">
            <v>Jose</v>
          </cell>
          <cell r="M824" t="str">
            <v>PASS</v>
          </cell>
          <cell r="N824" t="str">
            <v>CONCENTRICIDAD</v>
          </cell>
        </row>
        <row r="825">
          <cell r="A825">
            <v>20230822</v>
          </cell>
          <cell r="B825">
            <v>44960</v>
          </cell>
          <cell r="C825">
            <v>2</v>
          </cell>
          <cell r="D825" t="str">
            <v>720-2</v>
          </cell>
          <cell r="E825" t="str">
            <v>SPR8</v>
          </cell>
          <cell r="F825" t="str">
            <v>34235234G</v>
          </cell>
          <cell r="G825" t="str">
            <v>N/A</v>
          </cell>
          <cell r="H825" t="str">
            <v>OVALIDAD</v>
          </cell>
          <cell r="I825">
            <v>12</v>
          </cell>
          <cell r="J825" t="str">
            <v>Augusto Rdz</v>
          </cell>
          <cell r="K825">
            <v>44960</v>
          </cell>
          <cell r="L825" t="str">
            <v>Jose</v>
          </cell>
          <cell r="M825" t="str">
            <v>PASS</v>
          </cell>
          <cell r="N825" t="str">
            <v>OVALIDAD</v>
          </cell>
        </row>
        <row r="826">
          <cell r="A826">
            <v>20230823</v>
          </cell>
          <cell r="B826">
            <v>44960</v>
          </cell>
          <cell r="C826">
            <v>2</v>
          </cell>
          <cell r="D826" t="str">
            <v>720-6</v>
          </cell>
          <cell r="E826" t="str">
            <v>SPR8</v>
          </cell>
          <cell r="F826" t="str">
            <v>A020R613B</v>
          </cell>
          <cell r="G826" t="str">
            <v>N/A</v>
          </cell>
          <cell r="H826" t="str">
            <v>CONCENTRICIDAD</v>
          </cell>
          <cell r="I826">
            <v>12</v>
          </cell>
          <cell r="J826" t="str">
            <v>Augusto Rdz</v>
          </cell>
          <cell r="K826">
            <v>44960</v>
          </cell>
          <cell r="L826" t="str">
            <v>Jose</v>
          </cell>
          <cell r="M826" t="str">
            <v>PASS</v>
          </cell>
          <cell r="N826" t="str">
            <v>CONCENTRICIDAD</v>
          </cell>
        </row>
        <row r="827">
          <cell r="A827">
            <v>20230824</v>
          </cell>
          <cell r="B827">
            <v>44960</v>
          </cell>
          <cell r="C827">
            <v>2</v>
          </cell>
          <cell r="D827" t="str">
            <v>720-6</v>
          </cell>
          <cell r="E827" t="str">
            <v>SPR8</v>
          </cell>
          <cell r="F827" t="str">
            <v>A020R613B</v>
          </cell>
          <cell r="G827" t="str">
            <v>N/A</v>
          </cell>
          <cell r="H827" t="str">
            <v>OVALIDAD</v>
          </cell>
          <cell r="I827">
            <v>12</v>
          </cell>
          <cell r="J827" t="str">
            <v>Augusto Rdz</v>
          </cell>
          <cell r="K827">
            <v>44960</v>
          </cell>
          <cell r="L827" t="str">
            <v>Jose</v>
          </cell>
          <cell r="M827" t="str">
            <v>PASS</v>
          </cell>
          <cell r="N827" t="str">
            <v>OVALIDAD</v>
          </cell>
        </row>
        <row r="828">
          <cell r="A828">
            <v>20230825</v>
          </cell>
          <cell r="B828">
            <v>44960</v>
          </cell>
          <cell r="C828">
            <v>2</v>
          </cell>
          <cell r="D828" t="str">
            <v>720-4</v>
          </cell>
          <cell r="E828" t="str">
            <v>SPR8</v>
          </cell>
          <cell r="F828" t="str">
            <v>34361270A</v>
          </cell>
          <cell r="G828" t="str">
            <v>N/A</v>
          </cell>
          <cell r="H828" t="str">
            <v>CONCENTRICIDAD</v>
          </cell>
          <cell r="I828">
            <v>12</v>
          </cell>
          <cell r="J828" t="str">
            <v>Augusto Rdz</v>
          </cell>
          <cell r="K828">
            <v>44960</v>
          </cell>
          <cell r="L828" t="str">
            <v>Jose</v>
          </cell>
          <cell r="M828" t="str">
            <v>PASS</v>
          </cell>
          <cell r="N828" t="str">
            <v>CONCENTRICIDAD</v>
          </cell>
        </row>
        <row r="829">
          <cell r="A829">
            <v>20230826</v>
          </cell>
          <cell r="B829">
            <v>44960</v>
          </cell>
          <cell r="C829">
            <v>2</v>
          </cell>
          <cell r="D829" t="str">
            <v>720-4</v>
          </cell>
          <cell r="E829" t="str">
            <v>SPR8</v>
          </cell>
          <cell r="F829" t="str">
            <v>34361270A</v>
          </cell>
          <cell r="G829" t="str">
            <v>N/A</v>
          </cell>
          <cell r="H829" t="str">
            <v>OVALIDAD</v>
          </cell>
          <cell r="I829">
            <v>12</v>
          </cell>
          <cell r="J829" t="str">
            <v>Augusto Rdz</v>
          </cell>
          <cell r="K829">
            <v>44960</v>
          </cell>
          <cell r="L829" t="str">
            <v>Jose</v>
          </cell>
          <cell r="M829" t="str">
            <v>PASS</v>
          </cell>
          <cell r="N829" t="str">
            <v>OVALIDAD</v>
          </cell>
        </row>
        <row r="830">
          <cell r="A830">
            <v>20230827</v>
          </cell>
          <cell r="B830">
            <v>44961</v>
          </cell>
          <cell r="C830">
            <v>1</v>
          </cell>
          <cell r="D830" t="str">
            <v>720-2</v>
          </cell>
          <cell r="E830" t="str">
            <v>SPR8</v>
          </cell>
          <cell r="F830" t="str">
            <v>34235234G</v>
          </cell>
          <cell r="G830" t="str">
            <v>N/A</v>
          </cell>
          <cell r="H830" t="str">
            <v>CONCENTRICIDAD</v>
          </cell>
          <cell r="I830">
            <v>12</v>
          </cell>
          <cell r="J830" t="str">
            <v>EVELYN ESTUDILLO</v>
          </cell>
          <cell r="K830">
            <v>44961</v>
          </cell>
          <cell r="L830" t="str">
            <v xml:space="preserve">Adela </v>
          </cell>
          <cell r="M830" t="str">
            <v>PASS</v>
          </cell>
          <cell r="N830"/>
        </row>
        <row r="831">
          <cell r="A831">
            <v>20230828</v>
          </cell>
          <cell r="B831">
            <v>44961</v>
          </cell>
          <cell r="C831">
            <v>1</v>
          </cell>
          <cell r="D831" t="str">
            <v>720-1</v>
          </cell>
          <cell r="E831" t="str">
            <v>SPR8</v>
          </cell>
          <cell r="F831" t="str">
            <v>34324759E</v>
          </cell>
          <cell r="G831" t="str">
            <v>N/A</v>
          </cell>
          <cell r="H831" t="str">
            <v>CONCENTRICIDAD</v>
          </cell>
          <cell r="I831">
            <v>12</v>
          </cell>
          <cell r="J831" t="str">
            <v>EVELYN ESTUDILLO</v>
          </cell>
          <cell r="K831">
            <v>44961</v>
          </cell>
          <cell r="L831" t="str">
            <v xml:space="preserve">Adela </v>
          </cell>
          <cell r="M831" t="str">
            <v>PASS</v>
          </cell>
          <cell r="N831"/>
        </row>
        <row r="832">
          <cell r="A832">
            <v>20230829</v>
          </cell>
          <cell r="B832">
            <v>44961</v>
          </cell>
          <cell r="C832">
            <v>1</v>
          </cell>
          <cell r="D832" t="str">
            <v>720-5</v>
          </cell>
          <cell r="E832" t="str">
            <v>SPR8</v>
          </cell>
          <cell r="F832" t="str">
            <v>34364570B</v>
          </cell>
          <cell r="G832" t="str">
            <v>N/A</v>
          </cell>
          <cell r="H832" t="str">
            <v>CONCENTRICIDAD</v>
          </cell>
          <cell r="I832">
            <v>12</v>
          </cell>
          <cell r="J832" t="str">
            <v>EVELYN ESTUDILLO</v>
          </cell>
          <cell r="K832">
            <v>44961</v>
          </cell>
          <cell r="L832" t="str">
            <v xml:space="preserve">Adela </v>
          </cell>
          <cell r="M832" t="str">
            <v>PASS</v>
          </cell>
          <cell r="N832"/>
        </row>
        <row r="833">
          <cell r="A833">
            <v>20230830</v>
          </cell>
          <cell r="B833">
            <v>44961</v>
          </cell>
          <cell r="C833">
            <v>1</v>
          </cell>
          <cell r="D833" t="str">
            <v>720-3</v>
          </cell>
          <cell r="E833" t="str">
            <v>SPR8</v>
          </cell>
          <cell r="F833" t="str">
            <v>34235231G</v>
          </cell>
          <cell r="G833" t="str">
            <v>N/A</v>
          </cell>
          <cell r="H833" t="str">
            <v>CONCENTRICIDAD</v>
          </cell>
          <cell r="I833">
            <v>18</v>
          </cell>
          <cell r="J833" t="str">
            <v>EVELYN ESTUDILLO</v>
          </cell>
          <cell r="K833">
            <v>44961</v>
          </cell>
          <cell r="L833" t="str">
            <v xml:space="preserve">Adela </v>
          </cell>
          <cell r="M833" t="str">
            <v>PASS</v>
          </cell>
          <cell r="N833"/>
        </row>
        <row r="834">
          <cell r="A834">
            <v>20230831</v>
          </cell>
          <cell r="B834">
            <v>44961</v>
          </cell>
          <cell r="C834">
            <v>1</v>
          </cell>
          <cell r="D834" t="str">
            <v>720-4</v>
          </cell>
          <cell r="E834" t="str">
            <v>SPR8</v>
          </cell>
          <cell r="F834" t="str">
            <v>34361271A</v>
          </cell>
          <cell r="G834" t="str">
            <v>N/A</v>
          </cell>
          <cell r="H834" t="str">
            <v>CONCENTRICIDAD</v>
          </cell>
          <cell r="I834">
            <v>12</v>
          </cell>
          <cell r="J834" t="str">
            <v>EVELYN ESTUDILLO</v>
          </cell>
          <cell r="K834">
            <v>44961</v>
          </cell>
          <cell r="L834" t="str">
            <v xml:space="preserve">Adela </v>
          </cell>
          <cell r="M834" t="str">
            <v>PASS</v>
          </cell>
          <cell r="N834"/>
        </row>
        <row r="835">
          <cell r="A835">
            <v>20230832</v>
          </cell>
          <cell r="B835">
            <v>44961</v>
          </cell>
          <cell r="C835">
            <v>1</v>
          </cell>
          <cell r="D835" t="str">
            <v>720-2</v>
          </cell>
          <cell r="E835" t="str">
            <v>SPR8</v>
          </cell>
          <cell r="F835" t="str">
            <v>34235234G</v>
          </cell>
          <cell r="G835" t="str">
            <v>N/A</v>
          </cell>
          <cell r="H835" t="str">
            <v>OVALIDAD</v>
          </cell>
          <cell r="I835">
            <v>12</v>
          </cell>
          <cell r="J835" t="str">
            <v>EVELYN ESTUDILLO</v>
          </cell>
          <cell r="K835">
            <v>44961</v>
          </cell>
          <cell r="L835" t="str">
            <v xml:space="preserve">Adela </v>
          </cell>
          <cell r="M835" t="str">
            <v>PASS</v>
          </cell>
          <cell r="N835"/>
        </row>
        <row r="836">
          <cell r="A836">
            <v>20230833</v>
          </cell>
          <cell r="B836">
            <v>44961</v>
          </cell>
          <cell r="C836">
            <v>1</v>
          </cell>
          <cell r="D836" t="str">
            <v>720-1</v>
          </cell>
          <cell r="E836" t="str">
            <v>SPR8</v>
          </cell>
          <cell r="F836" t="str">
            <v>34324759E</v>
          </cell>
          <cell r="G836" t="str">
            <v>N/A</v>
          </cell>
          <cell r="H836" t="str">
            <v>OVALIDAD</v>
          </cell>
          <cell r="I836">
            <v>12</v>
          </cell>
          <cell r="J836" t="str">
            <v>EVELYN ESTUDILLO</v>
          </cell>
          <cell r="K836">
            <v>44961</v>
          </cell>
          <cell r="L836" t="str">
            <v xml:space="preserve">Adela </v>
          </cell>
          <cell r="M836" t="str">
            <v>PASS</v>
          </cell>
          <cell r="N836"/>
        </row>
        <row r="837">
          <cell r="A837">
            <v>20230834</v>
          </cell>
          <cell r="B837">
            <v>44961</v>
          </cell>
          <cell r="C837">
            <v>1</v>
          </cell>
          <cell r="D837" t="str">
            <v>720-5</v>
          </cell>
          <cell r="E837" t="str">
            <v>SPR8</v>
          </cell>
          <cell r="F837" t="str">
            <v>34364570B</v>
          </cell>
          <cell r="G837" t="str">
            <v>N/A</v>
          </cell>
          <cell r="H837" t="str">
            <v>OVALIDAD</v>
          </cell>
          <cell r="I837">
            <v>12</v>
          </cell>
          <cell r="J837" t="str">
            <v>EVELYN ESTUDILLO</v>
          </cell>
          <cell r="K837">
            <v>44961</v>
          </cell>
          <cell r="L837" t="str">
            <v xml:space="preserve">Adela </v>
          </cell>
          <cell r="M837" t="str">
            <v>PASS</v>
          </cell>
          <cell r="N837"/>
        </row>
        <row r="838">
          <cell r="A838">
            <v>20230835</v>
          </cell>
          <cell r="B838">
            <v>44961</v>
          </cell>
          <cell r="C838">
            <v>1</v>
          </cell>
          <cell r="D838" t="str">
            <v>720-3</v>
          </cell>
          <cell r="E838" t="str">
            <v>SPR8</v>
          </cell>
          <cell r="F838" t="str">
            <v>34235231G</v>
          </cell>
          <cell r="G838" t="str">
            <v>N/A</v>
          </cell>
          <cell r="H838" t="str">
            <v>OVALIDAD</v>
          </cell>
          <cell r="I838">
            <v>18</v>
          </cell>
          <cell r="J838" t="str">
            <v>EVELYN ESTUDILLO</v>
          </cell>
          <cell r="K838">
            <v>44961</v>
          </cell>
          <cell r="L838" t="str">
            <v xml:space="preserve">Adela </v>
          </cell>
          <cell r="M838" t="str">
            <v>PASS</v>
          </cell>
          <cell r="N838"/>
        </row>
        <row r="839">
          <cell r="A839">
            <v>20230836</v>
          </cell>
          <cell r="B839">
            <v>44961</v>
          </cell>
          <cell r="C839">
            <v>1</v>
          </cell>
          <cell r="D839" t="str">
            <v>720-4</v>
          </cell>
          <cell r="E839" t="str">
            <v>SPR8</v>
          </cell>
          <cell r="F839" t="str">
            <v>34361271A</v>
          </cell>
          <cell r="G839" t="str">
            <v>N/A</v>
          </cell>
          <cell r="H839" t="str">
            <v>OVALIDAD</v>
          </cell>
          <cell r="I839">
            <v>12</v>
          </cell>
          <cell r="J839" t="str">
            <v>EVELYN ESTUDILLO</v>
          </cell>
          <cell r="K839">
            <v>44961</v>
          </cell>
          <cell r="L839" t="str">
            <v xml:space="preserve">Adela </v>
          </cell>
          <cell r="M839" t="str">
            <v>PASS</v>
          </cell>
          <cell r="N839"/>
        </row>
        <row r="840">
          <cell r="A840">
            <v>20230837</v>
          </cell>
          <cell r="B840">
            <v>44961</v>
          </cell>
          <cell r="C840">
            <v>1</v>
          </cell>
          <cell r="D840" t="str">
            <v>N/A</v>
          </cell>
          <cell r="E840" t="str">
            <v>SPR8</v>
          </cell>
          <cell r="F840" t="str">
            <v>34257619A</v>
          </cell>
          <cell r="G840" t="str">
            <v>Varios</v>
          </cell>
          <cell r="H840" t="str">
            <v>marcadas</v>
          </cell>
          <cell r="I840">
            <v>6</v>
          </cell>
          <cell r="J840" t="str">
            <v>Nicolas Mendoza</v>
          </cell>
          <cell r="K840">
            <v>44961</v>
          </cell>
          <cell r="L840" t="str">
            <v xml:space="preserve">Adela </v>
          </cell>
          <cell r="M840" t="str">
            <v>PASS</v>
          </cell>
          <cell r="N840"/>
        </row>
        <row r="841">
          <cell r="A841">
            <v>20230838</v>
          </cell>
          <cell r="B841">
            <v>44961</v>
          </cell>
          <cell r="C841">
            <v>3</v>
          </cell>
          <cell r="D841" t="str">
            <v>720-1</v>
          </cell>
          <cell r="E841" t="str">
            <v>SPR8</v>
          </cell>
          <cell r="F841" t="str">
            <v>34346841E</v>
          </cell>
          <cell r="G841" t="str">
            <v>N/A</v>
          </cell>
          <cell r="H841" t="str">
            <v>CONCENTRICIDAD</v>
          </cell>
          <cell r="I841">
            <v>6</v>
          </cell>
          <cell r="J841" t="str">
            <v>Augusto Rdz</v>
          </cell>
          <cell r="K841">
            <v>44961</v>
          </cell>
          <cell r="L841" t="str">
            <v>Eric</v>
          </cell>
          <cell r="M841" t="str">
            <v>PASS</v>
          </cell>
          <cell r="N841"/>
        </row>
        <row r="842">
          <cell r="A842">
            <v>20230839</v>
          </cell>
          <cell r="B842">
            <v>44961</v>
          </cell>
          <cell r="C842">
            <v>3</v>
          </cell>
          <cell r="D842" t="str">
            <v>720-2</v>
          </cell>
          <cell r="E842" t="str">
            <v>SPR8</v>
          </cell>
          <cell r="F842" t="str">
            <v>34324757A</v>
          </cell>
          <cell r="G842" t="str">
            <v>N/A</v>
          </cell>
          <cell r="H842" t="str">
            <v>CONCENTRICIDAD</v>
          </cell>
          <cell r="I842">
            <v>6</v>
          </cell>
          <cell r="J842" t="str">
            <v>Augusto Rdz</v>
          </cell>
          <cell r="K842">
            <v>44961</v>
          </cell>
          <cell r="L842" t="str">
            <v>Eric</v>
          </cell>
          <cell r="M842" t="str">
            <v>PASS</v>
          </cell>
          <cell r="N842"/>
        </row>
        <row r="843">
          <cell r="A843">
            <v>20230840</v>
          </cell>
          <cell r="B843">
            <v>44961</v>
          </cell>
          <cell r="C843">
            <v>3</v>
          </cell>
          <cell r="D843" t="str">
            <v>720-3</v>
          </cell>
          <cell r="E843" t="str">
            <v>SPR8</v>
          </cell>
          <cell r="F843" t="str">
            <v>34235231G</v>
          </cell>
          <cell r="G843" t="str">
            <v>N/A</v>
          </cell>
          <cell r="H843" t="str">
            <v>CONCENTRICIDAD</v>
          </cell>
          <cell r="I843">
            <v>6</v>
          </cell>
          <cell r="J843" t="str">
            <v>Augusto Rdz</v>
          </cell>
          <cell r="K843">
            <v>44961</v>
          </cell>
          <cell r="L843" t="str">
            <v>Eric</v>
          </cell>
          <cell r="M843" t="str">
            <v>PASS</v>
          </cell>
          <cell r="N843"/>
        </row>
        <row r="844">
          <cell r="A844">
            <v>20230841</v>
          </cell>
          <cell r="B844">
            <v>44961</v>
          </cell>
          <cell r="C844">
            <v>3</v>
          </cell>
          <cell r="D844" t="str">
            <v>720-5</v>
          </cell>
          <cell r="E844" t="str">
            <v>SPR8</v>
          </cell>
          <cell r="F844" t="str">
            <v>34364565B</v>
          </cell>
          <cell r="G844" t="str">
            <v>N/A</v>
          </cell>
          <cell r="H844" t="str">
            <v>CONCENTRICIDAD</v>
          </cell>
          <cell r="I844">
            <v>6</v>
          </cell>
          <cell r="J844" t="str">
            <v>Augusto Rdz</v>
          </cell>
          <cell r="K844">
            <v>44961</v>
          </cell>
          <cell r="L844" t="str">
            <v>Eric</v>
          </cell>
          <cell r="M844" t="str">
            <v>PASS</v>
          </cell>
          <cell r="N844"/>
        </row>
        <row r="845">
          <cell r="A845">
            <v>20230842</v>
          </cell>
          <cell r="B845">
            <v>44961</v>
          </cell>
          <cell r="C845">
            <v>3</v>
          </cell>
          <cell r="D845" t="str">
            <v>720-1</v>
          </cell>
          <cell r="E845" t="str">
            <v>SPR8</v>
          </cell>
          <cell r="F845" t="str">
            <v>34346841E</v>
          </cell>
          <cell r="G845" t="str">
            <v>N/A</v>
          </cell>
          <cell r="H845" t="str">
            <v>OVALIDAD</v>
          </cell>
          <cell r="I845">
            <v>6</v>
          </cell>
          <cell r="J845" t="str">
            <v>Augusto Rdz</v>
          </cell>
          <cell r="K845">
            <v>44961</v>
          </cell>
          <cell r="L845" t="str">
            <v>Eric</v>
          </cell>
          <cell r="M845" t="str">
            <v>PASS</v>
          </cell>
          <cell r="N845"/>
        </row>
        <row r="846">
          <cell r="A846">
            <v>20230843</v>
          </cell>
          <cell r="B846">
            <v>44961</v>
          </cell>
          <cell r="C846">
            <v>3</v>
          </cell>
          <cell r="D846" t="str">
            <v>720-2</v>
          </cell>
          <cell r="E846" t="str">
            <v>SPR8</v>
          </cell>
          <cell r="F846" t="str">
            <v>34324757A</v>
          </cell>
          <cell r="G846" t="str">
            <v>N/A</v>
          </cell>
          <cell r="H846" t="str">
            <v>OVALIDAD</v>
          </cell>
          <cell r="I846">
            <v>6</v>
          </cell>
          <cell r="J846" t="str">
            <v>Augusto Rdz</v>
          </cell>
          <cell r="K846">
            <v>44961</v>
          </cell>
          <cell r="L846" t="str">
            <v>Eric</v>
          </cell>
          <cell r="M846" t="str">
            <v>PASS</v>
          </cell>
          <cell r="N846"/>
        </row>
        <row r="847">
          <cell r="A847">
            <v>20230844</v>
          </cell>
          <cell r="B847">
            <v>44961</v>
          </cell>
          <cell r="C847">
            <v>3</v>
          </cell>
          <cell r="D847" t="str">
            <v>720-3</v>
          </cell>
          <cell r="E847" t="str">
            <v>SPR8</v>
          </cell>
          <cell r="F847" t="str">
            <v>34235231G</v>
          </cell>
          <cell r="G847" t="str">
            <v>N/A</v>
          </cell>
          <cell r="H847" t="str">
            <v>OVALIDAD</v>
          </cell>
          <cell r="I847">
            <v>6</v>
          </cell>
          <cell r="J847" t="str">
            <v>Augusto Rdz</v>
          </cell>
          <cell r="K847">
            <v>44961</v>
          </cell>
          <cell r="L847" t="str">
            <v>Eric</v>
          </cell>
          <cell r="M847" t="str">
            <v>PASS</v>
          </cell>
          <cell r="N847"/>
        </row>
        <row r="848">
          <cell r="A848">
            <v>20230845</v>
          </cell>
          <cell r="B848">
            <v>44961</v>
          </cell>
          <cell r="C848">
            <v>3</v>
          </cell>
          <cell r="D848" t="str">
            <v>720-5</v>
          </cell>
          <cell r="E848" t="str">
            <v>SPR8</v>
          </cell>
          <cell r="F848" t="str">
            <v>34364565B</v>
          </cell>
          <cell r="G848" t="str">
            <v>N/A</v>
          </cell>
          <cell r="H848" t="str">
            <v>OVALIDAD</v>
          </cell>
          <cell r="I848">
            <v>6</v>
          </cell>
          <cell r="J848" t="str">
            <v>Augusto Rdz</v>
          </cell>
          <cell r="K848">
            <v>44961</v>
          </cell>
          <cell r="L848" t="str">
            <v>Eric</v>
          </cell>
          <cell r="M848" t="str">
            <v>PASS</v>
          </cell>
          <cell r="N848"/>
        </row>
        <row r="849">
          <cell r="A849">
            <v>20230846</v>
          </cell>
          <cell r="B849">
            <v>44962</v>
          </cell>
          <cell r="C849">
            <v>1</v>
          </cell>
          <cell r="D849" t="str">
            <v>720-1</v>
          </cell>
          <cell r="E849" t="str">
            <v>SPR8</v>
          </cell>
          <cell r="F849" t="str">
            <v>34324759E</v>
          </cell>
          <cell r="G849" t="str">
            <v>N/A</v>
          </cell>
          <cell r="H849" t="str">
            <v>CONCENTRICIDAD</v>
          </cell>
          <cell r="I849">
            <v>12</v>
          </cell>
          <cell r="J849" t="str">
            <v>EVELYN ESTUDILLO</v>
          </cell>
          <cell r="K849">
            <v>44962</v>
          </cell>
          <cell r="L849" t="str">
            <v>Luis</v>
          </cell>
          <cell r="M849" t="str">
            <v>PASS</v>
          </cell>
          <cell r="N849"/>
        </row>
        <row r="850">
          <cell r="A850">
            <v>20230847</v>
          </cell>
          <cell r="B850">
            <v>44962</v>
          </cell>
          <cell r="C850">
            <v>1</v>
          </cell>
          <cell r="D850" t="str">
            <v>720-2</v>
          </cell>
          <cell r="E850" t="str">
            <v>SPR8</v>
          </cell>
          <cell r="F850" t="str">
            <v>34296884E</v>
          </cell>
          <cell r="G850" t="str">
            <v>N/A</v>
          </cell>
          <cell r="H850" t="str">
            <v>CONCENTRICIDAD</v>
          </cell>
          <cell r="I850">
            <v>12</v>
          </cell>
          <cell r="J850" t="str">
            <v>EVELYN ESTUDILLO</v>
          </cell>
          <cell r="K850">
            <v>44962</v>
          </cell>
          <cell r="L850" t="str">
            <v>Luis</v>
          </cell>
          <cell r="M850" t="str">
            <v>PASS</v>
          </cell>
          <cell r="N850"/>
        </row>
        <row r="851">
          <cell r="A851">
            <v>20230848</v>
          </cell>
          <cell r="B851">
            <v>44962</v>
          </cell>
          <cell r="C851">
            <v>1</v>
          </cell>
          <cell r="D851" t="str">
            <v>720-5</v>
          </cell>
          <cell r="E851" t="str">
            <v>SPR8</v>
          </cell>
          <cell r="F851" t="str">
            <v>34364566B</v>
          </cell>
          <cell r="G851" t="str">
            <v>N/A</v>
          </cell>
          <cell r="H851" t="str">
            <v>CONCENTRICIDAD</v>
          </cell>
          <cell r="I851">
            <v>12</v>
          </cell>
          <cell r="J851" t="str">
            <v>EVELYN ESTUDILLO</v>
          </cell>
          <cell r="K851">
            <v>44962</v>
          </cell>
          <cell r="L851" t="str">
            <v>Luis</v>
          </cell>
          <cell r="M851" t="str">
            <v>PASS</v>
          </cell>
          <cell r="N851"/>
        </row>
        <row r="852">
          <cell r="A852">
            <v>20230849</v>
          </cell>
          <cell r="B852">
            <v>44962</v>
          </cell>
          <cell r="C852">
            <v>1</v>
          </cell>
          <cell r="D852" t="str">
            <v>720-1</v>
          </cell>
          <cell r="E852" t="str">
            <v>SPR8</v>
          </cell>
          <cell r="F852" t="str">
            <v>34324759E</v>
          </cell>
          <cell r="G852" t="str">
            <v>N/A</v>
          </cell>
          <cell r="H852" t="str">
            <v>OVALIDAD</v>
          </cell>
          <cell r="I852">
            <v>12</v>
          </cell>
          <cell r="J852" t="str">
            <v>EVELYN ESTUDILLO</v>
          </cell>
          <cell r="K852">
            <v>44962</v>
          </cell>
          <cell r="L852" t="str">
            <v>Luis</v>
          </cell>
          <cell r="M852" t="str">
            <v>PASS</v>
          </cell>
          <cell r="N852"/>
        </row>
        <row r="853">
          <cell r="A853">
            <v>20230850</v>
          </cell>
          <cell r="B853">
            <v>44962</v>
          </cell>
          <cell r="C853">
            <v>1</v>
          </cell>
          <cell r="D853" t="str">
            <v>720-2</v>
          </cell>
          <cell r="E853" t="str">
            <v>SPR8</v>
          </cell>
          <cell r="F853" t="str">
            <v>34296884E</v>
          </cell>
          <cell r="G853" t="str">
            <v>N/A</v>
          </cell>
          <cell r="H853" t="str">
            <v>OVALIDAD</v>
          </cell>
          <cell r="I853">
            <v>12</v>
          </cell>
          <cell r="J853" t="str">
            <v>EVELYN ESTUDILLO</v>
          </cell>
          <cell r="K853">
            <v>44962</v>
          </cell>
          <cell r="L853" t="str">
            <v>Luis</v>
          </cell>
          <cell r="M853" t="str">
            <v>PASS</v>
          </cell>
          <cell r="N853"/>
        </row>
        <row r="854">
          <cell r="A854">
            <v>20230851</v>
          </cell>
          <cell r="B854">
            <v>44962</v>
          </cell>
          <cell r="C854">
            <v>1</v>
          </cell>
          <cell r="D854" t="str">
            <v>720-5</v>
          </cell>
          <cell r="E854" t="str">
            <v>SPR8</v>
          </cell>
          <cell r="F854" t="str">
            <v>34364566B</v>
          </cell>
          <cell r="G854" t="str">
            <v>N/A</v>
          </cell>
          <cell r="H854" t="str">
            <v>OVALIDAD</v>
          </cell>
          <cell r="I854">
            <v>12</v>
          </cell>
          <cell r="J854" t="str">
            <v>EVELYN ESTUDILLO</v>
          </cell>
          <cell r="K854">
            <v>44962</v>
          </cell>
          <cell r="L854" t="str">
            <v>Luis</v>
          </cell>
          <cell r="M854" t="str">
            <v>PASS</v>
          </cell>
          <cell r="N854"/>
        </row>
        <row r="855">
          <cell r="A855">
            <v>20230852</v>
          </cell>
          <cell r="B855">
            <v>44962</v>
          </cell>
          <cell r="C855">
            <v>1</v>
          </cell>
          <cell r="D855" t="str">
            <v>720-3</v>
          </cell>
          <cell r="E855" t="str">
            <v>SPR8</v>
          </cell>
          <cell r="F855" t="str">
            <v>34235232G</v>
          </cell>
          <cell r="G855" t="str">
            <v>N/A</v>
          </cell>
          <cell r="H855" t="str">
            <v>CONCENTRICIDAD</v>
          </cell>
          <cell r="I855">
            <v>12</v>
          </cell>
          <cell r="J855" t="str">
            <v>EVELYN ESTUDILLO</v>
          </cell>
          <cell r="K855">
            <v>44962</v>
          </cell>
          <cell r="L855" t="str">
            <v>Luis</v>
          </cell>
          <cell r="M855" t="str">
            <v>PASS</v>
          </cell>
          <cell r="N855"/>
        </row>
        <row r="856">
          <cell r="A856">
            <v>20230853</v>
          </cell>
          <cell r="B856">
            <v>44962</v>
          </cell>
          <cell r="C856">
            <v>1</v>
          </cell>
          <cell r="D856" t="str">
            <v>720-3</v>
          </cell>
          <cell r="E856" t="str">
            <v>SPR8</v>
          </cell>
          <cell r="F856" t="str">
            <v>34235232G</v>
          </cell>
          <cell r="G856" t="str">
            <v>N/A</v>
          </cell>
          <cell r="H856" t="str">
            <v>OVALIDAD</v>
          </cell>
          <cell r="I856">
            <v>12</v>
          </cell>
          <cell r="J856" t="str">
            <v>EVELYN ESTUDILLO</v>
          </cell>
          <cell r="K856">
            <v>44962</v>
          </cell>
          <cell r="L856" t="str">
            <v>Luis</v>
          </cell>
          <cell r="M856" t="str">
            <v>PASS</v>
          </cell>
          <cell r="N856"/>
        </row>
        <row r="857">
          <cell r="A857">
            <v>20230854</v>
          </cell>
          <cell r="B857">
            <v>44962</v>
          </cell>
          <cell r="C857">
            <v>3</v>
          </cell>
          <cell r="D857" t="str">
            <v>720-1</v>
          </cell>
          <cell r="E857" t="str">
            <v>SPR8</v>
          </cell>
          <cell r="F857" t="str">
            <v>34330191A</v>
          </cell>
          <cell r="G857" t="str">
            <v>N/A</v>
          </cell>
          <cell r="H857" t="str">
            <v>CONCENTRICIDAD</v>
          </cell>
          <cell r="I857">
            <v>12</v>
          </cell>
          <cell r="J857" t="str">
            <v>Augusto Rdz</v>
          </cell>
          <cell r="K857">
            <v>44962</v>
          </cell>
          <cell r="L857" t="str">
            <v>Carlos</v>
          </cell>
          <cell r="M857" t="str">
            <v>PASS</v>
          </cell>
          <cell r="N857"/>
        </row>
        <row r="858">
          <cell r="A858">
            <v>20230855</v>
          </cell>
          <cell r="B858">
            <v>44962</v>
          </cell>
          <cell r="C858">
            <v>3</v>
          </cell>
          <cell r="D858" t="str">
            <v>720-1</v>
          </cell>
          <cell r="E858" t="str">
            <v>SPR8</v>
          </cell>
          <cell r="F858" t="str">
            <v>34330191A</v>
          </cell>
          <cell r="G858" t="str">
            <v>N/A</v>
          </cell>
          <cell r="H858" t="str">
            <v>OVALIDAD</v>
          </cell>
          <cell r="I858">
            <v>12</v>
          </cell>
          <cell r="J858" t="str">
            <v>Augusto Rdz</v>
          </cell>
          <cell r="K858">
            <v>44962</v>
          </cell>
          <cell r="L858" t="str">
            <v>Carlos</v>
          </cell>
          <cell r="M858" t="str">
            <v>PASS</v>
          </cell>
          <cell r="N858"/>
        </row>
        <row r="859">
          <cell r="A859">
            <v>20230856</v>
          </cell>
          <cell r="B859">
            <v>44962</v>
          </cell>
          <cell r="C859">
            <v>3</v>
          </cell>
          <cell r="D859" t="str">
            <v>720-2</v>
          </cell>
          <cell r="E859" t="str">
            <v>SPR8</v>
          </cell>
          <cell r="F859" t="str">
            <v>34306789C</v>
          </cell>
          <cell r="G859" t="str">
            <v>N/A</v>
          </cell>
          <cell r="H859" t="str">
            <v>CONCENTRICIDAD</v>
          </cell>
          <cell r="I859">
            <v>12</v>
          </cell>
          <cell r="J859" t="str">
            <v>Augusto Rdz</v>
          </cell>
          <cell r="K859">
            <v>44962</v>
          </cell>
          <cell r="L859" t="str">
            <v>Carlos</v>
          </cell>
          <cell r="M859" t="str">
            <v>PASS</v>
          </cell>
          <cell r="N859"/>
        </row>
        <row r="860">
          <cell r="A860">
            <v>20230857</v>
          </cell>
          <cell r="B860">
            <v>44962</v>
          </cell>
          <cell r="C860">
            <v>3</v>
          </cell>
          <cell r="D860" t="str">
            <v>720-2</v>
          </cell>
          <cell r="E860" t="str">
            <v>SPR8</v>
          </cell>
          <cell r="F860" t="str">
            <v>34306789C</v>
          </cell>
          <cell r="G860" t="str">
            <v>N/A</v>
          </cell>
          <cell r="H860" t="str">
            <v>OVALIDAD</v>
          </cell>
          <cell r="I860">
            <v>12</v>
          </cell>
          <cell r="J860" t="str">
            <v>Augusto Rdz</v>
          </cell>
          <cell r="K860">
            <v>44962</v>
          </cell>
          <cell r="L860" t="str">
            <v>Carlos</v>
          </cell>
          <cell r="M860" t="str">
            <v>PASS</v>
          </cell>
          <cell r="N860"/>
        </row>
        <row r="861">
          <cell r="A861">
            <v>20230858</v>
          </cell>
          <cell r="B861">
            <v>44962</v>
          </cell>
          <cell r="C861">
            <v>3</v>
          </cell>
          <cell r="D861" t="str">
            <v>720-3</v>
          </cell>
          <cell r="E861" t="str">
            <v>SPR8</v>
          </cell>
          <cell r="F861" t="str">
            <v>34235232G</v>
          </cell>
          <cell r="G861" t="str">
            <v>N/A</v>
          </cell>
          <cell r="H861" t="str">
            <v>CONCENTRICIDAD</v>
          </cell>
          <cell r="I861">
            <v>12</v>
          </cell>
          <cell r="J861" t="str">
            <v>Augusto Rdz</v>
          </cell>
          <cell r="K861">
            <v>44962</v>
          </cell>
          <cell r="L861" t="str">
            <v>Carlos</v>
          </cell>
          <cell r="M861" t="str">
            <v>PASS</v>
          </cell>
          <cell r="N861"/>
        </row>
        <row r="862">
          <cell r="A862">
            <v>20230859</v>
          </cell>
          <cell r="B862">
            <v>44962</v>
          </cell>
          <cell r="C862">
            <v>3</v>
          </cell>
          <cell r="D862" t="str">
            <v>720-3</v>
          </cell>
          <cell r="E862" t="str">
            <v>SPR8</v>
          </cell>
          <cell r="F862" t="str">
            <v>34235232G</v>
          </cell>
          <cell r="G862" t="str">
            <v>N/A</v>
          </cell>
          <cell r="H862" t="str">
            <v>OVALIDAD</v>
          </cell>
          <cell r="I862">
            <v>12</v>
          </cell>
          <cell r="J862" t="str">
            <v>Augusto Rdz</v>
          </cell>
          <cell r="K862">
            <v>44962</v>
          </cell>
          <cell r="L862" t="str">
            <v>Carlos</v>
          </cell>
          <cell r="M862" t="str">
            <v>PASS</v>
          </cell>
          <cell r="N862"/>
        </row>
        <row r="863">
          <cell r="A863">
            <v>20230860</v>
          </cell>
          <cell r="B863">
            <v>44962</v>
          </cell>
          <cell r="C863">
            <v>3</v>
          </cell>
          <cell r="D863" t="str">
            <v>720-5</v>
          </cell>
          <cell r="E863" t="str">
            <v>SPR8</v>
          </cell>
          <cell r="F863" t="str">
            <v>34324759E</v>
          </cell>
          <cell r="G863" t="str">
            <v>N/A</v>
          </cell>
          <cell r="H863" t="str">
            <v>CONCENTRICIDAD</v>
          </cell>
          <cell r="I863">
            <v>12</v>
          </cell>
          <cell r="J863" t="str">
            <v>Augusto Rdz</v>
          </cell>
          <cell r="K863">
            <v>44962</v>
          </cell>
          <cell r="L863" t="str">
            <v>Carlos</v>
          </cell>
          <cell r="M863" t="str">
            <v>PASS</v>
          </cell>
          <cell r="N863"/>
        </row>
        <row r="864">
          <cell r="A864">
            <v>20230861</v>
          </cell>
          <cell r="B864">
            <v>44962</v>
          </cell>
          <cell r="C864">
            <v>3</v>
          </cell>
          <cell r="D864" t="str">
            <v>720-5</v>
          </cell>
          <cell r="E864" t="str">
            <v>SPR8</v>
          </cell>
          <cell r="F864" t="str">
            <v>34324759E</v>
          </cell>
          <cell r="G864" t="str">
            <v>N/A</v>
          </cell>
          <cell r="H864" t="str">
            <v>OVALIDAD</v>
          </cell>
          <cell r="I864">
            <v>12</v>
          </cell>
          <cell r="J864" t="str">
            <v>Augusto Rdz</v>
          </cell>
          <cell r="K864">
            <v>44962</v>
          </cell>
          <cell r="L864" t="str">
            <v>Carlos</v>
          </cell>
          <cell r="M864" t="str">
            <v>PASS</v>
          </cell>
          <cell r="N864"/>
        </row>
        <row r="865">
          <cell r="A865">
            <v>20230862</v>
          </cell>
          <cell r="B865">
            <v>44962</v>
          </cell>
          <cell r="C865">
            <v>3</v>
          </cell>
          <cell r="D865" t="str">
            <v>720-6</v>
          </cell>
          <cell r="E865" t="str">
            <v>SPR8</v>
          </cell>
          <cell r="F865" t="str">
            <v>A020R616B</v>
          </cell>
          <cell r="G865" t="str">
            <v>N/A</v>
          </cell>
          <cell r="H865" t="str">
            <v>CONCENTRICIDAD</v>
          </cell>
          <cell r="I865">
            <v>12</v>
          </cell>
          <cell r="J865" t="str">
            <v>Augusto Rdz</v>
          </cell>
          <cell r="K865">
            <v>44962</v>
          </cell>
          <cell r="L865" t="str">
            <v>Carlos</v>
          </cell>
          <cell r="M865" t="str">
            <v>PASS</v>
          </cell>
          <cell r="N865"/>
        </row>
        <row r="866">
          <cell r="A866">
            <v>20230863</v>
          </cell>
          <cell r="B866">
            <v>44962</v>
          </cell>
          <cell r="C866">
            <v>3</v>
          </cell>
          <cell r="D866" t="str">
            <v>720-6</v>
          </cell>
          <cell r="E866" t="str">
            <v>SPR8</v>
          </cell>
          <cell r="F866" t="str">
            <v>A020R616B</v>
          </cell>
          <cell r="G866" t="str">
            <v>N/A</v>
          </cell>
          <cell r="H866" t="str">
            <v>OVALIDAD</v>
          </cell>
          <cell r="I866">
            <v>12</v>
          </cell>
          <cell r="J866" t="str">
            <v>Augusto Rdz</v>
          </cell>
          <cell r="K866">
            <v>44962</v>
          </cell>
          <cell r="L866" t="str">
            <v>Carlos</v>
          </cell>
          <cell r="M866" t="str">
            <v>PASS</v>
          </cell>
          <cell r="N866"/>
        </row>
        <row r="867">
          <cell r="A867">
            <v>20230864</v>
          </cell>
          <cell r="B867">
            <v>44964</v>
          </cell>
          <cell r="C867">
            <v>1</v>
          </cell>
          <cell r="D867" t="str">
            <v>720-3</v>
          </cell>
          <cell r="E867" t="str">
            <v>JL MCA</v>
          </cell>
          <cell r="F867" t="str">
            <v>A023P569B</v>
          </cell>
          <cell r="G867" t="str">
            <v>N/A</v>
          </cell>
          <cell r="H867" t="str">
            <v>8,9,10,11,12,Z,18,19,20</v>
          </cell>
          <cell r="I867">
            <v>4</v>
          </cell>
          <cell r="J867" t="str">
            <v>Laura Castillo</v>
          </cell>
          <cell r="K867">
            <v>44964</v>
          </cell>
          <cell r="L867" t="str">
            <v>Nohemi</v>
          </cell>
          <cell r="M867" t="str">
            <v>NO PASS</v>
          </cell>
          <cell r="N867" t="str">
            <v>A0034E4937A G</v>
          </cell>
        </row>
        <row r="868">
          <cell r="A868">
            <v>20230865</v>
          </cell>
          <cell r="B868">
            <v>44964</v>
          </cell>
          <cell r="C868">
            <v>1</v>
          </cell>
          <cell r="D868" t="str">
            <v>703-A</v>
          </cell>
          <cell r="E868" t="str">
            <v>A100</v>
          </cell>
          <cell r="F868" t="str">
            <v>A015C874C</v>
          </cell>
          <cell r="G868" t="str">
            <v>N/A</v>
          </cell>
          <cell r="H868" t="str">
            <v>16,35,31,32,5,7,9,11</v>
          </cell>
          <cell r="I868">
            <v>11</v>
          </cell>
          <cell r="J868" t="str">
            <v>Laura Castillo</v>
          </cell>
          <cell r="K868">
            <v>44964</v>
          </cell>
          <cell r="L868" t="str">
            <v>Nohemi</v>
          </cell>
          <cell r="M868" t="str">
            <v>PASS</v>
          </cell>
          <cell r="N868" t="str">
            <v>A0038M7086A C</v>
          </cell>
        </row>
        <row r="869">
          <cell r="A869">
            <v>20230866</v>
          </cell>
          <cell r="B869">
            <v>44964</v>
          </cell>
          <cell r="C869">
            <v>1</v>
          </cell>
          <cell r="D869">
            <v>754</v>
          </cell>
          <cell r="E869" t="str">
            <v>VW</v>
          </cell>
          <cell r="F869" t="str">
            <v>34160254D</v>
          </cell>
          <cell r="G869" t="str">
            <v>N/A</v>
          </cell>
          <cell r="H869" t="str">
            <v>1,2</v>
          </cell>
          <cell r="I869">
            <v>2</v>
          </cell>
          <cell r="J869" t="str">
            <v>Javier Bautista</v>
          </cell>
          <cell r="K869">
            <v>44964</v>
          </cell>
          <cell r="L869" t="str">
            <v>Nohemi</v>
          </cell>
          <cell r="M869" t="str">
            <v>PASS</v>
          </cell>
          <cell r="N869" t="str">
            <v>CH34160246 A04</v>
          </cell>
        </row>
        <row r="870">
          <cell r="A870">
            <v>20230867</v>
          </cell>
          <cell r="B870">
            <v>44964</v>
          </cell>
          <cell r="C870">
            <v>1</v>
          </cell>
          <cell r="D870">
            <v>761</v>
          </cell>
          <cell r="E870" t="str">
            <v>VW</v>
          </cell>
          <cell r="F870" t="str">
            <v>34239562C</v>
          </cell>
          <cell r="G870" t="str">
            <v>N/A</v>
          </cell>
          <cell r="H870" t="str">
            <v>8,15,16,17</v>
          </cell>
          <cell r="I870">
            <v>5</v>
          </cell>
          <cell r="J870" t="str">
            <v>Javier Bautista</v>
          </cell>
          <cell r="K870">
            <v>44964</v>
          </cell>
          <cell r="L870" t="str">
            <v>Nohemi</v>
          </cell>
          <cell r="M870" t="str">
            <v>PASS</v>
          </cell>
          <cell r="N870" t="str">
            <v>CH34211251 A19</v>
          </cell>
        </row>
        <row r="871">
          <cell r="A871">
            <v>20230868</v>
          </cell>
          <cell r="B871">
            <v>44964</v>
          </cell>
          <cell r="C871">
            <v>1</v>
          </cell>
          <cell r="D871" t="str">
            <v>N/A</v>
          </cell>
          <cell r="E871" t="str">
            <v>N/A</v>
          </cell>
          <cell r="F871" t="str">
            <v>AC33028895AGMB</v>
          </cell>
          <cell r="G871">
            <v>559149</v>
          </cell>
          <cell r="H871" t="str">
            <v xml:space="preserve">Conforme al rip </v>
          </cell>
          <cell r="I871" t="str">
            <v>1,000mts</v>
          </cell>
          <cell r="J871" t="str">
            <v>Nuevos programas</v>
          </cell>
          <cell r="K871">
            <v>44964</v>
          </cell>
          <cell r="L871" t="str">
            <v xml:space="preserve">Adela </v>
          </cell>
          <cell r="M871" t="str">
            <v>PASS</v>
          </cell>
          <cell r="N871" t="str">
            <v>N/A</v>
          </cell>
        </row>
        <row r="872">
          <cell r="A872">
            <v>20230869</v>
          </cell>
          <cell r="B872">
            <v>44964</v>
          </cell>
          <cell r="C872">
            <v>1</v>
          </cell>
          <cell r="D872" t="str">
            <v>703-A</v>
          </cell>
          <cell r="E872" t="str">
            <v>A100</v>
          </cell>
          <cell r="F872" t="str">
            <v>A015C875C</v>
          </cell>
          <cell r="G872" t="str">
            <v>N/A</v>
          </cell>
          <cell r="H872" t="str">
            <v>16,35,31,32,5,7,9,11</v>
          </cell>
          <cell r="I872">
            <v>11</v>
          </cell>
          <cell r="J872" t="str">
            <v>Laura Castillo</v>
          </cell>
          <cell r="K872">
            <v>44964</v>
          </cell>
          <cell r="L872" t="str">
            <v>Nohemi</v>
          </cell>
          <cell r="M872" t="str">
            <v>PASS</v>
          </cell>
          <cell r="N872" t="str">
            <v>A0038M7086A C</v>
          </cell>
        </row>
        <row r="873">
          <cell r="A873">
            <v>20230870</v>
          </cell>
          <cell r="B873">
            <v>44964</v>
          </cell>
          <cell r="C873">
            <v>1</v>
          </cell>
          <cell r="D873" t="str">
            <v>703-A</v>
          </cell>
          <cell r="E873" t="str">
            <v>A100</v>
          </cell>
          <cell r="F873" t="str">
            <v>A015C873C</v>
          </cell>
          <cell r="G873" t="str">
            <v>N/A</v>
          </cell>
          <cell r="H873" t="str">
            <v>16,35,31,32,5,7,9,11</v>
          </cell>
          <cell r="I873">
            <v>11</v>
          </cell>
          <cell r="J873" t="str">
            <v>Laura Castillo</v>
          </cell>
          <cell r="K873">
            <v>44964</v>
          </cell>
          <cell r="L873" t="str">
            <v>Nohemi</v>
          </cell>
          <cell r="M873" t="str">
            <v>PASS</v>
          </cell>
          <cell r="N873" t="str">
            <v>A0038M7086A C</v>
          </cell>
        </row>
        <row r="874">
          <cell r="A874">
            <v>20230871</v>
          </cell>
          <cell r="B874">
            <v>44964</v>
          </cell>
          <cell r="C874">
            <v>1</v>
          </cell>
          <cell r="D874" t="str">
            <v>N/A</v>
          </cell>
          <cell r="E874" t="str">
            <v>APT</v>
          </cell>
          <cell r="F874" t="str">
            <v>33032575D</v>
          </cell>
          <cell r="G874" t="str">
            <v>1T221020 / 02223</v>
          </cell>
          <cell r="H874" t="str">
            <v>4 5 15 16 49 50</v>
          </cell>
          <cell r="I874">
            <v>6</v>
          </cell>
          <cell r="J874" t="str">
            <v>RAUL PONCE</v>
          </cell>
          <cell r="K874">
            <v>44964</v>
          </cell>
          <cell r="L874" t="str">
            <v>MAURICIO</v>
          </cell>
          <cell r="M874" t="str">
            <v>PASS</v>
          </cell>
          <cell r="N874" t="str">
            <v>HUAMAI &amp; VOESTALPINE - PLANO MARCADO</v>
          </cell>
        </row>
        <row r="875">
          <cell r="A875">
            <v>20230872</v>
          </cell>
          <cell r="B875">
            <v>44964</v>
          </cell>
          <cell r="C875">
            <v>1</v>
          </cell>
          <cell r="D875" t="str">
            <v>720-1</v>
          </cell>
          <cell r="E875" t="str">
            <v>SPR8</v>
          </cell>
          <cell r="F875" t="str">
            <v>34296438C</v>
          </cell>
          <cell r="G875" t="str">
            <v>N/A</v>
          </cell>
          <cell r="H875" t="str">
            <v>CONCENTRICIDAD</v>
          </cell>
          <cell r="I875">
            <v>12</v>
          </cell>
          <cell r="J875" t="str">
            <v>EVELYN ESTUDILLO</v>
          </cell>
          <cell r="K875">
            <v>44964</v>
          </cell>
          <cell r="L875" t="str">
            <v>MAURICIO</v>
          </cell>
          <cell r="M875" t="str">
            <v>PASS</v>
          </cell>
          <cell r="N875" t="str">
            <v>CONCENTRICIDAD</v>
          </cell>
        </row>
        <row r="876">
          <cell r="A876">
            <v>20230873</v>
          </cell>
          <cell r="B876">
            <v>44964</v>
          </cell>
          <cell r="C876">
            <v>1</v>
          </cell>
          <cell r="D876" t="str">
            <v>720-4</v>
          </cell>
          <cell r="E876" t="str">
            <v>SPR8</v>
          </cell>
          <cell r="F876" t="str">
            <v>34361271A</v>
          </cell>
          <cell r="G876" t="str">
            <v>N/A</v>
          </cell>
          <cell r="H876" t="str">
            <v>CONCENTRICIDAD</v>
          </cell>
          <cell r="I876">
            <v>12</v>
          </cell>
          <cell r="J876" t="str">
            <v>EVELYN ESTUDILLO</v>
          </cell>
          <cell r="K876">
            <v>44964</v>
          </cell>
          <cell r="L876" t="str">
            <v>MAURICIO</v>
          </cell>
          <cell r="M876" t="str">
            <v>PASS</v>
          </cell>
          <cell r="N876" t="str">
            <v>CONCENTRICIDAD</v>
          </cell>
        </row>
        <row r="877">
          <cell r="A877">
            <v>20230874</v>
          </cell>
          <cell r="B877">
            <v>44964</v>
          </cell>
          <cell r="C877">
            <v>1</v>
          </cell>
          <cell r="D877" t="str">
            <v>720-3</v>
          </cell>
          <cell r="E877" t="str">
            <v>SPR8</v>
          </cell>
          <cell r="F877" t="str">
            <v>34235232G</v>
          </cell>
          <cell r="G877" t="str">
            <v>N/A</v>
          </cell>
          <cell r="H877" t="str">
            <v>CONCENTRICIDAD</v>
          </cell>
          <cell r="I877">
            <v>12</v>
          </cell>
          <cell r="J877" t="str">
            <v>EVELYN ESTUDILLO</v>
          </cell>
          <cell r="K877">
            <v>44964</v>
          </cell>
          <cell r="L877" t="str">
            <v>MAURICIO</v>
          </cell>
          <cell r="M877" t="str">
            <v>PASS</v>
          </cell>
          <cell r="N877" t="str">
            <v>CONCENTRICIDAD</v>
          </cell>
        </row>
        <row r="878">
          <cell r="A878">
            <v>20230875</v>
          </cell>
          <cell r="B878">
            <v>44964</v>
          </cell>
          <cell r="C878">
            <v>1</v>
          </cell>
          <cell r="D878" t="str">
            <v>720-5</v>
          </cell>
          <cell r="E878" t="str">
            <v>SPR8</v>
          </cell>
          <cell r="F878" t="str">
            <v>34324759E</v>
          </cell>
          <cell r="G878" t="str">
            <v>N/A</v>
          </cell>
          <cell r="H878" t="str">
            <v>CONCENTRICIDAD</v>
          </cell>
          <cell r="I878">
            <v>12</v>
          </cell>
          <cell r="J878" t="str">
            <v>EVELYN ESTUDILLO</v>
          </cell>
          <cell r="K878">
            <v>44964</v>
          </cell>
          <cell r="L878" t="str">
            <v>MAURICIO</v>
          </cell>
          <cell r="M878" t="str">
            <v>PASS</v>
          </cell>
          <cell r="N878" t="str">
            <v>CONCENTRICIDAD</v>
          </cell>
        </row>
        <row r="879">
          <cell r="A879">
            <v>20230876</v>
          </cell>
          <cell r="B879">
            <v>44964</v>
          </cell>
          <cell r="C879">
            <v>1</v>
          </cell>
          <cell r="D879" t="str">
            <v>720-6</v>
          </cell>
          <cell r="E879" t="str">
            <v>SPR8</v>
          </cell>
          <cell r="F879" t="str">
            <v>A020R616B</v>
          </cell>
          <cell r="G879" t="str">
            <v>N/A</v>
          </cell>
          <cell r="H879" t="str">
            <v>CONCENTRICIDAD</v>
          </cell>
          <cell r="I879">
            <v>12</v>
          </cell>
          <cell r="J879" t="str">
            <v>EVELYN ESTUDILLO</v>
          </cell>
          <cell r="K879">
            <v>44964</v>
          </cell>
          <cell r="L879" t="str">
            <v>MAURICIO</v>
          </cell>
          <cell r="M879" t="str">
            <v>PASS</v>
          </cell>
          <cell r="N879" t="str">
            <v>CONCENTRICIDAD</v>
          </cell>
        </row>
        <row r="880">
          <cell r="A880">
            <v>20230877</v>
          </cell>
          <cell r="B880">
            <v>44964</v>
          </cell>
          <cell r="C880">
            <v>1</v>
          </cell>
          <cell r="D880" t="str">
            <v>720-2</v>
          </cell>
          <cell r="E880" t="str">
            <v>SPR8</v>
          </cell>
          <cell r="F880" t="str">
            <v>34235233G</v>
          </cell>
          <cell r="G880" t="str">
            <v>N/A</v>
          </cell>
          <cell r="H880" t="str">
            <v>CONCENTRICIDAD</v>
          </cell>
          <cell r="I880">
            <v>12</v>
          </cell>
          <cell r="J880" t="str">
            <v>EVELYN ESTUDILLO</v>
          </cell>
          <cell r="K880">
            <v>44964</v>
          </cell>
          <cell r="L880" t="str">
            <v>MAURICIO</v>
          </cell>
          <cell r="M880" t="str">
            <v>PASS</v>
          </cell>
          <cell r="N880" t="str">
            <v>CONCENTRICIDAD</v>
          </cell>
        </row>
        <row r="881">
          <cell r="A881">
            <v>20230878</v>
          </cell>
          <cell r="B881">
            <v>44964</v>
          </cell>
          <cell r="C881">
            <v>1</v>
          </cell>
          <cell r="D881" t="str">
            <v>720-1</v>
          </cell>
          <cell r="E881" t="str">
            <v>SPR8</v>
          </cell>
          <cell r="F881" t="str">
            <v>34296438C</v>
          </cell>
          <cell r="G881" t="str">
            <v>N/A</v>
          </cell>
          <cell r="H881" t="str">
            <v>OVALIDAD</v>
          </cell>
          <cell r="I881">
            <v>12</v>
          </cell>
          <cell r="J881" t="str">
            <v>EVELYN ESTUDILLO</v>
          </cell>
          <cell r="K881">
            <v>44964</v>
          </cell>
          <cell r="L881" t="str">
            <v>MAURICIO</v>
          </cell>
          <cell r="M881" t="str">
            <v>PASS</v>
          </cell>
          <cell r="N881" t="str">
            <v>OVALIDAD</v>
          </cell>
        </row>
        <row r="882">
          <cell r="A882">
            <v>20230879</v>
          </cell>
          <cell r="B882">
            <v>44964</v>
          </cell>
          <cell r="C882">
            <v>1</v>
          </cell>
          <cell r="D882" t="str">
            <v>720-4</v>
          </cell>
          <cell r="E882" t="str">
            <v>SPR8</v>
          </cell>
          <cell r="F882" t="str">
            <v>34361271A</v>
          </cell>
          <cell r="G882" t="str">
            <v>N/A</v>
          </cell>
          <cell r="H882" t="str">
            <v>OVALIDAD</v>
          </cell>
          <cell r="I882">
            <v>12</v>
          </cell>
          <cell r="J882" t="str">
            <v>EVELYN ESTUDILLO</v>
          </cell>
          <cell r="K882">
            <v>44964</v>
          </cell>
          <cell r="L882" t="str">
            <v>MAURICIO</v>
          </cell>
          <cell r="M882" t="str">
            <v>PASS</v>
          </cell>
          <cell r="N882" t="str">
            <v>OVALIDAD</v>
          </cell>
        </row>
        <row r="883">
          <cell r="A883">
            <v>20230880</v>
          </cell>
          <cell r="B883">
            <v>44964</v>
          </cell>
          <cell r="C883">
            <v>1</v>
          </cell>
          <cell r="D883" t="str">
            <v>720-3</v>
          </cell>
          <cell r="E883" t="str">
            <v>SPR8</v>
          </cell>
          <cell r="F883" t="str">
            <v>34235232G</v>
          </cell>
          <cell r="G883" t="str">
            <v>N/A</v>
          </cell>
          <cell r="H883" t="str">
            <v>OVALIDAD</v>
          </cell>
          <cell r="I883">
            <v>12</v>
          </cell>
          <cell r="J883" t="str">
            <v>EVELYN ESTUDILLO</v>
          </cell>
          <cell r="K883">
            <v>44964</v>
          </cell>
          <cell r="L883" t="str">
            <v>MAURICIO</v>
          </cell>
          <cell r="M883" t="str">
            <v>PASS</v>
          </cell>
          <cell r="N883" t="str">
            <v>OVALIDAD</v>
          </cell>
        </row>
        <row r="884">
          <cell r="A884">
            <v>20230881</v>
          </cell>
          <cell r="B884">
            <v>44964</v>
          </cell>
          <cell r="C884">
            <v>1</v>
          </cell>
          <cell r="D884" t="str">
            <v>720-5</v>
          </cell>
          <cell r="E884" t="str">
            <v>SPR8</v>
          </cell>
          <cell r="F884" t="str">
            <v>34324759E</v>
          </cell>
          <cell r="G884" t="str">
            <v>N/A</v>
          </cell>
          <cell r="H884" t="str">
            <v>OVALIDAD</v>
          </cell>
          <cell r="I884">
            <v>12</v>
          </cell>
          <cell r="J884" t="str">
            <v>EVELYN ESTUDILLO</v>
          </cell>
          <cell r="K884">
            <v>44964</v>
          </cell>
          <cell r="L884" t="str">
            <v>MAURICIO</v>
          </cell>
          <cell r="M884" t="str">
            <v>PASS</v>
          </cell>
          <cell r="N884" t="str">
            <v>OVALIDAD</v>
          </cell>
        </row>
        <row r="885">
          <cell r="A885">
            <v>20230882</v>
          </cell>
          <cell r="B885">
            <v>44964</v>
          </cell>
          <cell r="C885">
            <v>1</v>
          </cell>
          <cell r="D885" t="str">
            <v>720-6</v>
          </cell>
          <cell r="E885" t="str">
            <v>SPR8</v>
          </cell>
          <cell r="F885" t="str">
            <v>A020R616B</v>
          </cell>
          <cell r="G885" t="str">
            <v>N/A</v>
          </cell>
          <cell r="H885" t="str">
            <v>OVALIDAD</v>
          </cell>
          <cell r="I885">
            <v>12</v>
          </cell>
          <cell r="J885" t="str">
            <v>EVELYN ESTUDILLO</v>
          </cell>
          <cell r="K885">
            <v>44964</v>
          </cell>
          <cell r="L885" t="str">
            <v>MAURICIO</v>
          </cell>
          <cell r="M885" t="str">
            <v>PASS</v>
          </cell>
          <cell r="N885" t="str">
            <v>OVALIDAD</v>
          </cell>
        </row>
        <row r="886">
          <cell r="A886">
            <v>20230883</v>
          </cell>
          <cell r="B886">
            <v>44964</v>
          </cell>
          <cell r="C886">
            <v>1</v>
          </cell>
          <cell r="D886" t="str">
            <v>720-2</v>
          </cell>
          <cell r="E886" t="str">
            <v>SPR8</v>
          </cell>
          <cell r="F886" t="str">
            <v>34235233G</v>
          </cell>
          <cell r="G886" t="str">
            <v>N/A</v>
          </cell>
          <cell r="H886" t="str">
            <v>OVALIDAD</v>
          </cell>
          <cell r="I886">
            <v>12</v>
          </cell>
          <cell r="J886" t="str">
            <v>EVELYN ESTUDILLO</v>
          </cell>
          <cell r="K886">
            <v>44964</v>
          </cell>
          <cell r="L886" t="str">
            <v>MAURICIO</v>
          </cell>
          <cell r="M886" t="str">
            <v>PASS</v>
          </cell>
          <cell r="N886" t="str">
            <v>OVALIDAD</v>
          </cell>
        </row>
        <row r="887">
          <cell r="A887">
            <v>20230884</v>
          </cell>
          <cell r="B887">
            <v>44964</v>
          </cell>
          <cell r="C887">
            <v>1</v>
          </cell>
          <cell r="D887" t="str">
            <v>703-B</v>
          </cell>
          <cell r="E887" t="str">
            <v>A100</v>
          </cell>
          <cell r="F887" t="str">
            <v>A015C040B</v>
          </cell>
          <cell r="G887" t="str">
            <v>N/A</v>
          </cell>
          <cell r="H887" t="str">
            <v>22,17,18,13</v>
          </cell>
          <cell r="I887">
            <v>2</v>
          </cell>
          <cell r="J887" t="str">
            <v>Laura Castillo</v>
          </cell>
          <cell r="K887">
            <v>44964</v>
          </cell>
          <cell r="L887" t="str">
            <v>Nohemi</v>
          </cell>
          <cell r="M887" t="str">
            <v>PASS</v>
          </cell>
          <cell r="N887" t="str">
            <v>A0038M7042A-B</v>
          </cell>
        </row>
        <row r="888">
          <cell r="A888">
            <v>20230885</v>
          </cell>
          <cell r="B888">
            <v>44964</v>
          </cell>
          <cell r="C888">
            <v>1</v>
          </cell>
          <cell r="D888" t="str">
            <v>720-1</v>
          </cell>
          <cell r="E888" t="str">
            <v>SPR8</v>
          </cell>
          <cell r="F888" t="str">
            <v>34324758A</v>
          </cell>
          <cell r="G888" t="str">
            <v>N/A</v>
          </cell>
          <cell r="H888" t="str">
            <v>CONCENTRICIDAD</v>
          </cell>
          <cell r="I888">
            <v>12</v>
          </cell>
          <cell r="J888" t="str">
            <v>EVELYN ESTUDILLO</v>
          </cell>
          <cell r="K888">
            <v>44964</v>
          </cell>
          <cell r="L888" t="str">
            <v>Luis</v>
          </cell>
          <cell r="M888" t="str">
            <v>PASS</v>
          </cell>
          <cell r="N888" t="str">
            <v>CONCENTRICIDAD</v>
          </cell>
        </row>
        <row r="889">
          <cell r="A889">
            <v>20230886</v>
          </cell>
          <cell r="B889">
            <v>44964</v>
          </cell>
          <cell r="C889">
            <v>1</v>
          </cell>
          <cell r="D889" t="str">
            <v>720-4</v>
          </cell>
          <cell r="E889" t="str">
            <v>SPR8</v>
          </cell>
          <cell r="F889" t="str">
            <v>34309474B</v>
          </cell>
          <cell r="G889" t="str">
            <v>N/A</v>
          </cell>
          <cell r="H889" t="str">
            <v>CONCENTRICIDAD</v>
          </cell>
          <cell r="I889">
            <v>12</v>
          </cell>
          <cell r="J889" t="str">
            <v>EVELYN ESTUDILLO</v>
          </cell>
          <cell r="K889">
            <v>44964</v>
          </cell>
          <cell r="L889" t="str">
            <v>Luis</v>
          </cell>
          <cell r="M889" t="str">
            <v>PASS</v>
          </cell>
          <cell r="N889" t="str">
            <v>CONCENTRICIDAD</v>
          </cell>
        </row>
        <row r="890">
          <cell r="A890">
            <v>20230887</v>
          </cell>
          <cell r="B890">
            <v>44964</v>
          </cell>
          <cell r="C890">
            <v>2</v>
          </cell>
          <cell r="D890" t="str">
            <v>720-1</v>
          </cell>
          <cell r="E890" t="str">
            <v>SPR8</v>
          </cell>
          <cell r="F890" t="str">
            <v>34324758A</v>
          </cell>
          <cell r="G890" t="str">
            <v>N/A</v>
          </cell>
          <cell r="H890" t="str">
            <v>OVALIDAD</v>
          </cell>
          <cell r="I890">
            <v>12</v>
          </cell>
          <cell r="J890" t="str">
            <v>EVELYN ESTUDILLO</v>
          </cell>
          <cell r="K890">
            <v>44964</v>
          </cell>
          <cell r="L890" t="str">
            <v>Luis</v>
          </cell>
          <cell r="M890" t="str">
            <v>PASS</v>
          </cell>
          <cell r="N890" t="str">
            <v>OVALIDAD</v>
          </cell>
        </row>
        <row r="891">
          <cell r="A891">
            <v>20230888</v>
          </cell>
          <cell r="B891">
            <v>44964</v>
          </cell>
          <cell r="C891">
            <v>2</v>
          </cell>
          <cell r="D891" t="str">
            <v>720-4</v>
          </cell>
          <cell r="E891" t="str">
            <v>SPR8</v>
          </cell>
          <cell r="F891" t="str">
            <v>34309474B</v>
          </cell>
          <cell r="G891" t="str">
            <v>N/A</v>
          </cell>
          <cell r="H891" t="str">
            <v>OVALIDAD</v>
          </cell>
          <cell r="I891">
            <v>12</v>
          </cell>
          <cell r="J891" t="str">
            <v>EVELYN ESTUDILLO</v>
          </cell>
          <cell r="K891">
            <v>44964</v>
          </cell>
          <cell r="L891" t="str">
            <v>Luis</v>
          </cell>
          <cell r="M891" t="str">
            <v>PASS</v>
          </cell>
          <cell r="N891" t="str">
            <v>OVALIDAD</v>
          </cell>
        </row>
        <row r="892">
          <cell r="A892">
            <v>20230889</v>
          </cell>
          <cell r="B892">
            <v>44964</v>
          </cell>
          <cell r="C892">
            <v>2</v>
          </cell>
          <cell r="D892" t="str">
            <v>720-2</v>
          </cell>
          <cell r="E892" t="str">
            <v>SPR8</v>
          </cell>
          <cell r="F892" t="str">
            <v>34235234G</v>
          </cell>
          <cell r="G892" t="str">
            <v>N/A</v>
          </cell>
          <cell r="H892" t="str">
            <v>CONCENTRICIDAD</v>
          </cell>
          <cell r="I892">
            <v>6</v>
          </cell>
          <cell r="J892" t="str">
            <v>Augusto Rdz</v>
          </cell>
          <cell r="K892">
            <v>44964</v>
          </cell>
          <cell r="L892" t="str">
            <v>Eric</v>
          </cell>
          <cell r="M892" t="str">
            <v>PASS</v>
          </cell>
          <cell r="N892" t="str">
            <v>CONCENTRICIDAD</v>
          </cell>
        </row>
        <row r="893">
          <cell r="A893">
            <v>20230890</v>
          </cell>
          <cell r="B893">
            <v>44964</v>
          </cell>
          <cell r="C893">
            <v>2</v>
          </cell>
          <cell r="D893" t="str">
            <v>720-3</v>
          </cell>
          <cell r="E893" t="str">
            <v>SPR8</v>
          </cell>
          <cell r="F893" t="str">
            <v>34271008G</v>
          </cell>
          <cell r="G893" t="str">
            <v>N/A</v>
          </cell>
          <cell r="H893" t="str">
            <v>CONCENTRICIDAD</v>
          </cell>
          <cell r="I893">
            <v>6</v>
          </cell>
          <cell r="J893" t="str">
            <v>Augusto Rdz</v>
          </cell>
          <cell r="K893">
            <v>44964</v>
          </cell>
          <cell r="L893" t="str">
            <v>Eric</v>
          </cell>
          <cell r="M893" t="str">
            <v>PASS</v>
          </cell>
          <cell r="N893" t="str">
            <v>CONCENTRICIDAD</v>
          </cell>
        </row>
        <row r="894">
          <cell r="A894">
            <v>20230891</v>
          </cell>
          <cell r="B894">
            <v>44964</v>
          </cell>
          <cell r="C894">
            <v>2</v>
          </cell>
          <cell r="D894" t="str">
            <v>720-5</v>
          </cell>
          <cell r="E894" t="str">
            <v>SPR8</v>
          </cell>
          <cell r="F894" t="str">
            <v>34327672C</v>
          </cell>
          <cell r="G894" t="str">
            <v>N/A</v>
          </cell>
          <cell r="H894" t="str">
            <v>CONCENTRICIDAD</v>
          </cell>
          <cell r="I894">
            <v>6</v>
          </cell>
          <cell r="J894" t="str">
            <v>Augusto Rdz</v>
          </cell>
          <cell r="K894">
            <v>44964</v>
          </cell>
          <cell r="L894" t="str">
            <v>Eric</v>
          </cell>
          <cell r="M894" t="str">
            <v>PASS</v>
          </cell>
          <cell r="N894" t="str">
            <v>CONCENTRICIDAD</v>
          </cell>
        </row>
        <row r="895">
          <cell r="A895">
            <v>20230892</v>
          </cell>
          <cell r="B895">
            <v>44964</v>
          </cell>
          <cell r="C895">
            <v>2</v>
          </cell>
          <cell r="D895" t="str">
            <v>720-6</v>
          </cell>
          <cell r="E895" t="str">
            <v>SPR8</v>
          </cell>
          <cell r="F895" t="str">
            <v>A020R630B</v>
          </cell>
          <cell r="G895" t="str">
            <v>N/A</v>
          </cell>
          <cell r="H895" t="str">
            <v>CONCENTRICIDAD</v>
          </cell>
          <cell r="I895">
            <v>6</v>
          </cell>
          <cell r="J895" t="str">
            <v>Augusto Rdz</v>
          </cell>
          <cell r="K895">
            <v>44964</v>
          </cell>
          <cell r="L895" t="str">
            <v>Eric</v>
          </cell>
          <cell r="M895" t="str">
            <v>PASS</v>
          </cell>
          <cell r="N895" t="str">
            <v>CONCENTRICIDAD</v>
          </cell>
        </row>
        <row r="896">
          <cell r="A896">
            <v>20230893</v>
          </cell>
          <cell r="B896">
            <v>44964</v>
          </cell>
          <cell r="C896">
            <v>2</v>
          </cell>
          <cell r="D896" t="str">
            <v>720-2</v>
          </cell>
          <cell r="E896" t="str">
            <v>SPR8</v>
          </cell>
          <cell r="F896" t="str">
            <v>34235234G</v>
          </cell>
          <cell r="G896" t="str">
            <v>N/A</v>
          </cell>
          <cell r="H896" t="str">
            <v>OVALIDAD</v>
          </cell>
          <cell r="I896">
            <v>6</v>
          </cell>
          <cell r="J896" t="str">
            <v>Augusto Rdz</v>
          </cell>
          <cell r="K896">
            <v>44964</v>
          </cell>
          <cell r="L896" t="str">
            <v>Eric</v>
          </cell>
          <cell r="M896" t="str">
            <v>PASS</v>
          </cell>
          <cell r="N896" t="str">
            <v>OVALIDAD</v>
          </cell>
        </row>
        <row r="897">
          <cell r="A897">
            <v>20230894</v>
          </cell>
          <cell r="B897">
            <v>44964</v>
          </cell>
          <cell r="C897">
            <v>2</v>
          </cell>
          <cell r="D897" t="str">
            <v>720-3</v>
          </cell>
          <cell r="E897" t="str">
            <v>SPR8</v>
          </cell>
          <cell r="F897" t="str">
            <v>34271008G</v>
          </cell>
          <cell r="G897" t="str">
            <v>N/A</v>
          </cell>
          <cell r="H897" t="str">
            <v>OVALIDAD</v>
          </cell>
          <cell r="I897">
            <v>6</v>
          </cell>
          <cell r="J897" t="str">
            <v>Augusto Rdz</v>
          </cell>
          <cell r="K897">
            <v>44964</v>
          </cell>
          <cell r="L897" t="str">
            <v>Eric</v>
          </cell>
          <cell r="M897" t="str">
            <v>PASS</v>
          </cell>
          <cell r="N897" t="str">
            <v>OVALIDAD</v>
          </cell>
        </row>
        <row r="898">
          <cell r="A898">
            <v>20230895</v>
          </cell>
          <cell r="B898">
            <v>44964</v>
          </cell>
          <cell r="C898">
            <v>2</v>
          </cell>
          <cell r="D898" t="str">
            <v>720-5</v>
          </cell>
          <cell r="E898" t="str">
            <v>SPR8</v>
          </cell>
          <cell r="F898" t="str">
            <v>34327672C</v>
          </cell>
          <cell r="G898" t="str">
            <v>N/A</v>
          </cell>
          <cell r="H898" t="str">
            <v>OVALIDAD</v>
          </cell>
          <cell r="I898">
            <v>6</v>
          </cell>
          <cell r="J898" t="str">
            <v>Augusto Rdz</v>
          </cell>
          <cell r="K898">
            <v>44964</v>
          </cell>
          <cell r="L898" t="str">
            <v>Eric</v>
          </cell>
          <cell r="M898" t="str">
            <v>PASS</v>
          </cell>
          <cell r="N898" t="str">
            <v>OVALIDAD</v>
          </cell>
        </row>
        <row r="899">
          <cell r="A899">
            <v>20230896</v>
          </cell>
          <cell r="B899">
            <v>44964</v>
          </cell>
          <cell r="C899">
            <v>2</v>
          </cell>
          <cell r="D899" t="str">
            <v>720-6</v>
          </cell>
          <cell r="E899" t="str">
            <v>SPR8</v>
          </cell>
          <cell r="F899" t="str">
            <v>A020R630B</v>
          </cell>
          <cell r="G899" t="str">
            <v>N/A</v>
          </cell>
          <cell r="H899" t="str">
            <v>OVALIDAD</v>
          </cell>
          <cell r="I899">
            <v>6</v>
          </cell>
          <cell r="J899" t="str">
            <v>Augusto Rdz</v>
          </cell>
          <cell r="K899">
            <v>44964</v>
          </cell>
          <cell r="L899" t="str">
            <v>Eric</v>
          </cell>
          <cell r="M899" t="str">
            <v>PASS</v>
          </cell>
          <cell r="N899" t="str">
            <v>OVALIDAD</v>
          </cell>
        </row>
        <row r="900">
          <cell r="A900">
            <v>20230897</v>
          </cell>
          <cell r="B900">
            <v>44965</v>
          </cell>
          <cell r="C900">
            <v>1</v>
          </cell>
          <cell r="D900" t="str">
            <v>703-B</v>
          </cell>
          <cell r="E900" t="str">
            <v>A100</v>
          </cell>
          <cell r="F900" t="str">
            <v>A021E208A</v>
          </cell>
          <cell r="G900" t="str">
            <v>N/A</v>
          </cell>
          <cell r="H900" t="str">
            <v>22,17,18,13</v>
          </cell>
          <cell r="I900">
            <v>2</v>
          </cell>
          <cell r="J900" t="str">
            <v>Laura Castillo</v>
          </cell>
          <cell r="K900">
            <v>44965</v>
          </cell>
          <cell r="L900" t="str">
            <v>Nohemi</v>
          </cell>
          <cell r="M900" t="str">
            <v>PASS</v>
          </cell>
          <cell r="N900" t="str">
            <v>A0038M7042A B</v>
          </cell>
        </row>
        <row r="901">
          <cell r="A901">
            <v>20230898</v>
          </cell>
          <cell r="B901">
            <v>44965</v>
          </cell>
          <cell r="C901">
            <v>1</v>
          </cell>
          <cell r="D901" t="str">
            <v>703-B</v>
          </cell>
          <cell r="E901" t="str">
            <v>A100</v>
          </cell>
          <cell r="F901" t="str">
            <v>A021E207A</v>
          </cell>
          <cell r="G901" t="str">
            <v>N/A</v>
          </cell>
          <cell r="H901" t="str">
            <v>22,17,18,13</v>
          </cell>
          <cell r="I901">
            <v>2</v>
          </cell>
          <cell r="J901" t="str">
            <v>Laura Castillo</v>
          </cell>
          <cell r="K901">
            <v>44965</v>
          </cell>
          <cell r="L901" t="str">
            <v>Nohemi</v>
          </cell>
          <cell r="M901" t="str">
            <v>PASS</v>
          </cell>
          <cell r="N901" t="str">
            <v>A0038M7042A B</v>
          </cell>
        </row>
        <row r="902">
          <cell r="A902">
            <v>20230899</v>
          </cell>
          <cell r="B902">
            <v>44965</v>
          </cell>
          <cell r="C902">
            <v>1</v>
          </cell>
          <cell r="D902" t="str">
            <v>703-B</v>
          </cell>
          <cell r="E902" t="str">
            <v>A100</v>
          </cell>
          <cell r="F902" t="str">
            <v>A021E209A</v>
          </cell>
          <cell r="G902" t="str">
            <v>N/A</v>
          </cell>
          <cell r="H902" t="str">
            <v>22,17,18,13</v>
          </cell>
          <cell r="I902">
            <v>2</v>
          </cell>
          <cell r="J902" t="str">
            <v>Laura Castillo</v>
          </cell>
          <cell r="K902">
            <v>44965</v>
          </cell>
          <cell r="L902" t="str">
            <v>Nohemi</v>
          </cell>
          <cell r="M902" t="str">
            <v>PASS</v>
          </cell>
          <cell r="N902" t="str">
            <v>A0038M7042A B</v>
          </cell>
        </row>
        <row r="903">
          <cell r="A903">
            <v>20230900</v>
          </cell>
          <cell r="B903">
            <v>44965</v>
          </cell>
          <cell r="C903">
            <v>1</v>
          </cell>
          <cell r="D903" t="str">
            <v>N/A</v>
          </cell>
          <cell r="E903" t="str">
            <v>N/A</v>
          </cell>
          <cell r="F903" t="str">
            <v>34185550F</v>
          </cell>
          <cell r="G903" t="str">
            <v>N/A</v>
          </cell>
          <cell r="H903">
            <v>250</v>
          </cell>
          <cell r="I903">
            <v>7</v>
          </cell>
          <cell r="J903" t="str">
            <v>Nicolas Mendoza</v>
          </cell>
          <cell r="K903">
            <v>44965</v>
          </cell>
          <cell r="L903" t="str">
            <v>MAURICIO</v>
          </cell>
          <cell r="M903" t="str">
            <v>PASS</v>
          </cell>
          <cell r="N903" t="str">
            <v>Plano marcado</v>
          </cell>
        </row>
        <row r="904">
          <cell r="A904">
            <v>20230901</v>
          </cell>
          <cell r="B904">
            <v>44965</v>
          </cell>
          <cell r="C904">
            <v>1</v>
          </cell>
          <cell r="D904" t="str">
            <v>N/A</v>
          </cell>
          <cell r="E904" t="str">
            <v>N/A</v>
          </cell>
          <cell r="F904" t="str">
            <v>A022E348B</v>
          </cell>
          <cell r="G904">
            <v>202321124</v>
          </cell>
          <cell r="H904" t="str">
            <v xml:space="preserve">Conforme al rip </v>
          </cell>
          <cell r="I904">
            <v>5</v>
          </cell>
          <cell r="J904" t="str">
            <v>Nuevos programas</v>
          </cell>
          <cell r="K904">
            <v>44965</v>
          </cell>
          <cell r="L904" t="str">
            <v xml:space="preserve">Adela </v>
          </cell>
          <cell r="M904" t="str">
            <v>NO PASS</v>
          </cell>
          <cell r="N904" t="str">
            <v>N/A</v>
          </cell>
        </row>
        <row r="905">
          <cell r="A905">
            <v>20230902</v>
          </cell>
          <cell r="B905">
            <v>44965</v>
          </cell>
          <cell r="C905">
            <v>1</v>
          </cell>
          <cell r="D905" t="str">
            <v>720-4</v>
          </cell>
          <cell r="E905" t="str">
            <v>SPR8</v>
          </cell>
          <cell r="F905" t="str">
            <v>34361270A</v>
          </cell>
          <cell r="G905" t="str">
            <v>N/A</v>
          </cell>
          <cell r="H905" t="str">
            <v>CONCENTRICIDAD</v>
          </cell>
          <cell r="I905">
            <v>12</v>
          </cell>
          <cell r="J905" t="str">
            <v>EVELYN ESTUDILLO</v>
          </cell>
          <cell r="K905">
            <v>44965</v>
          </cell>
          <cell r="L905" t="str">
            <v>MAURICIO</v>
          </cell>
          <cell r="M905" t="str">
            <v>PASS</v>
          </cell>
          <cell r="N905" t="str">
            <v>CONCENTRICIDAD</v>
          </cell>
        </row>
        <row r="906">
          <cell r="A906">
            <v>20230903</v>
          </cell>
          <cell r="B906">
            <v>44965</v>
          </cell>
          <cell r="C906">
            <v>1</v>
          </cell>
          <cell r="D906" t="str">
            <v>720-5</v>
          </cell>
          <cell r="E906" t="str">
            <v>SPR8</v>
          </cell>
          <cell r="F906" t="str">
            <v>34324759E</v>
          </cell>
          <cell r="G906" t="str">
            <v>N/A</v>
          </cell>
          <cell r="H906" t="str">
            <v>CONCENTRICIDAD</v>
          </cell>
          <cell r="I906">
            <v>12</v>
          </cell>
          <cell r="J906" t="str">
            <v>EVELYN ESTUDILLO</v>
          </cell>
          <cell r="K906">
            <v>44965</v>
          </cell>
          <cell r="L906" t="str">
            <v>MAURICIO</v>
          </cell>
          <cell r="M906" t="str">
            <v>PASS</v>
          </cell>
          <cell r="N906" t="str">
            <v>CONCENTRICIDAD</v>
          </cell>
        </row>
        <row r="907">
          <cell r="A907">
            <v>20230904</v>
          </cell>
          <cell r="B907">
            <v>44965</v>
          </cell>
          <cell r="C907">
            <v>1</v>
          </cell>
          <cell r="D907" t="str">
            <v>720-1</v>
          </cell>
          <cell r="E907" t="str">
            <v>SPR8</v>
          </cell>
          <cell r="F907" t="str">
            <v>34306788D</v>
          </cell>
          <cell r="G907" t="str">
            <v>N/A</v>
          </cell>
          <cell r="H907" t="str">
            <v>CONCENTRICIDAD</v>
          </cell>
          <cell r="I907">
            <v>12</v>
          </cell>
          <cell r="J907" t="str">
            <v>EVELYN ESTUDILLO</v>
          </cell>
          <cell r="K907">
            <v>44965</v>
          </cell>
          <cell r="L907" t="str">
            <v>MAURICIO</v>
          </cell>
          <cell r="M907" t="str">
            <v>PASS</v>
          </cell>
          <cell r="N907" t="str">
            <v>CONCENTRICIDAD</v>
          </cell>
        </row>
        <row r="908">
          <cell r="A908">
            <v>20230905</v>
          </cell>
          <cell r="B908">
            <v>44965</v>
          </cell>
          <cell r="C908">
            <v>1</v>
          </cell>
          <cell r="D908" t="str">
            <v>720-3</v>
          </cell>
          <cell r="E908" t="str">
            <v>SPR8</v>
          </cell>
          <cell r="F908" t="str">
            <v>34235232G</v>
          </cell>
          <cell r="G908" t="str">
            <v>N/A</v>
          </cell>
          <cell r="H908" t="str">
            <v>CONCENTRICIDAD</v>
          </cell>
          <cell r="I908">
            <v>12</v>
          </cell>
          <cell r="J908" t="str">
            <v>EVELYN ESTUDILLO</v>
          </cell>
          <cell r="K908">
            <v>44965</v>
          </cell>
          <cell r="L908" t="str">
            <v>MAURICIO</v>
          </cell>
          <cell r="M908" t="str">
            <v>PASS</v>
          </cell>
          <cell r="N908" t="str">
            <v>CONCENTRICIDAD</v>
          </cell>
        </row>
        <row r="909">
          <cell r="A909">
            <v>20230906</v>
          </cell>
          <cell r="B909">
            <v>44965</v>
          </cell>
          <cell r="C909">
            <v>1</v>
          </cell>
          <cell r="D909" t="str">
            <v>720-6</v>
          </cell>
          <cell r="E909" t="str">
            <v>SPR8</v>
          </cell>
          <cell r="F909" t="str">
            <v>A020R630B</v>
          </cell>
          <cell r="G909" t="str">
            <v>N/A</v>
          </cell>
          <cell r="H909" t="str">
            <v>CONCENTRICIDAD</v>
          </cell>
          <cell r="I909">
            <v>12</v>
          </cell>
          <cell r="J909" t="str">
            <v>EVELYN ESTUDILLO</v>
          </cell>
          <cell r="K909">
            <v>44965</v>
          </cell>
          <cell r="L909" t="str">
            <v>MAURICIO</v>
          </cell>
          <cell r="M909" t="str">
            <v>PASS</v>
          </cell>
          <cell r="N909" t="str">
            <v>CONCENTRICIDAD</v>
          </cell>
        </row>
        <row r="910">
          <cell r="A910">
            <v>20230907</v>
          </cell>
          <cell r="B910">
            <v>44965</v>
          </cell>
          <cell r="C910">
            <v>1</v>
          </cell>
          <cell r="D910" t="str">
            <v>720-2</v>
          </cell>
          <cell r="E910" t="str">
            <v>SPR8</v>
          </cell>
          <cell r="F910" t="str">
            <v>34285573C</v>
          </cell>
          <cell r="G910" t="str">
            <v>N/A</v>
          </cell>
          <cell r="H910" t="str">
            <v>CONCENTRICIDAD</v>
          </cell>
          <cell r="I910">
            <v>12</v>
          </cell>
          <cell r="J910" t="str">
            <v>EVELYN ESTUDILLO</v>
          </cell>
          <cell r="K910">
            <v>44965</v>
          </cell>
          <cell r="L910" t="str">
            <v>MAURICIO</v>
          </cell>
          <cell r="M910" t="str">
            <v>PASS</v>
          </cell>
          <cell r="N910" t="str">
            <v>CONCENTRICIDAD</v>
          </cell>
        </row>
        <row r="911">
          <cell r="A911">
            <v>20230908</v>
          </cell>
          <cell r="B911">
            <v>44965</v>
          </cell>
          <cell r="C911">
            <v>1</v>
          </cell>
          <cell r="D911" t="str">
            <v>720-4</v>
          </cell>
          <cell r="E911" t="str">
            <v>SPR8</v>
          </cell>
          <cell r="F911" t="str">
            <v>34361270A</v>
          </cell>
          <cell r="G911" t="str">
            <v>N/A</v>
          </cell>
          <cell r="H911" t="str">
            <v>OVALIDAD</v>
          </cell>
          <cell r="I911">
            <v>12</v>
          </cell>
          <cell r="J911" t="str">
            <v>EVELYN ESTUDILLO</v>
          </cell>
          <cell r="K911">
            <v>44965</v>
          </cell>
          <cell r="L911" t="str">
            <v>MAURICIO</v>
          </cell>
          <cell r="M911" t="str">
            <v>PASS</v>
          </cell>
          <cell r="N911" t="str">
            <v>OVALIDAD</v>
          </cell>
        </row>
        <row r="912">
          <cell r="A912">
            <v>20230909</v>
          </cell>
          <cell r="B912">
            <v>44965</v>
          </cell>
          <cell r="C912">
            <v>1</v>
          </cell>
          <cell r="D912" t="str">
            <v>720-5</v>
          </cell>
          <cell r="E912" t="str">
            <v>SPR8</v>
          </cell>
          <cell r="F912" t="str">
            <v>34324759E</v>
          </cell>
          <cell r="G912" t="str">
            <v>N/A</v>
          </cell>
          <cell r="H912" t="str">
            <v>OVALIDAD</v>
          </cell>
          <cell r="I912">
            <v>12</v>
          </cell>
          <cell r="J912" t="str">
            <v>EVELYN ESTUDILLO</v>
          </cell>
          <cell r="K912">
            <v>44965</v>
          </cell>
          <cell r="L912" t="str">
            <v>MAURICIO</v>
          </cell>
          <cell r="M912" t="str">
            <v>PASS</v>
          </cell>
          <cell r="N912" t="str">
            <v>OVALIDAD</v>
          </cell>
        </row>
        <row r="913">
          <cell r="A913">
            <v>20230910</v>
          </cell>
          <cell r="B913">
            <v>44965</v>
          </cell>
          <cell r="C913">
            <v>1</v>
          </cell>
          <cell r="D913" t="str">
            <v>720-1</v>
          </cell>
          <cell r="E913" t="str">
            <v>SPR8</v>
          </cell>
          <cell r="F913" t="str">
            <v>34306788D</v>
          </cell>
          <cell r="G913" t="str">
            <v>N/A</v>
          </cell>
          <cell r="H913" t="str">
            <v>OVALIDAD</v>
          </cell>
          <cell r="I913">
            <v>12</v>
          </cell>
          <cell r="J913" t="str">
            <v>EVELYN ESTUDILLO</v>
          </cell>
          <cell r="K913">
            <v>44965</v>
          </cell>
          <cell r="L913" t="str">
            <v>MAURICIO</v>
          </cell>
          <cell r="M913" t="str">
            <v>PASS</v>
          </cell>
          <cell r="N913" t="str">
            <v>OVALIDAD</v>
          </cell>
        </row>
        <row r="914">
          <cell r="A914">
            <v>20230911</v>
          </cell>
          <cell r="B914">
            <v>44965</v>
          </cell>
          <cell r="C914">
            <v>1</v>
          </cell>
          <cell r="D914" t="str">
            <v>720-3</v>
          </cell>
          <cell r="E914" t="str">
            <v>SPR8</v>
          </cell>
          <cell r="F914" t="str">
            <v>34235232G</v>
          </cell>
          <cell r="G914" t="str">
            <v>N/A</v>
          </cell>
          <cell r="H914" t="str">
            <v>OVALIDAD</v>
          </cell>
          <cell r="I914">
            <v>12</v>
          </cell>
          <cell r="J914" t="str">
            <v>EVELYN ESTUDILLO</v>
          </cell>
          <cell r="K914">
            <v>44965</v>
          </cell>
          <cell r="L914" t="str">
            <v>MAURICIO</v>
          </cell>
          <cell r="M914" t="str">
            <v>PASS</v>
          </cell>
          <cell r="N914" t="str">
            <v>OVALIDAD</v>
          </cell>
        </row>
        <row r="915">
          <cell r="A915">
            <v>20230912</v>
          </cell>
          <cell r="B915">
            <v>44965</v>
          </cell>
          <cell r="C915">
            <v>1</v>
          </cell>
          <cell r="D915" t="str">
            <v>720-6</v>
          </cell>
          <cell r="E915" t="str">
            <v>SPR8</v>
          </cell>
          <cell r="F915" t="str">
            <v>A020R630B</v>
          </cell>
          <cell r="G915" t="str">
            <v>N/A</v>
          </cell>
          <cell r="H915" t="str">
            <v>OVALIDAD</v>
          </cell>
          <cell r="I915">
            <v>12</v>
          </cell>
          <cell r="J915" t="str">
            <v>EVELYN ESTUDILLO</v>
          </cell>
          <cell r="K915">
            <v>44965</v>
          </cell>
          <cell r="L915" t="str">
            <v>MAURICIO</v>
          </cell>
          <cell r="M915" t="str">
            <v>PASS</v>
          </cell>
          <cell r="N915" t="str">
            <v>OVALIDAD</v>
          </cell>
        </row>
        <row r="916">
          <cell r="A916">
            <v>20230913</v>
          </cell>
          <cell r="B916">
            <v>44965</v>
          </cell>
          <cell r="C916">
            <v>1</v>
          </cell>
          <cell r="D916" t="str">
            <v>720-2</v>
          </cell>
          <cell r="E916" t="str">
            <v>SPR8</v>
          </cell>
          <cell r="F916" t="str">
            <v>34285573C</v>
          </cell>
          <cell r="G916" t="str">
            <v>N/A</v>
          </cell>
          <cell r="H916" t="str">
            <v>OVALIDAD</v>
          </cell>
          <cell r="I916">
            <v>12</v>
          </cell>
          <cell r="J916" t="str">
            <v>EVELYN ESTUDILLO</v>
          </cell>
          <cell r="K916">
            <v>44965</v>
          </cell>
          <cell r="L916" t="str">
            <v>MAURICIO</v>
          </cell>
          <cell r="M916" t="str">
            <v>PASS</v>
          </cell>
          <cell r="N916" t="str">
            <v>OVALIDAD</v>
          </cell>
        </row>
        <row r="917">
          <cell r="A917">
            <v>20230914</v>
          </cell>
          <cell r="B917">
            <v>44965</v>
          </cell>
          <cell r="C917">
            <v>1</v>
          </cell>
          <cell r="D917" t="str">
            <v>720-4</v>
          </cell>
          <cell r="E917" t="str">
            <v>SPR8</v>
          </cell>
          <cell r="F917" t="str">
            <v>34361270A</v>
          </cell>
          <cell r="G917" t="str">
            <v>N/A</v>
          </cell>
          <cell r="H917" t="str">
            <v>CONCENTRICIDAD</v>
          </cell>
          <cell r="I917">
            <v>12</v>
          </cell>
          <cell r="J917" t="str">
            <v>EVELYN ESTUDILLO</v>
          </cell>
          <cell r="K917">
            <v>44965</v>
          </cell>
          <cell r="L917" t="str">
            <v>Luis</v>
          </cell>
          <cell r="M917" t="str">
            <v>PASS</v>
          </cell>
          <cell r="N917" t="str">
            <v>Ajuste de Parametros</v>
          </cell>
        </row>
        <row r="918">
          <cell r="A918">
            <v>20230915</v>
          </cell>
          <cell r="B918">
            <v>44965</v>
          </cell>
          <cell r="C918">
            <v>1</v>
          </cell>
          <cell r="D918" t="str">
            <v>720-6</v>
          </cell>
          <cell r="E918" t="str">
            <v>SPR8</v>
          </cell>
          <cell r="F918" t="str">
            <v>A020R622B</v>
          </cell>
          <cell r="G918" t="str">
            <v>N/A</v>
          </cell>
          <cell r="H918" t="str">
            <v>CONCENTRICIDAD</v>
          </cell>
          <cell r="I918">
            <v>12</v>
          </cell>
          <cell r="J918" t="str">
            <v>EVELYN ESTUDILLO</v>
          </cell>
          <cell r="K918">
            <v>44965</v>
          </cell>
          <cell r="L918" t="str">
            <v>Luis</v>
          </cell>
          <cell r="M918" t="str">
            <v>PASS</v>
          </cell>
          <cell r="N918" t="str">
            <v>Validacion de Collet</v>
          </cell>
        </row>
        <row r="919">
          <cell r="A919">
            <v>20230916</v>
          </cell>
          <cell r="B919">
            <v>44965</v>
          </cell>
          <cell r="C919">
            <v>1</v>
          </cell>
          <cell r="D919" t="str">
            <v>720-4</v>
          </cell>
          <cell r="E919" t="str">
            <v>SPR8</v>
          </cell>
          <cell r="F919" t="str">
            <v>34361270A</v>
          </cell>
          <cell r="G919" t="str">
            <v>N/A</v>
          </cell>
          <cell r="H919" t="str">
            <v>OVALIDAD</v>
          </cell>
          <cell r="I919">
            <v>12</v>
          </cell>
          <cell r="J919" t="str">
            <v>EVELYN ESTUDILLO</v>
          </cell>
          <cell r="K919">
            <v>44965</v>
          </cell>
          <cell r="L919" t="str">
            <v>Luis</v>
          </cell>
          <cell r="M919" t="str">
            <v>PASS</v>
          </cell>
          <cell r="N919" t="str">
            <v>Ajuste de Parametros</v>
          </cell>
        </row>
        <row r="920">
          <cell r="A920">
            <v>20230917</v>
          </cell>
          <cell r="B920">
            <v>44965</v>
          </cell>
          <cell r="C920">
            <v>1</v>
          </cell>
          <cell r="D920" t="str">
            <v>720-6</v>
          </cell>
          <cell r="E920" t="str">
            <v>SPR8</v>
          </cell>
          <cell r="F920" t="str">
            <v>A020R622B</v>
          </cell>
          <cell r="G920" t="str">
            <v>N/A</v>
          </cell>
          <cell r="H920" t="str">
            <v>OVALIDAD</v>
          </cell>
          <cell r="I920">
            <v>12</v>
          </cell>
          <cell r="J920" t="str">
            <v>EVELYN ESTUDILLO</v>
          </cell>
          <cell r="K920">
            <v>44965</v>
          </cell>
          <cell r="L920" t="str">
            <v>Luis</v>
          </cell>
          <cell r="M920" t="str">
            <v>PASS</v>
          </cell>
          <cell r="N920" t="str">
            <v>Validacion de Collet</v>
          </cell>
        </row>
        <row r="921">
          <cell r="A921">
            <v>20230918</v>
          </cell>
          <cell r="B921">
            <v>44965</v>
          </cell>
          <cell r="C921">
            <v>2</v>
          </cell>
          <cell r="D921" t="str">
            <v>720-2</v>
          </cell>
          <cell r="E921" t="str">
            <v>SPR8</v>
          </cell>
          <cell r="F921" t="str">
            <v>34296442C</v>
          </cell>
          <cell r="G921" t="str">
            <v>N/A</v>
          </cell>
          <cell r="H921" t="str">
            <v>CONCENTRICIDAD</v>
          </cell>
          <cell r="I921">
            <v>6</v>
          </cell>
          <cell r="J921" t="str">
            <v>Augusto Rdz</v>
          </cell>
          <cell r="K921">
            <v>44965</v>
          </cell>
          <cell r="L921" t="str">
            <v>Eric</v>
          </cell>
          <cell r="M921" t="str">
            <v>PASS</v>
          </cell>
          <cell r="N921" t="str">
            <v>CONCENTRICIDAD</v>
          </cell>
        </row>
        <row r="922">
          <cell r="A922">
            <v>20230919</v>
          </cell>
          <cell r="B922">
            <v>44965</v>
          </cell>
          <cell r="C922">
            <v>2</v>
          </cell>
          <cell r="D922" t="str">
            <v>720-5</v>
          </cell>
          <cell r="E922" t="str">
            <v>SPR8</v>
          </cell>
          <cell r="F922" t="str">
            <v>34327673B</v>
          </cell>
          <cell r="G922" t="str">
            <v>N/A</v>
          </cell>
          <cell r="H922" t="str">
            <v>CONCENTRICIDAD</v>
          </cell>
          <cell r="I922">
            <v>6</v>
          </cell>
          <cell r="J922" t="str">
            <v>Augusto Rdz</v>
          </cell>
          <cell r="K922">
            <v>44965</v>
          </cell>
          <cell r="L922" t="str">
            <v>Eric</v>
          </cell>
          <cell r="M922" t="str">
            <v>PASS</v>
          </cell>
          <cell r="N922" t="str">
            <v>CONCENTRICIDAD</v>
          </cell>
        </row>
        <row r="923">
          <cell r="A923">
            <v>20230920</v>
          </cell>
          <cell r="B923">
            <v>44965</v>
          </cell>
          <cell r="C923">
            <v>2</v>
          </cell>
          <cell r="D923" t="str">
            <v>720-6</v>
          </cell>
          <cell r="E923" t="str">
            <v>SPR8</v>
          </cell>
          <cell r="F923" t="str">
            <v>A020R622B</v>
          </cell>
          <cell r="G923" t="str">
            <v>N/A</v>
          </cell>
          <cell r="H923" t="str">
            <v>CONCENTRICIDAD</v>
          </cell>
          <cell r="I923">
            <v>6</v>
          </cell>
          <cell r="J923" t="str">
            <v>Augusto Rdz</v>
          </cell>
          <cell r="K923">
            <v>44965</v>
          </cell>
          <cell r="L923" t="str">
            <v>Eric</v>
          </cell>
          <cell r="M923" t="str">
            <v>PASS</v>
          </cell>
          <cell r="N923" t="str">
            <v>CONCENTRICIDAD</v>
          </cell>
        </row>
        <row r="924">
          <cell r="A924">
            <v>20230921</v>
          </cell>
          <cell r="B924">
            <v>44965</v>
          </cell>
          <cell r="C924">
            <v>2</v>
          </cell>
          <cell r="D924" t="str">
            <v>720-2</v>
          </cell>
          <cell r="E924" t="str">
            <v>SPR8</v>
          </cell>
          <cell r="F924" t="str">
            <v>34296442C</v>
          </cell>
          <cell r="G924" t="str">
            <v>N/A</v>
          </cell>
          <cell r="H924" t="str">
            <v>OVALIDAD</v>
          </cell>
          <cell r="I924">
            <v>6</v>
          </cell>
          <cell r="J924" t="str">
            <v>Augusto Rdz</v>
          </cell>
          <cell r="K924">
            <v>44965</v>
          </cell>
          <cell r="L924" t="str">
            <v>Eric</v>
          </cell>
          <cell r="M924" t="str">
            <v>PASS</v>
          </cell>
          <cell r="N924" t="str">
            <v>OVALIDAD</v>
          </cell>
        </row>
        <row r="925">
          <cell r="A925">
            <v>20230922</v>
          </cell>
          <cell r="B925">
            <v>44965</v>
          </cell>
          <cell r="C925">
            <v>2</v>
          </cell>
          <cell r="D925" t="str">
            <v>720-5</v>
          </cell>
          <cell r="E925" t="str">
            <v>SPR8</v>
          </cell>
          <cell r="F925" t="str">
            <v>34327673B</v>
          </cell>
          <cell r="G925" t="str">
            <v>N/A</v>
          </cell>
          <cell r="H925" t="str">
            <v>OVALIDAD</v>
          </cell>
          <cell r="I925">
            <v>6</v>
          </cell>
          <cell r="J925" t="str">
            <v>Augusto Rdz</v>
          </cell>
          <cell r="K925">
            <v>44965</v>
          </cell>
          <cell r="L925" t="str">
            <v>Eric</v>
          </cell>
          <cell r="M925" t="str">
            <v>PASS</v>
          </cell>
          <cell r="N925" t="str">
            <v>OVALIDAD</v>
          </cell>
        </row>
        <row r="926">
          <cell r="A926">
            <v>20230923</v>
          </cell>
          <cell r="B926">
            <v>44965</v>
          </cell>
          <cell r="C926">
            <v>2</v>
          </cell>
          <cell r="D926" t="str">
            <v>720-6</v>
          </cell>
          <cell r="E926" t="str">
            <v>SPR8</v>
          </cell>
          <cell r="F926" t="str">
            <v>A020R622B</v>
          </cell>
          <cell r="G926" t="str">
            <v>N/A</v>
          </cell>
          <cell r="H926" t="str">
            <v>OVALIDAD</v>
          </cell>
          <cell r="I926">
            <v>6</v>
          </cell>
          <cell r="J926" t="str">
            <v>Augusto Rdz</v>
          </cell>
          <cell r="K926">
            <v>44965</v>
          </cell>
          <cell r="L926" t="str">
            <v>Eric</v>
          </cell>
          <cell r="M926" t="str">
            <v>PASS</v>
          </cell>
          <cell r="N926" t="str">
            <v>OVALIDAD</v>
          </cell>
        </row>
        <row r="927">
          <cell r="A927">
            <v>20230924</v>
          </cell>
          <cell r="B927">
            <v>44965</v>
          </cell>
          <cell r="C927">
            <v>2</v>
          </cell>
          <cell r="D927" t="str">
            <v>720-4</v>
          </cell>
          <cell r="E927" t="str">
            <v>SPR8</v>
          </cell>
          <cell r="F927" t="str">
            <v>34361270A</v>
          </cell>
          <cell r="G927" t="str">
            <v>N/A</v>
          </cell>
          <cell r="H927" t="str">
            <v>CONCENTRICIDAD</v>
          </cell>
          <cell r="I927">
            <v>12</v>
          </cell>
          <cell r="J927" t="str">
            <v>Augusto Rdz</v>
          </cell>
          <cell r="K927">
            <v>44965</v>
          </cell>
          <cell r="L927" t="str">
            <v>Carlos</v>
          </cell>
          <cell r="M927" t="str">
            <v>PASS</v>
          </cell>
          <cell r="N927" t="str">
            <v>CONCENTRICIDAD</v>
          </cell>
        </row>
        <row r="928">
          <cell r="A928">
            <v>20230925</v>
          </cell>
          <cell r="B928">
            <v>44965</v>
          </cell>
          <cell r="C928">
            <v>2</v>
          </cell>
          <cell r="D928" t="str">
            <v>720-4</v>
          </cell>
          <cell r="E928" t="str">
            <v>SPR8</v>
          </cell>
          <cell r="F928" t="str">
            <v>34361270A</v>
          </cell>
          <cell r="G928" t="str">
            <v>N/A</v>
          </cell>
          <cell r="H928" t="str">
            <v>OVALIDAD</v>
          </cell>
          <cell r="I928">
            <v>12</v>
          </cell>
          <cell r="J928" t="str">
            <v>Augusto Rdz</v>
          </cell>
          <cell r="K928">
            <v>44965</v>
          </cell>
          <cell r="L928" t="str">
            <v>Carlos</v>
          </cell>
          <cell r="M928" t="str">
            <v>PASS</v>
          </cell>
          <cell r="N928" t="str">
            <v>OVALIDAD</v>
          </cell>
        </row>
        <row r="929">
          <cell r="A929">
            <v>20230926</v>
          </cell>
          <cell r="B929">
            <v>44965</v>
          </cell>
          <cell r="C929">
            <v>2</v>
          </cell>
          <cell r="D929" t="str">
            <v>720-1</v>
          </cell>
          <cell r="E929" t="str">
            <v>SPR8</v>
          </cell>
          <cell r="F929" t="str">
            <v>34324760D</v>
          </cell>
          <cell r="G929" t="str">
            <v>N/A</v>
          </cell>
          <cell r="H929" t="str">
            <v>CONCENTRICIDAD</v>
          </cell>
          <cell r="I929">
            <v>12</v>
          </cell>
          <cell r="J929" t="str">
            <v>Augusto Rdz</v>
          </cell>
          <cell r="K929">
            <v>44965</v>
          </cell>
          <cell r="L929" t="str">
            <v>Carlos</v>
          </cell>
          <cell r="M929" t="str">
            <v>PASS</v>
          </cell>
          <cell r="N929" t="str">
            <v>CONCENTRICIDAD</v>
          </cell>
        </row>
        <row r="930">
          <cell r="A930">
            <v>20230927</v>
          </cell>
          <cell r="B930">
            <v>44965</v>
          </cell>
          <cell r="C930">
            <v>2</v>
          </cell>
          <cell r="D930" t="str">
            <v>720-1</v>
          </cell>
          <cell r="E930" t="str">
            <v>SPR8</v>
          </cell>
          <cell r="F930" t="str">
            <v>34324760D</v>
          </cell>
          <cell r="G930" t="str">
            <v>N/A</v>
          </cell>
          <cell r="H930" t="str">
            <v>OVALIDAD</v>
          </cell>
          <cell r="I930">
            <v>12</v>
          </cell>
          <cell r="J930" t="str">
            <v>Augusto Rdz</v>
          </cell>
          <cell r="K930">
            <v>44965</v>
          </cell>
          <cell r="L930" t="str">
            <v>Carlos</v>
          </cell>
          <cell r="M930" t="str">
            <v>PASS</v>
          </cell>
          <cell r="N930" t="str">
            <v>OVALIDAD</v>
          </cell>
        </row>
        <row r="931">
          <cell r="A931">
            <v>20230928</v>
          </cell>
          <cell r="B931">
            <v>44965</v>
          </cell>
          <cell r="C931">
            <v>2</v>
          </cell>
          <cell r="D931" t="str">
            <v>720-3</v>
          </cell>
          <cell r="E931" t="str">
            <v>SPR8</v>
          </cell>
          <cell r="F931" t="str">
            <v>34235234G</v>
          </cell>
          <cell r="G931" t="str">
            <v>N/A</v>
          </cell>
          <cell r="H931" t="str">
            <v>CONCENTRICIDAD</v>
          </cell>
          <cell r="I931">
            <v>12</v>
          </cell>
          <cell r="J931" t="str">
            <v>Augusto Rdz</v>
          </cell>
          <cell r="K931">
            <v>44965</v>
          </cell>
          <cell r="L931" t="str">
            <v>Carlos</v>
          </cell>
          <cell r="M931" t="str">
            <v>PASS</v>
          </cell>
          <cell r="N931" t="str">
            <v>CONCENTRICIDAD</v>
          </cell>
        </row>
        <row r="932">
          <cell r="A932">
            <v>20230929</v>
          </cell>
          <cell r="B932">
            <v>44965</v>
          </cell>
          <cell r="C932">
            <v>2</v>
          </cell>
          <cell r="D932" t="str">
            <v>720-3</v>
          </cell>
          <cell r="E932" t="str">
            <v>SPR8</v>
          </cell>
          <cell r="F932" t="str">
            <v>34235234G</v>
          </cell>
          <cell r="G932" t="str">
            <v>N/A</v>
          </cell>
          <cell r="H932" t="str">
            <v>OVALIDAD</v>
          </cell>
          <cell r="I932">
            <v>12</v>
          </cell>
          <cell r="J932" t="str">
            <v>Augusto Rdz</v>
          </cell>
          <cell r="K932">
            <v>44965</v>
          </cell>
          <cell r="L932" t="str">
            <v>Carlos</v>
          </cell>
          <cell r="M932" t="str">
            <v>PASS</v>
          </cell>
          <cell r="N932" t="str">
            <v>OVALIDAD</v>
          </cell>
        </row>
        <row r="933">
          <cell r="A933">
            <v>20230930</v>
          </cell>
          <cell r="B933">
            <v>44966</v>
          </cell>
          <cell r="C933">
            <v>1</v>
          </cell>
          <cell r="D933" t="str">
            <v>716-3</v>
          </cell>
          <cell r="E933" t="str">
            <v>JL MCA</v>
          </cell>
          <cell r="F933" t="str">
            <v>A024V116A</v>
          </cell>
          <cell r="G933" t="str">
            <v>N/A</v>
          </cell>
          <cell r="H933" t="str">
            <v>102,48,49,50,51,12,3,8,76,103</v>
          </cell>
          <cell r="I933">
            <v>4</v>
          </cell>
          <cell r="J933" t="str">
            <v>Laura Castillo</v>
          </cell>
          <cell r="K933">
            <v>44966</v>
          </cell>
          <cell r="L933" t="str">
            <v>Nohemi</v>
          </cell>
          <cell r="M933" t="str">
            <v>NO PASS</v>
          </cell>
          <cell r="N933" t="str">
            <v>A0033G4854A-B</v>
          </cell>
        </row>
        <row r="934">
          <cell r="A934">
            <v>20230931</v>
          </cell>
          <cell r="B934">
            <v>44966</v>
          </cell>
          <cell r="C934">
            <v>1</v>
          </cell>
          <cell r="D934" t="str">
            <v>703-A</v>
          </cell>
          <cell r="E934" t="str">
            <v>A100</v>
          </cell>
          <cell r="F934" t="str">
            <v>A015C875C</v>
          </cell>
          <cell r="G934" t="str">
            <v>N/A</v>
          </cell>
          <cell r="H934" t="str">
            <v>31,32</v>
          </cell>
          <cell r="I934">
            <v>2</v>
          </cell>
          <cell r="J934" t="str">
            <v>Laura Castillo</v>
          </cell>
          <cell r="K934">
            <v>44966</v>
          </cell>
          <cell r="L934" t="str">
            <v>Nohemi</v>
          </cell>
          <cell r="M934" t="str">
            <v>PASS</v>
          </cell>
          <cell r="N934" t="str">
            <v>A0038M7086A C</v>
          </cell>
        </row>
        <row r="935">
          <cell r="A935">
            <v>20230932</v>
          </cell>
          <cell r="B935">
            <v>44966</v>
          </cell>
          <cell r="C935">
            <v>1</v>
          </cell>
          <cell r="D935" t="str">
            <v>703-A</v>
          </cell>
          <cell r="E935" t="str">
            <v>A100</v>
          </cell>
          <cell r="F935" t="str">
            <v>A015C875C</v>
          </cell>
          <cell r="G935" t="str">
            <v>N/A</v>
          </cell>
          <cell r="H935" t="str">
            <v>31,32</v>
          </cell>
          <cell r="I935">
            <v>2</v>
          </cell>
          <cell r="J935" t="str">
            <v>Laura Castillo</v>
          </cell>
          <cell r="K935">
            <v>44966</v>
          </cell>
          <cell r="L935" t="str">
            <v>Nohemi</v>
          </cell>
          <cell r="M935" t="str">
            <v>PASS</v>
          </cell>
          <cell r="N935" t="str">
            <v>A0038M7086A C</v>
          </cell>
        </row>
        <row r="936">
          <cell r="A936">
            <v>20230933</v>
          </cell>
          <cell r="B936">
            <v>44966</v>
          </cell>
          <cell r="C936">
            <v>1</v>
          </cell>
          <cell r="D936">
            <v>600</v>
          </cell>
          <cell r="E936" t="str">
            <v>U55X</v>
          </cell>
          <cell r="F936" t="str">
            <v>34268646A</v>
          </cell>
          <cell r="G936" t="str">
            <v>N/A</v>
          </cell>
          <cell r="H936">
            <v>19</v>
          </cell>
          <cell r="I936">
            <v>8</v>
          </cell>
          <cell r="J936" t="str">
            <v>Laura Castillo</v>
          </cell>
          <cell r="K936">
            <v>44966</v>
          </cell>
          <cell r="L936" t="str">
            <v>Nohemi</v>
          </cell>
          <cell r="M936" t="str">
            <v>PASS</v>
          </cell>
          <cell r="N936" t="str">
            <v>CH33056171 A13</v>
          </cell>
        </row>
        <row r="937">
          <cell r="A937">
            <v>20230934</v>
          </cell>
          <cell r="B937">
            <v>44966</v>
          </cell>
          <cell r="C937">
            <v>1</v>
          </cell>
          <cell r="D937" t="str">
            <v>N/A</v>
          </cell>
          <cell r="E937" t="str">
            <v>N/A</v>
          </cell>
          <cell r="F937" t="str">
            <v>ANVIL</v>
          </cell>
          <cell r="G937" t="str">
            <v>N/A</v>
          </cell>
          <cell r="H937" t="str">
            <v>X Y DIAMETROS</v>
          </cell>
          <cell r="I937">
            <v>1</v>
          </cell>
          <cell r="J937" t="str">
            <v>ANA SANCHEZ</v>
          </cell>
          <cell r="K937">
            <v>44966</v>
          </cell>
          <cell r="L937" t="str">
            <v>MAURICIO</v>
          </cell>
          <cell r="M937" t="str">
            <v>PASS</v>
          </cell>
          <cell r="N937" t="str">
            <v>SIN PLANO / DATOS DE REFERENCIA</v>
          </cell>
        </row>
        <row r="938">
          <cell r="A938">
            <v>20230935</v>
          </cell>
          <cell r="B938">
            <v>44966</v>
          </cell>
          <cell r="C938">
            <v>1</v>
          </cell>
          <cell r="D938" t="str">
            <v>N/A</v>
          </cell>
          <cell r="E938" t="str">
            <v>N/A</v>
          </cell>
          <cell r="F938" t="str">
            <v>34142827D</v>
          </cell>
          <cell r="G938" t="str">
            <v>N/A</v>
          </cell>
          <cell r="H938" t="str">
            <v>QA 75 76 80</v>
          </cell>
          <cell r="I938">
            <v>7</v>
          </cell>
          <cell r="J938" t="str">
            <v>EDGAR RODRIGUEZ</v>
          </cell>
          <cell r="K938">
            <v>44966</v>
          </cell>
          <cell r="L938" t="str">
            <v>MAURICIO</v>
          </cell>
          <cell r="M938" t="str">
            <v>NO PASS</v>
          </cell>
          <cell r="N938" t="str">
            <v>PLANO MARCADO</v>
          </cell>
        </row>
        <row r="939">
          <cell r="A939">
            <v>20230936</v>
          </cell>
          <cell r="B939">
            <v>44966</v>
          </cell>
          <cell r="C939">
            <v>1</v>
          </cell>
          <cell r="D939" t="str">
            <v>703-B</v>
          </cell>
          <cell r="E939" t="str">
            <v>A100</v>
          </cell>
          <cell r="F939" t="str">
            <v>A015C040B</v>
          </cell>
          <cell r="G939" t="str">
            <v>N/A</v>
          </cell>
          <cell r="H939" t="str">
            <v>17,18,22,13</v>
          </cell>
          <cell r="I939">
            <v>2</v>
          </cell>
          <cell r="J939" t="str">
            <v>Laura Castillo</v>
          </cell>
          <cell r="K939">
            <v>44966</v>
          </cell>
          <cell r="L939" t="str">
            <v>Nohemi</v>
          </cell>
          <cell r="M939" t="str">
            <v>PASS</v>
          </cell>
          <cell r="N939" t="str">
            <v>A0038M7042A B</v>
          </cell>
        </row>
        <row r="940">
          <cell r="A940">
            <v>20230937</v>
          </cell>
          <cell r="B940">
            <v>44966</v>
          </cell>
          <cell r="C940">
            <v>1</v>
          </cell>
          <cell r="D940" t="str">
            <v>135-1</v>
          </cell>
          <cell r="E940" t="str">
            <v>U55X</v>
          </cell>
          <cell r="F940" t="str">
            <v>33051409A</v>
          </cell>
          <cell r="G940" t="str">
            <v>N/A</v>
          </cell>
          <cell r="H940" t="str">
            <v>6,5,2,4</v>
          </cell>
          <cell r="I940">
            <v>2</v>
          </cell>
          <cell r="J940" t="str">
            <v>Laura Castillo</v>
          </cell>
          <cell r="K940">
            <v>44966</v>
          </cell>
          <cell r="L940" t="str">
            <v>Nohemi</v>
          </cell>
          <cell r="M940" t="str">
            <v>NO PASS</v>
          </cell>
          <cell r="N940" t="str">
            <v>33051409 A03</v>
          </cell>
        </row>
        <row r="941">
          <cell r="A941">
            <v>20230938</v>
          </cell>
          <cell r="B941">
            <v>44966</v>
          </cell>
          <cell r="C941">
            <v>1</v>
          </cell>
          <cell r="D941" t="str">
            <v>N/A</v>
          </cell>
          <cell r="E941" t="str">
            <v>N/A</v>
          </cell>
          <cell r="F941" t="str">
            <v>34282568B</v>
          </cell>
          <cell r="G941">
            <v>502</v>
          </cell>
          <cell r="H941">
            <v>65</v>
          </cell>
          <cell r="I941">
            <v>2</v>
          </cell>
          <cell r="J941" t="str">
            <v>JORGE GONZALEZ</v>
          </cell>
          <cell r="K941">
            <v>44966</v>
          </cell>
          <cell r="L941" t="str">
            <v>MAURICIO</v>
          </cell>
          <cell r="M941" t="str">
            <v>NO PASS</v>
          </cell>
          <cell r="N941" t="str">
            <v>PLANO MARCADO</v>
          </cell>
        </row>
        <row r="942">
          <cell r="A942">
            <v>20230939</v>
          </cell>
          <cell r="B942">
            <v>44966</v>
          </cell>
          <cell r="C942">
            <v>1</v>
          </cell>
          <cell r="D942" t="str">
            <v>720-1</v>
          </cell>
          <cell r="E942" t="str">
            <v>SPR8</v>
          </cell>
          <cell r="F942" t="str">
            <v>34324760D</v>
          </cell>
          <cell r="G942" t="str">
            <v>N/A</v>
          </cell>
          <cell r="H942" t="str">
            <v>CONCENTRICIDAD</v>
          </cell>
          <cell r="I942">
            <v>12</v>
          </cell>
          <cell r="J942" t="str">
            <v>EVELYN ESTUDILLO</v>
          </cell>
          <cell r="K942">
            <v>44966</v>
          </cell>
          <cell r="L942" t="str">
            <v>MAURICIO</v>
          </cell>
          <cell r="M942" t="str">
            <v>PASS</v>
          </cell>
          <cell r="N942" t="str">
            <v>CONCENTRICIDAD</v>
          </cell>
        </row>
        <row r="943">
          <cell r="A943">
            <v>20230940</v>
          </cell>
          <cell r="B943">
            <v>44966</v>
          </cell>
          <cell r="C943">
            <v>1</v>
          </cell>
          <cell r="D943" t="str">
            <v>720-6</v>
          </cell>
          <cell r="E943" t="str">
            <v>SPR8</v>
          </cell>
          <cell r="F943" t="str">
            <v>A020R618A</v>
          </cell>
          <cell r="G943" t="str">
            <v>N/A</v>
          </cell>
          <cell r="H943" t="str">
            <v>CONCENTRICIDAD</v>
          </cell>
          <cell r="I943">
            <v>12</v>
          </cell>
          <cell r="J943" t="str">
            <v>EVELYN ESTUDILLO</v>
          </cell>
          <cell r="K943">
            <v>44966</v>
          </cell>
          <cell r="L943" t="str">
            <v>MAURICIO</v>
          </cell>
          <cell r="M943" t="str">
            <v>PASS</v>
          </cell>
          <cell r="N943" t="str">
            <v>CONCENTRICIDAD</v>
          </cell>
        </row>
        <row r="944">
          <cell r="A944">
            <v>20230941</v>
          </cell>
          <cell r="B944">
            <v>44966</v>
          </cell>
          <cell r="C944">
            <v>1</v>
          </cell>
          <cell r="D944" t="str">
            <v>720-5</v>
          </cell>
          <cell r="E944" t="str">
            <v>SPR8</v>
          </cell>
          <cell r="F944" t="str">
            <v>34235233G</v>
          </cell>
          <cell r="G944" t="str">
            <v>N/A</v>
          </cell>
          <cell r="H944" t="str">
            <v>CONCENTRICIDAD</v>
          </cell>
          <cell r="I944">
            <v>12</v>
          </cell>
          <cell r="J944" t="str">
            <v>EVELYN ESTUDILLO</v>
          </cell>
          <cell r="K944">
            <v>44966</v>
          </cell>
          <cell r="L944" t="str">
            <v>MAURICIO</v>
          </cell>
          <cell r="M944" t="str">
            <v>PASS</v>
          </cell>
          <cell r="N944" t="str">
            <v>CONCENTRICIDAD</v>
          </cell>
        </row>
        <row r="945">
          <cell r="A945">
            <v>20230942</v>
          </cell>
          <cell r="B945">
            <v>44966</v>
          </cell>
          <cell r="C945">
            <v>1</v>
          </cell>
          <cell r="D945" t="str">
            <v>720-3</v>
          </cell>
          <cell r="E945" t="str">
            <v>SPR8</v>
          </cell>
          <cell r="F945" t="str">
            <v>34235231G</v>
          </cell>
          <cell r="G945" t="str">
            <v>N/A</v>
          </cell>
          <cell r="H945" t="str">
            <v>CONCENTRICIDAD</v>
          </cell>
          <cell r="I945">
            <v>12</v>
          </cell>
          <cell r="J945" t="str">
            <v>EVELYN ESTUDILLO</v>
          </cell>
          <cell r="K945">
            <v>44966</v>
          </cell>
          <cell r="L945" t="str">
            <v>MAURICIO</v>
          </cell>
          <cell r="M945" t="str">
            <v>PASS</v>
          </cell>
          <cell r="N945" t="str">
            <v>CONCENTRICIDAD</v>
          </cell>
        </row>
        <row r="946">
          <cell r="A946">
            <v>20230943</v>
          </cell>
          <cell r="B946">
            <v>44966</v>
          </cell>
          <cell r="C946">
            <v>1</v>
          </cell>
          <cell r="D946" t="str">
            <v>720-4</v>
          </cell>
          <cell r="E946" t="str">
            <v>SPR8</v>
          </cell>
          <cell r="F946" t="str">
            <v>34361270A</v>
          </cell>
          <cell r="G946" t="str">
            <v>N/A</v>
          </cell>
          <cell r="H946" t="str">
            <v>CONCENTRICIDAD</v>
          </cell>
          <cell r="I946">
            <v>12</v>
          </cell>
          <cell r="J946" t="str">
            <v>EVELYN ESTUDILLO</v>
          </cell>
          <cell r="K946">
            <v>44966</v>
          </cell>
          <cell r="L946" t="str">
            <v>MAURICIO</v>
          </cell>
          <cell r="M946" t="str">
            <v>PASS</v>
          </cell>
          <cell r="N946" t="str">
            <v>CONCENTRICIDAD</v>
          </cell>
        </row>
        <row r="947">
          <cell r="A947">
            <v>20230944</v>
          </cell>
          <cell r="B947">
            <v>44966</v>
          </cell>
          <cell r="C947">
            <v>1</v>
          </cell>
          <cell r="D947" t="str">
            <v>720-2</v>
          </cell>
          <cell r="E947" t="str">
            <v>SPR8</v>
          </cell>
          <cell r="F947" t="str">
            <v>34296438C</v>
          </cell>
          <cell r="G947" t="str">
            <v>N/A</v>
          </cell>
          <cell r="H947" t="str">
            <v>CONCENTRICIDAD</v>
          </cell>
          <cell r="I947">
            <v>12</v>
          </cell>
          <cell r="J947" t="str">
            <v>EVELYN ESTUDILLO</v>
          </cell>
          <cell r="K947">
            <v>44966</v>
          </cell>
          <cell r="L947" t="str">
            <v>MAURICIO</v>
          </cell>
          <cell r="M947" t="str">
            <v>PASS</v>
          </cell>
          <cell r="N947" t="str">
            <v>CONCENTRICIDAD</v>
          </cell>
        </row>
        <row r="948">
          <cell r="A948">
            <v>20230945</v>
          </cell>
          <cell r="B948">
            <v>44966</v>
          </cell>
          <cell r="C948">
            <v>1</v>
          </cell>
          <cell r="D948" t="str">
            <v>720-1</v>
          </cell>
          <cell r="E948" t="str">
            <v>SPR8</v>
          </cell>
          <cell r="F948" t="str">
            <v>34324760D</v>
          </cell>
          <cell r="G948" t="str">
            <v>N/A</v>
          </cell>
          <cell r="H948" t="str">
            <v>OVALIDAD</v>
          </cell>
          <cell r="I948">
            <v>12</v>
          </cell>
          <cell r="J948" t="str">
            <v>EVELYN ESTUDILLO</v>
          </cell>
          <cell r="K948">
            <v>44966</v>
          </cell>
          <cell r="L948" t="str">
            <v>MAURICIO</v>
          </cell>
          <cell r="M948" t="str">
            <v>PASS</v>
          </cell>
          <cell r="N948" t="str">
            <v>OVALIDAD</v>
          </cell>
        </row>
        <row r="949">
          <cell r="A949">
            <v>20230946</v>
          </cell>
          <cell r="B949">
            <v>44966</v>
          </cell>
          <cell r="C949">
            <v>1</v>
          </cell>
          <cell r="D949" t="str">
            <v>720-6</v>
          </cell>
          <cell r="E949" t="str">
            <v>SPR8</v>
          </cell>
          <cell r="F949" t="str">
            <v>A020R618A</v>
          </cell>
          <cell r="G949" t="str">
            <v>N/A</v>
          </cell>
          <cell r="H949" t="str">
            <v>OVALIDAD</v>
          </cell>
          <cell r="I949">
            <v>12</v>
          </cell>
          <cell r="J949" t="str">
            <v>EVELYN ESTUDILLO</v>
          </cell>
          <cell r="K949">
            <v>44966</v>
          </cell>
          <cell r="L949" t="str">
            <v>MAURICIO</v>
          </cell>
          <cell r="M949" t="str">
            <v>PASS</v>
          </cell>
          <cell r="N949" t="str">
            <v>OVALIDAD</v>
          </cell>
        </row>
        <row r="950">
          <cell r="A950">
            <v>20230947</v>
          </cell>
          <cell r="B950">
            <v>44966</v>
          </cell>
          <cell r="C950">
            <v>1</v>
          </cell>
          <cell r="D950" t="str">
            <v>720-5</v>
          </cell>
          <cell r="E950" t="str">
            <v>SPR8</v>
          </cell>
          <cell r="F950" t="str">
            <v>34235233G</v>
          </cell>
          <cell r="G950" t="str">
            <v>N/A</v>
          </cell>
          <cell r="H950" t="str">
            <v>OVALIDAD</v>
          </cell>
          <cell r="I950">
            <v>12</v>
          </cell>
          <cell r="J950" t="str">
            <v>EVELYN ESTUDILLO</v>
          </cell>
          <cell r="K950">
            <v>44966</v>
          </cell>
          <cell r="L950" t="str">
            <v>MAURICIO</v>
          </cell>
          <cell r="M950" t="str">
            <v>PASS</v>
          </cell>
          <cell r="N950" t="str">
            <v>OVALIDAD</v>
          </cell>
        </row>
        <row r="951">
          <cell r="A951">
            <v>20230948</v>
          </cell>
          <cell r="B951">
            <v>44966</v>
          </cell>
          <cell r="C951">
            <v>1</v>
          </cell>
          <cell r="D951" t="str">
            <v>720-3</v>
          </cell>
          <cell r="E951" t="str">
            <v>SPR8</v>
          </cell>
          <cell r="F951" t="str">
            <v>34235231G</v>
          </cell>
          <cell r="G951" t="str">
            <v>N/A</v>
          </cell>
          <cell r="H951" t="str">
            <v>OVALIDAD</v>
          </cell>
          <cell r="I951">
            <v>12</v>
          </cell>
          <cell r="J951" t="str">
            <v>EVELYN ESTUDILLO</v>
          </cell>
          <cell r="K951">
            <v>44966</v>
          </cell>
          <cell r="L951" t="str">
            <v>MAURICIO</v>
          </cell>
          <cell r="M951" t="str">
            <v>PASS</v>
          </cell>
          <cell r="N951" t="str">
            <v>OVALIDAD</v>
          </cell>
        </row>
        <row r="952">
          <cell r="A952">
            <v>20230949</v>
          </cell>
          <cell r="B952">
            <v>44966</v>
          </cell>
          <cell r="C952">
            <v>1</v>
          </cell>
          <cell r="D952" t="str">
            <v>720-4</v>
          </cell>
          <cell r="E952" t="str">
            <v>SPR8</v>
          </cell>
          <cell r="F952" t="str">
            <v>34361270A</v>
          </cell>
          <cell r="G952" t="str">
            <v>N/A</v>
          </cell>
          <cell r="H952" t="str">
            <v>OVALIDAD</v>
          </cell>
          <cell r="I952">
            <v>12</v>
          </cell>
          <cell r="J952" t="str">
            <v>EVELYN ESTUDILLO</v>
          </cell>
          <cell r="K952">
            <v>44966</v>
          </cell>
          <cell r="L952" t="str">
            <v>MAURICIO</v>
          </cell>
          <cell r="M952" t="str">
            <v>PASS</v>
          </cell>
          <cell r="N952" t="str">
            <v>OVALIDAD</v>
          </cell>
        </row>
        <row r="953">
          <cell r="A953">
            <v>20230950</v>
          </cell>
          <cell r="B953">
            <v>44966</v>
          </cell>
          <cell r="C953">
            <v>1</v>
          </cell>
          <cell r="D953" t="str">
            <v>720-2</v>
          </cell>
          <cell r="E953" t="str">
            <v>SPR8</v>
          </cell>
          <cell r="F953" t="str">
            <v>34296438C</v>
          </cell>
          <cell r="G953" t="str">
            <v>N/A</v>
          </cell>
          <cell r="H953" t="str">
            <v>OVALIDAD</v>
          </cell>
          <cell r="I953">
            <v>12</v>
          </cell>
          <cell r="J953" t="str">
            <v>EVELYN ESTUDILLO</v>
          </cell>
          <cell r="K953">
            <v>44966</v>
          </cell>
          <cell r="L953" t="str">
            <v>MAURICIO</v>
          </cell>
          <cell r="M953" t="str">
            <v>PASS</v>
          </cell>
          <cell r="N953" t="str">
            <v>OVALIDAD</v>
          </cell>
        </row>
        <row r="954">
          <cell r="A954">
            <v>20230951</v>
          </cell>
          <cell r="B954">
            <v>44966</v>
          </cell>
          <cell r="C954">
            <v>1</v>
          </cell>
          <cell r="D954" t="str">
            <v>N/A</v>
          </cell>
          <cell r="E954" t="str">
            <v>N/A</v>
          </cell>
          <cell r="F954" t="str">
            <v>ZF-07978-211267/1</v>
          </cell>
          <cell r="G954" t="str">
            <v>N/A</v>
          </cell>
          <cell r="H954" t="str">
            <v>DIS 1 DIS 2</v>
          </cell>
          <cell r="I954">
            <v>6</v>
          </cell>
          <cell r="J954" t="str">
            <v>CRISTIAN ARNOLDO</v>
          </cell>
          <cell r="K954"/>
          <cell r="L954" t="str">
            <v>MAURICIO</v>
          </cell>
          <cell r="M954"/>
          <cell r="N954" t="str">
            <v>PLANO MARCADO</v>
          </cell>
        </row>
        <row r="955">
          <cell r="A955">
            <v>20230952</v>
          </cell>
          <cell r="B955">
            <v>44966</v>
          </cell>
          <cell r="C955">
            <v>1</v>
          </cell>
          <cell r="D955" t="str">
            <v>N/A</v>
          </cell>
          <cell r="E955" t="str">
            <v>N/A</v>
          </cell>
          <cell r="F955" t="str">
            <v>34282568B</v>
          </cell>
          <cell r="G955" t="str">
            <v>024</v>
          </cell>
          <cell r="H955">
            <v>65</v>
          </cell>
          <cell r="I955">
            <v>2</v>
          </cell>
          <cell r="J955" t="str">
            <v>JORGE GONZALEZ</v>
          </cell>
          <cell r="K955">
            <v>44966</v>
          </cell>
          <cell r="L955" t="str">
            <v>MAURICIO</v>
          </cell>
          <cell r="M955" t="str">
            <v>NO PASS</v>
          </cell>
          <cell r="N955" t="str">
            <v>MATERIAL CON Q</v>
          </cell>
        </row>
        <row r="956">
          <cell r="A956">
            <v>20230953</v>
          </cell>
          <cell r="B956">
            <v>44966</v>
          </cell>
          <cell r="C956">
            <v>1</v>
          </cell>
          <cell r="D956" t="str">
            <v>720-2</v>
          </cell>
          <cell r="E956" t="str">
            <v>SPR8</v>
          </cell>
          <cell r="F956" t="str">
            <v>34296438C</v>
          </cell>
          <cell r="G956" t="str">
            <v>4022IFB4</v>
          </cell>
          <cell r="H956" t="str">
            <v>CONCENTRICIDAD</v>
          </cell>
          <cell r="I956">
            <v>12</v>
          </cell>
          <cell r="J956" t="str">
            <v>EVELYN ESTUDILLO</v>
          </cell>
          <cell r="K956">
            <v>44966</v>
          </cell>
          <cell r="L956" t="str">
            <v>Luis</v>
          </cell>
          <cell r="M956" t="str">
            <v>PASS</v>
          </cell>
          <cell r="N956" t="str">
            <v>Validacion de Collet</v>
          </cell>
        </row>
        <row r="957">
          <cell r="A957">
            <v>20230954</v>
          </cell>
          <cell r="B957">
            <v>44966</v>
          </cell>
          <cell r="C957">
            <v>1</v>
          </cell>
          <cell r="D957" t="str">
            <v>720-2</v>
          </cell>
          <cell r="E957" t="str">
            <v>SPR8</v>
          </cell>
          <cell r="F957" t="str">
            <v>34296438C</v>
          </cell>
          <cell r="G957" t="str">
            <v>4022IFB2</v>
          </cell>
          <cell r="H957" t="str">
            <v>CONCENTRICIDAD</v>
          </cell>
          <cell r="I957">
            <v>12</v>
          </cell>
          <cell r="J957" t="str">
            <v>EVELYN ESTUDILLO</v>
          </cell>
          <cell r="K957">
            <v>44966</v>
          </cell>
          <cell r="L957" t="str">
            <v>Luis</v>
          </cell>
          <cell r="M957" t="str">
            <v>PASS</v>
          </cell>
          <cell r="N957" t="str">
            <v>Inicio 2 Turno</v>
          </cell>
        </row>
        <row r="958">
          <cell r="A958">
            <v>20230955</v>
          </cell>
          <cell r="B958">
            <v>44966</v>
          </cell>
          <cell r="C958">
            <v>1</v>
          </cell>
          <cell r="D958" t="str">
            <v>720-2</v>
          </cell>
          <cell r="E958" t="str">
            <v>SPR8</v>
          </cell>
          <cell r="F958" t="str">
            <v>34296438C</v>
          </cell>
          <cell r="G958" t="str">
            <v>4022IFB4</v>
          </cell>
          <cell r="H958" t="str">
            <v>OVALIDAD</v>
          </cell>
          <cell r="I958">
            <v>12</v>
          </cell>
          <cell r="J958" t="str">
            <v>EVELYN ESTUDILLO</v>
          </cell>
          <cell r="K958">
            <v>44966</v>
          </cell>
          <cell r="L958" t="str">
            <v>Luis</v>
          </cell>
          <cell r="M958" t="str">
            <v>PASS</v>
          </cell>
          <cell r="N958" t="str">
            <v>Validacion de Collet</v>
          </cell>
        </row>
        <row r="959">
          <cell r="A959">
            <v>20230956</v>
          </cell>
          <cell r="B959">
            <v>44966</v>
          </cell>
          <cell r="C959">
            <v>1</v>
          </cell>
          <cell r="D959" t="str">
            <v>720-2</v>
          </cell>
          <cell r="E959" t="str">
            <v>SPR8</v>
          </cell>
          <cell r="F959" t="str">
            <v>34296438C</v>
          </cell>
          <cell r="G959" t="str">
            <v>4022IFB2</v>
          </cell>
          <cell r="H959" t="str">
            <v>OVALIDAD</v>
          </cell>
          <cell r="I959">
            <v>12</v>
          </cell>
          <cell r="J959" t="str">
            <v>EVELYN ESTUDILLO</v>
          </cell>
          <cell r="K959">
            <v>44966</v>
          </cell>
          <cell r="L959" t="str">
            <v>Luis</v>
          </cell>
          <cell r="M959" t="str">
            <v>PASS</v>
          </cell>
          <cell r="N959" t="str">
            <v>Inicio 2 Turno</v>
          </cell>
        </row>
        <row r="960">
          <cell r="A960">
            <v>20230957</v>
          </cell>
          <cell r="B960">
            <v>44966</v>
          </cell>
          <cell r="C960">
            <v>2</v>
          </cell>
          <cell r="D960" t="str">
            <v>720-1</v>
          </cell>
          <cell r="E960" t="str">
            <v>SPR8</v>
          </cell>
          <cell r="F960" t="str">
            <v>34324760D</v>
          </cell>
          <cell r="G960" t="str">
            <v>N/A</v>
          </cell>
          <cell r="H960" t="str">
            <v>CONCENTRICIDAD</v>
          </cell>
          <cell r="I960">
            <v>6</v>
          </cell>
          <cell r="J960" t="str">
            <v>Augusto Rdz</v>
          </cell>
          <cell r="K960">
            <v>44966</v>
          </cell>
          <cell r="L960" t="str">
            <v>Eric</v>
          </cell>
          <cell r="M960" t="str">
            <v>PASS</v>
          </cell>
          <cell r="N960" t="str">
            <v>CONCENTRICIDAD</v>
          </cell>
        </row>
        <row r="961">
          <cell r="A961">
            <v>20230958</v>
          </cell>
          <cell r="B961">
            <v>44966</v>
          </cell>
          <cell r="C961">
            <v>2</v>
          </cell>
          <cell r="D961" t="str">
            <v>720-3</v>
          </cell>
          <cell r="E961" t="str">
            <v>SPR8</v>
          </cell>
          <cell r="F961" t="str">
            <v>34235234G</v>
          </cell>
          <cell r="G961" t="str">
            <v>N/A</v>
          </cell>
          <cell r="H961" t="str">
            <v>CONCENTRICIDAD</v>
          </cell>
          <cell r="I961">
            <v>6</v>
          </cell>
          <cell r="J961" t="str">
            <v>Augusto Rdz</v>
          </cell>
          <cell r="K961">
            <v>44966</v>
          </cell>
          <cell r="L961" t="str">
            <v>Eric</v>
          </cell>
          <cell r="M961" t="str">
            <v>PASS</v>
          </cell>
          <cell r="N961" t="str">
            <v>CONCENTRICIDAD</v>
          </cell>
        </row>
        <row r="962">
          <cell r="A962">
            <v>20230959</v>
          </cell>
          <cell r="B962">
            <v>44966</v>
          </cell>
          <cell r="C962">
            <v>2</v>
          </cell>
          <cell r="D962" t="str">
            <v>720-4</v>
          </cell>
          <cell r="E962" t="str">
            <v>SPR8</v>
          </cell>
          <cell r="F962" t="str">
            <v>34361270A</v>
          </cell>
          <cell r="G962" t="str">
            <v>N/A</v>
          </cell>
          <cell r="H962" t="str">
            <v>CONCENTRICIDAD</v>
          </cell>
          <cell r="I962">
            <v>6</v>
          </cell>
          <cell r="J962" t="str">
            <v>Augusto Rdz</v>
          </cell>
          <cell r="K962">
            <v>44966</v>
          </cell>
          <cell r="L962" t="str">
            <v>Eric</v>
          </cell>
          <cell r="M962" t="str">
            <v>PASS</v>
          </cell>
          <cell r="N962" t="str">
            <v>CONCENTRICIDAD</v>
          </cell>
        </row>
        <row r="963">
          <cell r="A963">
            <v>20230960</v>
          </cell>
          <cell r="B963">
            <v>44966</v>
          </cell>
          <cell r="C963">
            <v>2</v>
          </cell>
          <cell r="D963" t="str">
            <v>720-5</v>
          </cell>
          <cell r="E963" t="str">
            <v>SPR8</v>
          </cell>
          <cell r="F963" t="str">
            <v>34327672C</v>
          </cell>
          <cell r="G963" t="str">
            <v>N/A</v>
          </cell>
          <cell r="H963" t="str">
            <v>CONCENTRICIDAD</v>
          </cell>
          <cell r="I963">
            <v>6</v>
          </cell>
          <cell r="J963" t="str">
            <v>Augusto Rdz</v>
          </cell>
          <cell r="K963">
            <v>44966</v>
          </cell>
          <cell r="L963" t="str">
            <v>Eric</v>
          </cell>
          <cell r="M963" t="str">
            <v>PASS</v>
          </cell>
          <cell r="N963" t="str">
            <v>CONCENTRICIDAD</v>
          </cell>
        </row>
        <row r="964">
          <cell r="A964">
            <v>20230961</v>
          </cell>
          <cell r="B964">
            <v>44966</v>
          </cell>
          <cell r="C964">
            <v>2</v>
          </cell>
          <cell r="D964" t="str">
            <v>720-6</v>
          </cell>
          <cell r="E964" t="str">
            <v>SPR8</v>
          </cell>
          <cell r="F964" t="str">
            <v>A020R619B</v>
          </cell>
          <cell r="G964" t="str">
            <v>N/A</v>
          </cell>
          <cell r="H964" t="str">
            <v>CONCENTRICIDAD</v>
          </cell>
          <cell r="I964">
            <v>6</v>
          </cell>
          <cell r="J964" t="str">
            <v>Augusto Rdz</v>
          </cell>
          <cell r="K964">
            <v>44966</v>
          </cell>
          <cell r="L964" t="str">
            <v>Eric</v>
          </cell>
          <cell r="M964" t="str">
            <v>PASS</v>
          </cell>
          <cell r="N964" t="str">
            <v>CONCENTRICIDAD</v>
          </cell>
        </row>
        <row r="965">
          <cell r="A965">
            <v>20230962</v>
          </cell>
          <cell r="B965">
            <v>44966</v>
          </cell>
          <cell r="C965">
            <v>2</v>
          </cell>
          <cell r="D965" t="str">
            <v>720-1</v>
          </cell>
          <cell r="E965" t="str">
            <v>SPR8</v>
          </cell>
          <cell r="F965" t="str">
            <v>34324760D</v>
          </cell>
          <cell r="G965" t="str">
            <v>N/A</v>
          </cell>
          <cell r="H965" t="str">
            <v>OVALIDAD</v>
          </cell>
          <cell r="I965">
            <v>6</v>
          </cell>
          <cell r="J965" t="str">
            <v>Augusto Rdz</v>
          </cell>
          <cell r="K965">
            <v>44966</v>
          </cell>
          <cell r="L965" t="str">
            <v>Eric</v>
          </cell>
          <cell r="M965" t="str">
            <v>PASS</v>
          </cell>
          <cell r="N965" t="str">
            <v>OVALIDAD</v>
          </cell>
        </row>
        <row r="966">
          <cell r="A966">
            <v>20230963</v>
          </cell>
          <cell r="B966">
            <v>44966</v>
          </cell>
          <cell r="C966">
            <v>2</v>
          </cell>
          <cell r="D966" t="str">
            <v>720-3</v>
          </cell>
          <cell r="E966" t="str">
            <v>SPR8</v>
          </cell>
          <cell r="F966" t="str">
            <v>34235234G</v>
          </cell>
          <cell r="G966" t="str">
            <v>N/A</v>
          </cell>
          <cell r="H966" t="str">
            <v>OVALIDAD</v>
          </cell>
          <cell r="I966">
            <v>6</v>
          </cell>
          <cell r="J966" t="str">
            <v>Augusto Rdz</v>
          </cell>
          <cell r="K966">
            <v>44966</v>
          </cell>
          <cell r="L966" t="str">
            <v>Eric</v>
          </cell>
          <cell r="M966" t="str">
            <v>PASS</v>
          </cell>
          <cell r="N966" t="str">
            <v>OVALIDAD</v>
          </cell>
        </row>
        <row r="967">
          <cell r="A967">
            <v>20230964</v>
          </cell>
          <cell r="B967">
            <v>44966</v>
          </cell>
          <cell r="C967">
            <v>2</v>
          </cell>
          <cell r="D967" t="str">
            <v>720-4</v>
          </cell>
          <cell r="E967" t="str">
            <v>SPR8</v>
          </cell>
          <cell r="F967" t="str">
            <v>34361270A</v>
          </cell>
          <cell r="G967" t="str">
            <v>N/A</v>
          </cell>
          <cell r="H967" t="str">
            <v>OVALIDAD</v>
          </cell>
          <cell r="I967">
            <v>6</v>
          </cell>
          <cell r="J967" t="str">
            <v>Augusto Rdz</v>
          </cell>
          <cell r="K967">
            <v>44966</v>
          </cell>
          <cell r="L967" t="str">
            <v>Eric</v>
          </cell>
          <cell r="M967" t="str">
            <v>PASS</v>
          </cell>
          <cell r="N967" t="str">
            <v>OVALIDAD</v>
          </cell>
        </row>
        <row r="968">
          <cell r="A968">
            <v>20230965</v>
          </cell>
          <cell r="B968">
            <v>44966</v>
          </cell>
          <cell r="C968">
            <v>2</v>
          </cell>
          <cell r="D968" t="str">
            <v>720-5</v>
          </cell>
          <cell r="E968" t="str">
            <v>SPR8</v>
          </cell>
          <cell r="F968" t="str">
            <v>34327672C</v>
          </cell>
          <cell r="G968" t="str">
            <v>N/A</v>
          </cell>
          <cell r="H968" t="str">
            <v>OVALIDAD</v>
          </cell>
          <cell r="I968">
            <v>6</v>
          </cell>
          <cell r="J968" t="str">
            <v>Augusto Rdz</v>
          </cell>
          <cell r="K968">
            <v>44966</v>
          </cell>
          <cell r="L968" t="str">
            <v>Eric</v>
          </cell>
          <cell r="M968" t="str">
            <v>PASS</v>
          </cell>
          <cell r="N968" t="str">
            <v>OVALIDAD</v>
          </cell>
        </row>
        <row r="969">
          <cell r="A969">
            <v>20230966</v>
          </cell>
          <cell r="B969">
            <v>44966</v>
          </cell>
          <cell r="C969">
            <v>2</v>
          </cell>
          <cell r="D969" t="str">
            <v>720-6</v>
          </cell>
          <cell r="E969" t="str">
            <v>SPR8</v>
          </cell>
          <cell r="F969" t="str">
            <v>A020R619B</v>
          </cell>
          <cell r="G969" t="str">
            <v>N/A</v>
          </cell>
          <cell r="H969" t="str">
            <v>OVALIDAD</v>
          </cell>
          <cell r="I969">
            <v>6</v>
          </cell>
          <cell r="J969" t="str">
            <v>Augusto Rdz</v>
          </cell>
          <cell r="K969">
            <v>44966</v>
          </cell>
          <cell r="L969" t="str">
            <v>Eric</v>
          </cell>
          <cell r="M969" t="str">
            <v>PASS</v>
          </cell>
          <cell r="N969" t="str">
            <v>OVALIDAD</v>
          </cell>
        </row>
        <row r="970">
          <cell r="A970">
            <v>20230967</v>
          </cell>
          <cell r="B970">
            <v>44967</v>
          </cell>
          <cell r="C970">
            <v>1</v>
          </cell>
          <cell r="D970" t="str">
            <v>N/A</v>
          </cell>
          <cell r="E970" t="str">
            <v>N/A</v>
          </cell>
          <cell r="F970" t="str">
            <v>GAGE TURBINA</v>
          </cell>
          <cell r="G970" t="str">
            <v>ZF-07431-211239-6</v>
          </cell>
          <cell r="H970" t="str">
            <v>DIS 80.9</v>
          </cell>
          <cell r="I970">
            <v>1</v>
          </cell>
          <cell r="J970" t="str">
            <v>CRISTIAN ARNOLDO</v>
          </cell>
          <cell r="K970">
            <v>44967</v>
          </cell>
          <cell r="L970" t="str">
            <v>MAURICIO</v>
          </cell>
          <cell r="M970" t="str">
            <v>PASS</v>
          </cell>
          <cell r="N970" t="str">
            <v>PLANO MARCADO</v>
          </cell>
        </row>
        <row r="971">
          <cell r="A971">
            <v>20230968</v>
          </cell>
          <cell r="B971">
            <v>44967</v>
          </cell>
          <cell r="C971">
            <v>1</v>
          </cell>
          <cell r="D971" t="str">
            <v>720-3</v>
          </cell>
          <cell r="E971" t="str">
            <v>SPR8</v>
          </cell>
          <cell r="F971" t="str">
            <v>A023P560B</v>
          </cell>
          <cell r="G971" t="str">
            <v>N/A</v>
          </cell>
          <cell r="H971" t="str">
            <v>CONCENTRICIDAD</v>
          </cell>
          <cell r="I971">
            <v>6</v>
          </cell>
          <cell r="J971" t="str">
            <v>Laura Castillo</v>
          </cell>
          <cell r="K971">
            <v>44967</v>
          </cell>
          <cell r="L971" t="str">
            <v>Nohemi</v>
          </cell>
          <cell r="M971" t="str">
            <v>PASS</v>
          </cell>
          <cell r="N971" t="str">
            <v>CONCENTRICIDAD</v>
          </cell>
        </row>
        <row r="972">
          <cell r="A972">
            <v>20230969</v>
          </cell>
          <cell r="B972">
            <v>44967</v>
          </cell>
          <cell r="C972">
            <v>1</v>
          </cell>
          <cell r="D972" t="str">
            <v>720-3</v>
          </cell>
          <cell r="E972" t="str">
            <v>SPR8</v>
          </cell>
          <cell r="F972" t="str">
            <v>A023P560B</v>
          </cell>
          <cell r="G972" t="str">
            <v>N/A</v>
          </cell>
          <cell r="H972" t="str">
            <v>OVALIDAD</v>
          </cell>
          <cell r="I972">
            <v>6</v>
          </cell>
          <cell r="J972" t="str">
            <v>Laura Castillo</v>
          </cell>
          <cell r="K972">
            <v>44967</v>
          </cell>
          <cell r="L972" t="str">
            <v>Nohemi</v>
          </cell>
          <cell r="M972" t="str">
            <v>PASS</v>
          </cell>
          <cell r="N972" t="str">
            <v>OVALIDAD</v>
          </cell>
        </row>
        <row r="973">
          <cell r="A973">
            <v>20230970</v>
          </cell>
          <cell r="B973">
            <v>44967</v>
          </cell>
          <cell r="C973">
            <v>1</v>
          </cell>
          <cell r="D973" t="str">
            <v>703-A</v>
          </cell>
          <cell r="E973" t="str">
            <v>SPR4</v>
          </cell>
          <cell r="F973" t="str">
            <v>A012R615B</v>
          </cell>
          <cell r="G973" t="str">
            <v>N/A</v>
          </cell>
          <cell r="H973" t="str">
            <v>17,18,22,13</v>
          </cell>
          <cell r="I973">
            <v>2</v>
          </cell>
          <cell r="J973" t="str">
            <v>Laura Castillo</v>
          </cell>
          <cell r="K973">
            <v>44967</v>
          </cell>
          <cell r="L973" t="str">
            <v>Nohemi</v>
          </cell>
          <cell r="M973" t="str">
            <v>PASS</v>
          </cell>
          <cell r="N973" t="str">
            <v>A0038M7042A-C</v>
          </cell>
        </row>
        <row r="974">
          <cell r="A974">
            <v>20230971</v>
          </cell>
          <cell r="B974">
            <v>44967</v>
          </cell>
          <cell r="C974">
            <v>1</v>
          </cell>
          <cell r="D974" t="str">
            <v>N/A</v>
          </cell>
          <cell r="E974" t="str">
            <v>N/A</v>
          </cell>
          <cell r="F974" t="str">
            <v>34257619A</v>
          </cell>
          <cell r="G974" t="str">
            <v>P41B22</v>
          </cell>
          <cell r="H974" t="str">
            <v>Especial</v>
          </cell>
          <cell r="I974">
            <v>10</v>
          </cell>
          <cell r="J974" t="str">
            <v>Nicolas Mendoza</v>
          </cell>
          <cell r="K974">
            <v>44967</v>
          </cell>
          <cell r="L974" t="str">
            <v xml:space="preserve">Adela </v>
          </cell>
          <cell r="M974"/>
          <cell r="N974" t="str">
            <v>N/A</v>
          </cell>
        </row>
        <row r="975">
          <cell r="A975">
            <v>20230972</v>
          </cell>
          <cell r="B975">
            <v>44967</v>
          </cell>
          <cell r="C975">
            <v>1</v>
          </cell>
          <cell r="D975" t="str">
            <v>N/A</v>
          </cell>
          <cell r="E975" t="str">
            <v>SPR8</v>
          </cell>
          <cell r="F975" t="str">
            <v>34119441B</v>
          </cell>
          <cell r="G975" t="str">
            <v>N/A</v>
          </cell>
          <cell r="H975">
            <v>129</v>
          </cell>
          <cell r="I975">
            <v>2</v>
          </cell>
          <cell r="J975" t="str">
            <v>Gabriel Ramos</v>
          </cell>
          <cell r="K975">
            <v>44967</v>
          </cell>
          <cell r="L975" t="str">
            <v>MAURICIO</v>
          </cell>
          <cell r="M975" t="str">
            <v>PASS</v>
          </cell>
          <cell r="N975" t="str">
            <v>PLANO MARCADO</v>
          </cell>
        </row>
        <row r="976">
          <cell r="A976">
            <v>20230973</v>
          </cell>
          <cell r="B976">
            <v>44967</v>
          </cell>
          <cell r="C976">
            <v>1</v>
          </cell>
          <cell r="D976" t="str">
            <v>720-1</v>
          </cell>
          <cell r="E976" t="str">
            <v>SPR8</v>
          </cell>
          <cell r="F976" t="str">
            <v>34296437C</v>
          </cell>
          <cell r="G976" t="str">
            <v>4022IFB1</v>
          </cell>
          <cell r="H976" t="str">
            <v>CONCENTRICIDAD</v>
          </cell>
          <cell r="I976">
            <v>12</v>
          </cell>
          <cell r="J976" t="str">
            <v>EVELYN ESTUDILLO</v>
          </cell>
          <cell r="K976">
            <v>44967</v>
          </cell>
          <cell r="L976" t="str">
            <v>MAURICIO</v>
          </cell>
          <cell r="M976" t="str">
            <v>PASS</v>
          </cell>
          <cell r="N976" t="str">
            <v>CONCENTRICIDAD</v>
          </cell>
        </row>
        <row r="977">
          <cell r="A977">
            <v>20230974</v>
          </cell>
          <cell r="B977">
            <v>44967</v>
          </cell>
          <cell r="C977">
            <v>1</v>
          </cell>
          <cell r="D977" t="str">
            <v>720-2</v>
          </cell>
          <cell r="E977" t="str">
            <v>SPR8</v>
          </cell>
          <cell r="F977" t="str">
            <v>34301470D</v>
          </cell>
          <cell r="G977" t="str">
            <v>4022IFB3</v>
          </cell>
          <cell r="H977" t="str">
            <v>CONCENTRICIDAD</v>
          </cell>
          <cell r="I977">
            <v>12</v>
          </cell>
          <cell r="J977" t="str">
            <v>EVELYN ESTUDILLO</v>
          </cell>
          <cell r="K977">
            <v>44967</v>
          </cell>
          <cell r="L977" t="str">
            <v>MAURICIO</v>
          </cell>
          <cell r="M977" t="str">
            <v>PASS</v>
          </cell>
          <cell r="N977" t="str">
            <v>CONCENTRICIDAD</v>
          </cell>
        </row>
        <row r="978">
          <cell r="A978">
            <v>20230975</v>
          </cell>
          <cell r="B978">
            <v>44967</v>
          </cell>
          <cell r="C978">
            <v>1</v>
          </cell>
          <cell r="D978" t="str">
            <v>720-3</v>
          </cell>
          <cell r="E978" t="str">
            <v>SPR8</v>
          </cell>
          <cell r="F978" t="str">
            <v>34235233G</v>
          </cell>
          <cell r="G978" t="str">
            <v>4022IFB1</v>
          </cell>
          <cell r="H978" t="str">
            <v>CONCENTRICIDAD</v>
          </cell>
          <cell r="I978">
            <v>18</v>
          </cell>
          <cell r="J978" t="str">
            <v>EVELYN ESTUDILLO</v>
          </cell>
          <cell r="K978">
            <v>44967</v>
          </cell>
          <cell r="L978" t="str">
            <v>MAURICIO</v>
          </cell>
          <cell r="M978" t="str">
            <v>PASS</v>
          </cell>
          <cell r="N978" t="str">
            <v>CONCENTRICIDAD</v>
          </cell>
        </row>
        <row r="979">
          <cell r="A979">
            <v>20230976</v>
          </cell>
          <cell r="B979">
            <v>44967</v>
          </cell>
          <cell r="C979">
            <v>1</v>
          </cell>
          <cell r="D979" t="str">
            <v>720-4</v>
          </cell>
          <cell r="E979" t="str">
            <v>SPR8</v>
          </cell>
          <cell r="F979" t="str">
            <v>34361270A</v>
          </cell>
          <cell r="G979" t="str">
            <v>22301A</v>
          </cell>
          <cell r="H979" t="str">
            <v>CONCENTRICIDAD</v>
          </cell>
          <cell r="I979">
            <v>12</v>
          </cell>
          <cell r="J979" t="str">
            <v>EVELYN ESTUDILLO</v>
          </cell>
          <cell r="K979">
            <v>44967</v>
          </cell>
          <cell r="L979" t="str">
            <v>MAURICIO</v>
          </cell>
          <cell r="M979" t="str">
            <v>PASS</v>
          </cell>
          <cell r="N979" t="str">
            <v>CONCENTRICIDAD</v>
          </cell>
        </row>
        <row r="980">
          <cell r="A980">
            <v>20230977</v>
          </cell>
          <cell r="B980">
            <v>44967</v>
          </cell>
          <cell r="C980">
            <v>1</v>
          </cell>
          <cell r="D980" t="str">
            <v>720-5</v>
          </cell>
          <cell r="E980" t="str">
            <v>SPR8</v>
          </cell>
          <cell r="F980" t="str">
            <v>34364566B</v>
          </cell>
          <cell r="G980" t="str">
            <v>4022IFB3</v>
          </cell>
          <cell r="H980" t="str">
            <v>CONCENTRICIDAD</v>
          </cell>
          <cell r="I980">
            <v>12</v>
          </cell>
          <cell r="J980" t="str">
            <v>EVELYN ESTUDILLO</v>
          </cell>
          <cell r="K980">
            <v>44967</v>
          </cell>
          <cell r="L980" t="str">
            <v>MAURICIO</v>
          </cell>
          <cell r="M980" t="str">
            <v>PASS</v>
          </cell>
          <cell r="N980" t="str">
            <v>CONCENTRICIDAD</v>
          </cell>
        </row>
        <row r="981">
          <cell r="A981">
            <v>20230978</v>
          </cell>
          <cell r="B981">
            <v>44967</v>
          </cell>
          <cell r="C981">
            <v>1</v>
          </cell>
          <cell r="D981" t="str">
            <v>720-6</v>
          </cell>
          <cell r="E981" t="str">
            <v>SPR8</v>
          </cell>
          <cell r="F981" t="str">
            <v>A020R623B</v>
          </cell>
          <cell r="G981" t="str">
            <v>4022IFB1</v>
          </cell>
          <cell r="H981" t="str">
            <v>CONCENTRICIDAD</v>
          </cell>
          <cell r="I981">
            <v>12</v>
          </cell>
          <cell r="J981" t="str">
            <v>EVELYN ESTUDILLO</v>
          </cell>
          <cell r="K981">
            <v>44967</v>
          </cell>
          <cell r="L981" t="str">
            <v>MAURICIO</v>
          </cell>
          <cell r="M981" t="str">
            <v>PASS</v>
          </cell>
          <cell r="N981" t="str">
            <v>CONCENTRICIDAD</v>
          </cell>
        </row>
        <row r="982">
          <cell r="A982">
            <v>20230979</v>
          </cell>
          <cell r="B982">
            <v>44967</v>
          </cell>
          <cell r="C982">
            <v>1</v>
          </cell>
          <cell r="D982" t="str">
            <v>720-1</v>
          </cell>
          <cell r="E982" t="str">
            <v>SPR8</v>
          </cell>
          <cell r="F982" t="str">
            <v>34296437C</v>
          </cell>
          <cell r="G982" t="str">
            <v>4022IFB1</v>
          </cell>
          <cell r="H982" t="str">
            <v>OVALIDAD</v>
          </cell>
          <cell r="I982">
            <v>12</v>
          </cell>
          <cell r="J982" t="str">
            <v>EVELYN ESTUDILLO</v>
          </cell>
          <cell r="K982">
            <v>44967</v>
          </cell>
          <cell r="L982" t="str">
            <v>MAURICIO</v>
          </cell>
          <cell r="M982" t="str">
            <v>PASS</v>
          </cell>
          <cell r="N982" t="str">
            <v>OVALIDAD</v>
          </cell>
        </row>
        <row r="983">
          <cell r="A983">
            <v>20230980</v>
          </cell>
          <cell r="B983">
            <v>44967</v>
          </cell>
          <cell r="C983">
            <v>1</v>
          </cell>
          <cell r="D983" t="str">
            <v>720-2</v>
          </cell>
          <cell r="E983" t="str">
            <v>SPR8</v>
          </cell>
          <cell r="F983" t="str">
            <v>34301470D</v>
          </cell>
          <cell r="G983" t="str">
            <v>4022IFB3</v>
          </cell>
          <cell r="H983" t="str">
            <v>OVALIDAD</v>
          </cell>
          <cell r="I983">
            <v>12</v>
          </cell>
          <cell r="J983" t="str">
            <v>EVELYN ESTUDILLO</v>
          </cell>
          <cell r="K983">
            <v>44967</v>
          </cell>
          <cell r="L983" t="str">
            <v>MAURICIO</v>
          </cell>
          <cell r="M983" t="str">
            <v>PASS</v>
          </cell>
          <cell r="N983" t="str">
            <v>OVALIDAD</v>
          </cell>
        </row>
        <row r="984">
          <cell r="A984">
            <v>20230981</v>
          </cell>
          <cell r="B984">
            <v>44967</v>
          </cell>
          <cell r="C984">
            <v>1</v>
          </cell>
          <cell r="D984" t="str">
            <v>720-3</v>
          </cell>
          <cell r="E984" t="str">
            <v>SPR8</v>
          </cell>
          <cell r="F984" t="str">
            <v>34235233G</v>
          </cell>
          <cell r="G984" t="str">
            <v>4022IFB1</v>
          </cell>
          <cell r="H984" t="str">
            <v>OVALIDAD</v>
          </cell>
          <cell r="I984">
            <v>18</v>
          </cell>
          <cell r="J984" t="str">
            <v>EVELYN ESTUDILLO</v>
          </cell>
          <cell r="K984">
            <v>44967</v>
          </cell>
          <cell r="L984" t="str">
            <v>MAURICIO</v>
          </cell>
          <cell r="M984" t="str">
            <v>PASS</v>
          </cell>
          <cell r="N984" t="str">
            <v>OVALIDAD</v>
          </cell>
        </row>
        <row r="985">
          <cell r="A985">
            <v>20230982</v>
          </cell>
          <cell r="B985">
            <v>44967</v>
          </cell>
          <cell r="C985">
            <v>1</v>
          </cell>
          <cell r="D985" t="str">
            <v>720-4</v>
          </cell>
          <cell r="E985" t="str">
            <v>SPR8</v>
          </cell>
          <cell r="F985" t="str">
            <v>34361270A</v>
          </cell>
          <cell r="G985" t="str">
            <v>22301A</v>
          </cell>
          <cell r="H985" t="str">
            <v>OVALIDAD</v>
          </cell>
          <cell r="I985">
            <v>12</v>
          </cell>
          <cell r="J985" t="str">
            <v>EVELYN ESTUDILLO</v>
          </cell>
          <cell r="K985">
            <v>44967</v>
          </cell>
          <cell r="L985" t="str">
            <v>MAURICIO</v>
          </cell>
          <cell r="M985" t="str">
            <v>PASS</v>
          </cell>
          <cell r="N985" t="str">
            <v>OVALIDAD</v>
          </cell>
        </row>
        <row r="986">
          <cell r="A986">
            <v>20230983</v>
          </cell>
          <cell r="B986">
            <v>44967</v>
          </cell>
          <cell r="C986">
            <v>1</v>
          </cell>
          <cell r="D986" t="str">
            <v>720-5</v>
          </cell>
          <cell r="E986" t="str">
            <v>SPR8</v>
          </cell>
          <cell r="F986" t="str">
            <v>34364566B</v>
          </cell>
          <cell r="G986" t="str">
            <v>4022IFB3</v>
          </cell>
          <cell r="H986" t="str">
            <v>OVALIDAD</v>
          </cell>
          <cell r="I986">
            <v>12</v>
          </cell>
          <cell r="J986" t="str">
            <v>EVELYN ESTUDILLO</v>
          </cell>
          <cell r="K986">
            <v>44967</v>
          </cell>
          <cell r="L986" t="str">
            <v>MAURICIO</v>
          </cell>
          <cell r="M986" t="str">
            <v>PASS</v>
          </cell>
          <cell r="N986" t="str">
            <v>OVALIDAD</v>
          </cell>
        </row>
        <row r="987">
          <cell r="A987">
            <v>20230984</v>
          </cell>
          <cell r="B987">
            <v>44967</v>
          </cell>
          <cell r="C987">
            <v>1</v>
          </cell>
          <cell r="D987" t="str">
            <v>720-6</v>
          </cell>
          <cell r="E987" t="str">
            <v>SPR8</v>
          </cell>
          <cell r="F987" t="str">
            <v>A020R623B</v>
          </cell>
          <cell r="G987" t="str">
            <v>4022IFB1</v>
          </cell>
          <cell r="H987" t="str">
            <v>OVALIDAD</v>
          </cell>
          <cell r="I987">
            <v>12</v>
          </cell>
          <cell r="J987" t="str">
            <v>EVELYN ESTUDILLO</v>
          </cell>
          <cell r="K987">
            <v>44967</v>
          </cell>
          <cell r="L987" t="str">
            <v>MAURICIO</v>
          </cell>
          <cell r="M987" t="str">
            <v>PASS</v>
          </cell>
          <cell r="N987" t="str">
            <v>OVALIDAD</v>
          </cell>
        </row>
        <row r="988">
          <cell r="A988">
            <v>20230985</v>
          </cell>
          <cell r="B988">
            <v>44967</v>
          </cell>
          <cell r="C988">
            <v>1</v>
          </cell>
          <cell r="D988" t="str">
            <v>N/A</v>
          </cell>
          <cell r="E988" t="str">
            <v>N/A</v>
          </cell>
          <cell r="F988" t="str">
            <v>A025V628ABB</v>
          </cell>
          <cell r="G988" t="str">
            <v>0313</v>
          </cell>
          <cell r="H988" t="str">
            <v xml:space="preserve">Conforme al rip </v>
          </cell>
          <cell r="I988">
            <v>5</v>
          </cell>
          <cell r="J988" t="str">
            <v>Nuevos programas</v>
          </cell>
          <cell r="K988">
            <v>44967</v>
          </cell>
          <cell r="L988" t="str">
            <v xml:space="preserve">Adela </v>
          </cell>
          <cell r="M988" t="str">
            <v>PASS</v>
          </cell>
          <cell r="N988" t="str">
            <v>N/A</v>
          </cell>
        </row>
        <row r="989">
          <cell r="A989">
            <v>20230986</v>
          </cell>
          <cell r="B989">
            <v>44967</v>
          </cell>
          <cell r="C989">
            <v>1</v>
          </cell>
          <cell r="D989" t="str">
            <v>N/A</v>
          </cell>
          <cell r="E989" t="str">
            <v>N/A</v>
          </cell>
          <cell r="F989" t="str">
            <v>A025V627ABB</v>
          </cell>
          <cell r="G989" t="str">
            <v>0313</v>
          </cell>
          <cell r="H989" t="str">
            <v xml:space="preserve">Conforme al rip </v>
          </cell>
          <cell r="I989">
            <v>5</v>
          </cell>
          <cell r="J989" t="str">
            <v>Nuevos programas</v>
          </cell>
          <cell r="K989">
            <v>44967</v>
          </cell>
          <cell r="L989" t="str">
            <v xml:space="preserve">Adela </v>
          </cell>
          <cell r="M989" t="str">
            <v>PASS</v>
          </cell>
          <cell r="N989" t="str">
            <v>N/A</v>
          </cell>
        </row>
        <row r="990">
          <cell r="A990">
            <v>20230987</v>
          </cell>
          <cell r="B990">
            <v>44967</v>
          </cell>
          <cell r="C990">
            <v>1</v>
          </cell>
          <cell r="D990" t="str">
            <v>713-B</v>
          </cell>
          <cell r="E990" t="str">
            <v>NISSAN</v>
          </cell>
          <cell r="F990" t="str">
            <v>A027Y955A</v>
          </cell>
          <cell r="G990" t="str">
            <v>N/A</v>
          </cell>
          <cell r="H990" t="str">
            <v>DIMENSION Z</v>
          </cell>
          <cell r="I990">
            <v>12</v>
          </cell>
          <cell r="J990" t="str">
            <v>LILIANA VARELA</v>
          </cell>
          <cell r="K990">
            <v>44967</v>
          </cell>
          <cell r="L990" t="str">
            <v>MAURICIO</v>
          </cell>
          <cell r="M990" t="str">
            <v>PASS</v>
          </cell>
          <cell r="N990" t="str">
            <v>PLANO MARCADO</v>
          </cell>
        </row>
        <row r="991">
          <cell r="A991">
            <v>20230988</v>
          </cell>
          <cell r="B991">
            <v>44967</v>
          </cell>
          <cell r="C991">
            <v>1</v>
          </cell>
          <cell r="D991" t="str">
            <v>N/A</v>
          </cell>
          <cell r="E991" t="str">
            <v>N/A</v>
          </cell>
          <cell r="F991" t="str">
            <v>34100151D</v>
          </cell>
          <cell r="G991" t="str">
            <v>N/A</v>
          </cell>
          <cell r="H991">
            <v>273274</v>
          </cell>
          <cell r="I991">
            <v>5</v>
          </cell>
          <cell r="J991" t="str">
            <v>Javier Bautista</v>
          </cell>
          <cell r="K991">
            <v>44967</v>
          </cell>
          <cell r="L991" t="str">
            <v>Nohemi</v>
          </cell>
          <cell r="M991" t="str">
            <v>PASS</v>
          </cell>
          <cell r="N991" t="str">
            <v>CH34100156 A29</v>
          </cell>
        </row>
        <row r="992">
          <cell r="A992">
            <v>20230989</v>
          </cell>
          <cell r="B992">
            <v>44967</v>
          </cell>
          <cell r="C992">
            <v>1</v>
          </cell>
          <cell r="D992" t="str">
            <v>N/A</v>
          </cell>
          <cell r="E992" t="str">
            <v>N/A</v>
          </cell>
          <cell r="F992" t="str">
            <v>34149989C</v>
          </cell>
          <cell r="G992" t="str">
            <v>N/A</v>
          </cell>
          <cell r="H992">
            <v>273274</v>
          </cell>
          <cell r="I992">
            <v>5</v>
          </cell>
          <cell r="J992" t="str">
            <v>Javier Bautista</v>
          </cell>
          <cell r="K992">
            <v>44967</v>
          </cell>
          <cell r="L992" t="str">
            <v>Nohemi</v>
          </cell>
          <cell r="M992" t="str">
            <v>PASS</v>
          </cell>
          <cell r="N992" t="str">
            <v>CH34100156 A29</v>
          </cell>
        </row>
        <row r="993">
          <cell r="A993">
            <v>20230990</v>
          </cell>
          <cell r="B993">
            <v>44967</v>
          </cell>
          <cell r="C993">
            <v>1</v>
          </cell>
          <cell r="D993" t="str">
            <v>N/A</v>
          </cell>
          <cell r="E993" t="str">
            <v>N/A</v>
          </cell>
          <cell r="F993" t="str">
            <v>AC33028895ADSF</v>
          </cell>
          <cell r="G993" t="str">
            <v>020823</v>
          </cell>
          <cell r="H993" t="str">
            <v xml:space="preserve">Conforme al rip </v>
          </cell>
          <cell r="I993">
            <v>5</v>
          </cell>
          <cell r="J993" t="str">
            <v>Nuevos programas</v>
          </cell>
          <cell r="K993">
            <v>44967</v>
          </cell>
          <cell r="L993" t="str">
            <v xml:space="preserve">Adela </v>
          </cell>
          <cell r="M993" t="str">
            <v>NO PASS</v>
          </cell>
          <cell r="N993" t="str">
            <v>N/A</v>
          </cell>
        </row>
        <row r="994">
          <cell r="A994">
            <v>20230991</v>
          </cell>
          <cell r="B994">
            <v>44967</v>
          </cell>
          <cell r="C994">
            <v>1</v>
          </cell>
          <cell r="D994" t="str">
            <v>720-2</v>
          </cell>
          <cell r="E994" t="str">
            <v>SPR8</v>
          </cell>
          <cell r="F994" t="str">
            <v>34235234G</v>
          </cell>
          <cell r="G994" t="str">
            <v>40221B3</v>
          </cell>
          <cell r="H994" t="str">
            <v>CONCENTRICIDAD</v>
          </cell>
          <cell r="I994">
            <v>12</v>
          </cell>
          <cell r="J994" t="str">
            <v>EVELYN ESTUDILLO</v>
          </cell>
          <cell r="K994">
            <v>44967</v>
          </cell>
          <cell r="L994" t="str">
            <v>Luis</v>
          </cell>
          <cell r="M994" t="str">
            <v>PASS</v>
          </cell>
          <cell r="N994" t="str">
            <v>Collet 22121022</v>
          </cell>
        </row>
        <row r="995">
          <cell r="A995">
            <v>20230992</v>
          </cell>
          <cell r="B995">
            <v>44967</v>
          </cell>
          <cell r="C995">
            <v>1</v>
          </cell>
          <cell r="D995" t="str">
            <v>720-5</v>
          </cell>
          <cell r="E995" t="str">
            <v>SPR8</v>
          </cell>
          <cell r="F995" t="str">
            <v>34324760D</v>
          </cell>
          <cell r="G995" t="str">
            <v>40221B3</v>
          </cell>
          <cell r="H995" t="str">
            <v>CONCENTRICIDAD</v>
          </cell>
          <cell r="I995">
            <v>12</v>
          </cell>
          <cell r="J995" t="str">
            <v>EVELYN ESTUDILLO</v>
          </cell>
          <cell r="K995">
            <v>44967</v>
          </cell>
          <cell r="L995" t="str">
            <v>Luis</v>
          </cell>
          <cell r="M995" t="str">
            <v>PASS</v>
          </cell>
          <cell r="N995" t="str">
            <v>Inicio 2 Turno</v>
          </cell>
        </row>
        <row r="996">
          <cell r="A996">
            <v>20230993</v>
          </cell>
          <cell r="B996">
            <v>44967</v>
          </cell>
          <cell r="C996">
            <v>1</v>
          </cell>
          <cell r="D996" t="str">
            <v>720-2</v>
          </cell>
          <cell r="E996" t="str">
            <v>SPR8</v>
          </cell>
          <cell r="F996" t="str">
            <v>34235234G</v>
          </cell>
          <cell r="G996" t="str">
            <v>40221B3</v>
          </cell>
          <cell r="H996" t="str">
            <v>CONCENTRICIDAD</v>
          </cell>
          <cell r="I996">
            <v>12</v>
          </cell>
          <cell r="J996" t="str">
            <v>EVELYN ESTUDILLO</v>
          </cell>
          <cell r="K996">
            <v>44967</v>
          </cell>
          <cell r="L996" t="str">
            <v>Luis</v>
          </cell>
          <cell r="M996" t="str">
            <v>PASS</v>
          </cell>
          <cell r="N996" t="str">
            <v>Inicio 2 Turno</v>
          </cell>
        </row>
        <row r="997">
          <cell r="A997">
            <v>20230994</v>
          </cell>
          <cell r="B997">
            <v>44967</v>
          </cell>
          <cell r="C997">
            <v>1</v>
          </cell>
          <cell r="D997" t="str">
            <v>720-2</v>
          </cell>
          <cell r="E997" t="str">
            <v>SPR8</v>
          </cell>
          <cell r="F997" t="str">
            <v>34235234G</v>
          </cell>
          <cell r="G997" t="str">
            <v>40221B3</v>
          </cell>
          <cell r="H997" t="str">
            <v>OVALIDAD</v>
          </cell>
          <cell r="I997">
            <v>12</v>
          </cell>
          <cell r="J997" t="str">
            <v>EVELYN ESTUDILLO</v>
          </cell>
          <cell r="K997">
            <v>44967</v>
          </cell>
          <cell r="L997" t="str">
            <v>Luis</v>
          </cell>
          <cell r="M997" t="str">
            <v>PASS</v>
          </cell>
          <cell r="N997" t="str">
            <v>Collet 22121022</v>
          </cell>
        </row>
        <row r="998">
          <cell r="A998">
            <v>20230995</v>
          </cell>
          <cell r="B998">
            <v>44967</v>
          </cell>
          <cell r="C998">
            <v>1</v>
          </cell>
          <cell r="D998" t="str">
            <v>720-5</v>
          </cell>
          <cell r="E998" t="str">
            <v>SPR8</v>
          </cell>
          <cell r="F998" t="str">
            <v>34324760D</v>
          </cell>
          <cell r="G998" t="str">
            <v>40221B3</v>
          </cell>
          <cell r="H998" t="str">
            <v>OVALIDAD</v>
          </cell>
          <cell r="I998">
            <v>12</v>
          </cell>
          <cell r="J998" t="str">
            <v>EVELYN ESTUDILLO</v>
          </cell>
          <cell r="K998">
            <v>44967</v>
          </cell>
          <cell r="L998" t="str">
            <v>Luis</v>
          </cell>
          <cell r="M998" t="str">
            <v>PASS</v>
          </cell>
          <cell r="N998" t="str">
            <v>Inicio 2 Turno</v>
          </cell>
        </row>
        <row r="999">
          <cell r="A999">
            <v>20230996</v>
          </cell>
          <cell r="B999">
            <v>44967</v>
          </cell>
          <cell r="C999">
            <v>1</v>
          </cell>
          <cell r="D999" t="str">
            <v>720-2</v>
          </cell>
          <cell r="E999" t="str">
            <v>SPR8</v>
          </cell>
          <cell r="F999" t="str">
            <v>34235234G</v>
          </cell>
          <cell r="G999" t="str">
            <v>40221B3</v>
          </cell>
          <cell r="H999" t="str">
            <v>OVALIDAD</v>
          </cell>
          <cell r="I999">
            <v>12</v>
          </cell>
          <cell r="J999" t="str">
            <v>EVELYN ESTUDILLO</v>
          </cell>
          <cell r="K999">
            <v>44967</v>
          </cell>
          <cell r="L999" t="str">
            <v>Luis</v>
          </cell>
          <cell r="M999" t="str">
            <v>PASS</v>
          </cell>
          <cell r="N999" t="str">
            <v>Inicio 2 Turno</v>
          </cell>
        </row>
        <row r="1000">
          <cell r="A1000">
            <v>20230997</v>
          </cell>
          <cell r="B1000">
            <v>44967</v>
          </cell>
          <cell r="C1000">
            <v>2</v>
          </cell>
          <cell r="D1000" t="str">
            <v>720-6</v>
          </cell>
          <cell r="E1000" t="str">
            <v>SPR8</v>
          </cell>
          <cell r="F1000" t="str">
            <v>A020R615B</v>
          </cell>
          <cell r="G1000" t="str">
            <v>N/A</v>
          </cell>
          <cell r="H1000" t="str">
            <v>CONCENTRICIDAD</v>
          </cell>
          <cell r="I1000">
            <v>12</v>
          </cell>
          <cell r="J1000" t="str">
            <v>Augusto Rdz</v>
          </cell>
          <cell r="K1000">
            <v>44967</v>
          </cell>
          <cell r="L1000" t="str">
            <v>ERNESTO</v>
          </cell>
          <cell r="M1000" t="str">
            <v>PASS</v>
          </cell>
          <cell r="N1000" t="str">
            <v>CONCENTRICIDAD</v>
          </cell>
        </row>
        <row r="1001">
          <cell r="A1001">
            <v>20230998</v>
          </cell>
          <cell r="B1001">
            <v>44967</v>
          </cell>
          <cell r="C1001">
            <v>2</v>
          </cell>
          <cell r="D1001" t="str">
            <v>720-6</v>
          </cell>
          <cell r="E1001" t="str">
            <v>SPR8</v>
          </cell>
          <cell r="F1001" t="str">
            <v>A020R615B</v>
          </cell>
          <cell r="G1001" t="str">
            <v>N/A</v>
          </cell>
          <cell r="H1001" t="str">
            <v>OVALIDAD</v>
          </cell>
          <cell r="I1001">
            <v>12</v>
          </cell>
          <cell r="J1001" t="str">
            <v>Augusto Rdz</v>
          </cell>
          <cell r="K1001">
            <v>44967</v>
          </cell>
          <cell r="L1001" t="str">
            <v>ERNESTO</v>
          </cell>
          <cell r="M1001" t="str">
            <v>PASS</v>
          </cell>
          <cell r="N1001" t="str">
            <v>OVALIDAD</v>
          </cell>
        </row>
        <row r="1002">
          <cell r="A1002">
            <v>20230999</v>
          </cell>
          <cell r="B1002">
            <v>44967</v>
          </cell>
          <cell r="C1002">
            <v>2</v>
          </cell>
          <cell r="D1002" t="str">
            <v>720-1</v>
          </cell>
          <cell r="E1002" t="str">
            <v>SPR8</v>
          </cell>
          <cell r="F1002" t="str">
            <v>34324758A</v>
          </cell>
          <cell r="G1002" t="str">
            <v>N/A</v>
          </cell>
          <cell r="H1002" t="str">
            <v>CONCENTRICIDAD</v>
          </cell>
          <cell r="I1002">
            <v>12</v>
          </cell>
          <cell r="J1002" t="str">
            <v>Augusto Rdz</v>
          </cell>
          <cell r="K1002">
            <v>44967</v>
          </cell>
          <cell r="L1002" t="str">
            <v>Carlos</v>
          </cell>
          <cell r="M1002" t="str">
            <v>PASS</v>
          </cell>
          <cell r="N1002"/>
        </row>
        <row r="1003">
          <cell r="A1003">
            <v>20231000</v>
          </cell>
          <cell r="B1003">
            <v>44967</v>
          </cell>
          <cell r="C1003">
            <v>2</v>
          </cell>
          <cell r="D1003" t="str">
            <v>720-3</v>
          </cell>
          <cell r="E1003" t="str">
            <v>SPR8</v>
          </cell>
          <cell r="F1003" t="str">
            <v>34235231G</v>
          </cell>
          <cell r="G1003" t="str">
            <v>N/A</v>
          </cell>
          <cell r="H1003" t="str">
            <v>CONCENTRICIDAD</v>
          </cell>
          <cell r="I1003">
            <v>12</v>
          </cell>
          <cell r="J1003" t="str">
            <v>Augusto Rdz</v>
          </cell>
          <cell r="K1003">
            <v>44967</v>
          </cell>
          <cell r="L1003" t="str">
            <v>Carlos</v>
          </cell>
          <cell r="M1003" t="str">
            <v>PASS</v>
          </cell>
          <cell r="N1003"/>
        </row>
        <row r="1004">
          <cell r="A1004">
            <v>20231001</v>
          </cell>
          <cell r="B1004">
            <v>44967</v>
          </cell>
          <cell r="C1004">
            <v>2</v>
          </cell>
          <cell r="D1004" t="str">
            <v>720-4</v>
          </cell>
          <cell r="E1004" t="str">
            <v>SPR8</v>
          </cell>
          <cell r="F1004" t="str">
            <v>34361270A</v>
          </cell>
          <cell r="G1004" t="str">
            <v>N/A</v>
          </cell>
          <cell r="H1004" t="str">
            <v>CONCENTRICIDAD</v>
          </cell>
          <cell r="I1004">
            <v>12</v>
          </cell>
          <cell r="J1004" t="str">
            <v>Augusto Rdz</v>
          </cell>
          <cell r="K1004">
            <v>44967</v>
          </cell>
          <cell r="L1004" t="str">
            <v>Carlos</v>
          </cell>
          <cell r="M1004" t="str">
            <v>PASS</v>
          </cell>
          <cell r="N1004"/>
        </row>
        <row r="1005">
          <cell r="A1005">
            <v>20231002</v>
          </cell>
          <cell r="B1005">
            <v>44967</v>
          </cell>
          <cell r="C1005">
            <v>2</v>
          </cell>
          <cell r="D1005" t="str">
            <v>720-1</v>
          </cell>
          <cell r="E1005" t="str">
            <v>SPR8</v>
          </cell>
          <cell r="F1005" t="str">
            <v>34324758A</v>
          </cell>
          <cell r="G1005" t="str">
            <v>N/A</v>
          </cell>
          <cell r="H1005" t="str">
            <v>OVALIDAD</v>
          </cell>
          <cell r="I1005">
            <v>12</v>
          </cell>
          <cell r="J1005" t="str">
            <v>Augusto Rdz</v>
          </cell>
          <cell r="K1005">
            <v>44967</v>
          </cell>
          <cell r="L1005" t="str">
            <v>Carlos</v>
          </cell>
          <cell r="M1005" t="str">
            <v>PASS</v>
          </cell>
          <cell r="N1005"/>
        </row>
        <row r="1006">
          <cell r="A1006">
            <v>20231003</v>
          </cell>
          <cell r="B1006">
            <v>44967</v>
          </cell>
          <cell r="C1006">
            <v>2</v>
          </cell>
          <cell r="D1006" t="str">
            <v>720-3</v>
          </cell>
          <cell r="E1006" t="str">
            <v>SPR8</v>
          </cell>
          <cell r="F1006" t="str">
            <v>34235231G</v>
          </cell>
          <cell r="G1006" t="str">
            <v>N/A</v>
          </cell>
          <cell r="H1006" t="str">
            <v>OVALIDAD</v>
          </cell>
          <cell r="I1006">
            <v>12</v>
          </cell>
          <cell r="J1006" t="str">
            <v>Augusto Rdz</v>
          </cell>
          <cell r="K1006">
            <v>44967</v>
          </cell>
          <cell r="L1006" t="str">
            <v>Carlos</v>
          </cell>
          <cell r="M1006" t="str">
            <v>PASS</v>
          </cell>
          <cell r="N1006"/>
        </row>
        <row r="1007">
          <cell r="A1007">
            <v>20231004</v>
          </cell>
          <cell r="B1007">
            <v>44967</v>
          </cell>
          <cell r="C1007">
            <v>2</v>
          </cell>
          <cell r="D1007" t="str">
            <v>720-4</v>
          </cell>
          <cell r="E1007" t="str">
            <v>SPR8</v>
          </cell>
          <cell r="F1007" t="str">
            <v>34361270A</v>
          </cell>
          <cell r="G1007" t="str">
            <v>N/A</v>
          </cell>
          <cell r="H1007" t="str">
            <v>OVALIDAD</v>
          </cell>
          <cell r="I1007">
            <v>12</v>
          </cell>
          <cell r="J1007" t="str">
            <v>Augusto Rdz</v>
          </cell>
          <cell r="K1007">
            <v>44967</v>
          </cell>
          <cell r="L1007" t="str">
            <v>Carlos</v>
          </cell>
          <cell r="M1007" t="str">
            <v>PASS</v>
          </cell>
          <cell r="N1007"/>
        </row>
        <row r="1008">
          <cell r="A1008">
            <v>20231005</v>
          </cell>
          <cell r="B1008">
            <v>44967</v>
          </cell>
          <cell r="C1008">
            <v>1</v>
          </cell>
          <cell r="D1008" t="str">
            <v>720-2</v>
          </cell>
          <cell r="E1008" t="str">
            <v>SPR8</v>
          </cell>
          <cell r="F1008" t="str">
            <v>34296438C</v>
          </cell>
          <cell r="G1008" t="str">
            <v>N/A</v>
          </cell>
          <cell r="H1008" t="str">
            <v>CONCENTRICIDAD</v>
          </cell>
          <cell r="I1008">
            <v>6</v>
          </cell>
          <cell r="J1008" t="str">
            <v>Augusto Rdz</v>
          </cell>
          <cell r="K1008">
            <v>44967</v>
          </cell>
          <cell r="L1008" t="str">
            <v>Jose</v>
          </cell>
          <cell r="M1008" t="str">
            <v>PASS</v>
          </cell>
          <cell r="N1008" t="str">
            <v>CONCENTRICIDAD</v>
          </cell>
        </row>
        <row r="1009">
          <cell r="A1009">
            <v>20231006</v>
          </cell>
          <cell r="B1009">
            <v>44967</v>
          </cell>
          <cell r="C1009">
            <v>1</v>
          </cell>
          <cell r="D1009" t="str">
            <v>720-2</v>
          </cell>
          <cell r="E1009" t="str">
            <v>SPR8</v>
          </cell>
          <cell r="F1009" t="str">
            <v>34296438C</v>
          </cell>
          <cell r="G1009" t="str">
            <v>N/A</v>
          </cell>
          <cell r="H1009" t="str">
            <v>OVALIDAD</v>
          </cell>
          <cell r="I1009">
            <v>6</v>
          </cell>
          <cell r="J1009" t="str">
            <v>Augusto Rdz</v>
          </cell>
          <cell r="K1009">
            <v>44967</v>
          </cell>
          <cell r="L1009" t="str">
            <v>Jose</v>
          </cell>
          <cell r="M1009" t="str">
            <v>PASS</v>
          </cell>
          <cell r="N1009" t="str">
            <v>OVALIDAD</v>
          </cell>
        </row>
        <row r="1010">
          <cell r="A1010">
            <v>20231007</v>
          </cell>
          <cell r="B1010">
            <v>44968</v>
          </cell>
          <cell r="C1010">
            <v>1</v>
          </cell>
          <cell r="D1010" t="str">
            <v>720-1</v>
          </cell>
          <cell r="E1010" t="str">
            <v>SPR8</v>
          </cell>
          <cell r="F1010" t="str">
            <v>34306788D</v>
          </cell>
          <cell r="G1010" t="str">
            <v>N/A</v>
          </cell>
          <cell r="H1010" t="str">
            <v>CONCENTRICIDAD</v>
          </cell>
          <cell r="I1010">
            <v>12</v>
          </cell>
          <cell r="J1010" t="str">
            <v>EVELYN ESTUDILLO</v>
          </cell>
          <cell r="K1010">
            <v>44968</v>
          </cell>
          <cell r="L1010" t="str">
            <v>MAURICIO</v>
          </cell>
          <cell r="M1010" t="str">
            <v>PASS</v>
          </cell>
          <cell r="N1010" t="str">
            <v>CONCENTRICIDAD</v>
          </cell>
        </row>
        <row r="1011">
          <cell r="A1011">
            <v>20231008</v>
          </cell>
          <cell r="B1011">
            <v>44968</v>
          </cell>
          <cell r="C1011">
            <v>1</v>
          </cell>
          <cell r="D1011" t="str">
            <v>720-3</v>
          </cell>
          <cell r="E1011" t="str">
            <v>SPR8</v>
          </cell>
          <cell r="F1011" t="str">
            <v>34235232G</v>
          </cell>
          <cell r="G1011" t="str">
            <v>N/A</v>
          </cell>
          <cell r="H1011" t="str">
            <v>CONCENTRICIDAD</v>
          </cell>
          <cell r="I1011">
            <v>12</v>
          </cell>
          <cell r="J1011" t="str">
            <v>EVELYN ESTUDILLO</v>
          </cell>
          <cell r="K1011">
            <v>44968</v>
          </cell>
          <cell r="L1011" t="str">
            <v>MAURICIO</v>
          </cell>
          <cell r="M1011" t="str">
            <v>PASS</v>
          </cell>
          <cell r="N1011" t="str">
            <v>CONCENTRICIDAD</v>
          </cell>
        </row>
        <row r="1012">
          <cell r="A1012">
            <v>20231009</v>
          </cell>
          <cell r="B1012">
            <v>44968</v>
          </cell>
          <cell r="C1012">
            <v>1</v>
          </cell>
          <cell r="D1012" t="str">
            <v>720-2</v>
          </cell>
          <cell r="E1012" t="str">
            <v>SPR8</v>
          </cell>
          <cell r="F1012" t="str">
            <v>34246438C</v>
          </cell>
          <cell r="G1012" t="str">
            <v>N/A</v>
          </cell>
          <cell r="H1012" t="str">
            <v>CONCENTRICIDAD</v>
          </cell>
          <cell r="I1012">
            <v>12</v>
          </cell>
          <cell r="J1012" t="str">
            <v>EVELYN ESTUDILLO</v>
          </cell>
          <cell r="K1012">
            <v>44968</v>
          </cell>
          <cell r="L1012" t="str">
            <v>MAURICIO</v>
          </cell>
          <cell r="M1012" t="str">
            <v>PASS</v>
          </cell>
          <cell r="N1012" t="str">
            <v>CONCENTRICIDAD</v>
          </cell>
        </row>
        <row r="1013">
          <cell r="A1013">
            <v>20231010</v>
          </cell>
          <cell r="B1013">
            <v>44968</v>
          </cell>
          <cell r="C1013">
            <v>1</v>
          </cell>
          <cell r="D1013" t="str">
            <v>720-5</v>
          </cell>
          <cell r="E1013" t="str">
            <v>SPR8</v>
          </cell>
          <cell r="F1013" t="str">
            <v>34364565B</v>
          </cell>
          <cell r="G1013" t="str">
            <v>N/A</v>
          </cell>
          <cell r="H1013" t="str">
            <v>CONCENTRICIDAD</v>
          </cell>
          <cell r="I1013">
            <v>12</v>
          </cell>
          <cell r="J1013" t="str">
            <v>EVELYN ESTUDILLO</v>
          </cell>
          <cell r="K1013">
            <v>44968</v>
          </cell>
          <cell r="L1013" t="str">
            <v>MAURICIO</v>
          </cell>
          <cell r="M1013" t="str">
            <v>PASS</v>
          </cell>
          <cell r="N1013" t="str">
            <v>CONCENTRICIDAD</v>
          </cell>
        </row>
        <row r="1014">
          <cell r="A1014">
            <v>20231011</v>
          </cell>
          <cell r="B1014">
            <v>44968</v>
          </cell>
          <cell r="C1014">
            <v>1</v>
          </cell>
          <cell r="D1014" t="str">
            <v>720-4</v>
          </cell>
          <cell r="E1014" t="str">
            <v>SPR8</v>
          </cell>
          <cell r="F1014" t="str">
            <v>34361271A</v>
          </cell>
          <cell r="G1014" t="str">
            <v>N/A</v>
          </cell>
          <cell r="H1014" t="str">
            <v>CONCENTRICIDAD</v>
          </cell>
          <cell r="I1014">
            <v>12</v>
          </cell>
          <cell r="J1014" t="str">
            <v>EVELYN ESTUDILLO</v>
          </cell>
          <cell r="K1014">
            <v>44968</v>
          </cell>
          <cell r="L1014" t="str">
            <v>MAURICIO</v>
          </cell>
          <cell r="M1014" t="str">
            <v>PASS</v>
          </cell>
          <cell r="N1014" t="str">
            <v>CONCENTRICIDAD</v>
          </cell>
        </row>
        <row r="1015">
          <cell r="A1015">
            <v>20231012</v>
          </cell>
          <cell r="B1015">
            <v>44968</v>
          </cell>
          <cell r="C1015">
            <v>1</v>
          </cell>
          <cell r="D1015" t="str">
            <v>720-3</v>
          </cell>
          <cell r="E1015" t="str">
            <v>SPR8</v>
          </cell>
          <cell r="F1015" t="str">
            <v>A023P560B</v>
          </cell>
          <cell r="G1015" t="str">
            <v>N/A</v>
          </cell>
          <cell r="H1015" t="str">
            <v>DLN CONCENTRICIDAD</v>
          </cell>
          <cell r="I1015">
            <v>12</v>
          </cell>
          <cell r="J1015" t="str">
            <v>EVELYN ESTUDILLO</v>
          </cell>
          <cell r="K1015">
            <v>44968</v>
          </cell>
          <cell r="L1015" t="str">
            <v>MAURICIO</v>
          </cell>
          <cell r="M1015" t="str">
            <v>PASS</v>
          </cell>
          <cell r="N1015" t="str">
            <v>CONCENTRICIDAD</v>
          </cell>
        </row>
        <row r="1016">
          <cell r="A1016">
            <v>20231013</v>
          </cell>
          <cell r="B1016">
            <v>44968</v>
          </cell>
          <cell r="C1016">
            <v>1</v>
          </cell>
          <cell r="D1016" t="str">
            <v>720-1</v>
          </cell>
          <cell r="E1016" t="str">
            <v>SPR8</v>
          </cell>
          <cell r="F1016" t="str">
            <v>34306788D</v>
          </cell>
          <cell r="G1016" t="str">
            <v>N/A</v>
          </cell>
          <cell r="H1016" t="str">
            <v>OVALIDAD</v>
          </cell>
          <cell r="I1016">
            <v>12</v>
          </cell>
          <cell r="J1016" t="str">
            <v>EVELYN ESTUDILLO</v>
          </cell>
          <cell r="K1016">
            <v>44968</v>
          </cell>
          <cell r="L1016" t="str">
            <v>MAURICIO</v>
          </cell>
          <cell r="M1016" t="str">
            <v>PASS</v>
          </cell>
          <cell r="N1016" t="str">
            <v>OVALIDAD</v>
          </cell>
        </row>
        <row r="1017">
          <cell r="A1017">
            <v>20231014</v>
          </cell>
          <cell r="B1017">
            <v>44968</v>
          </cell>
          <cell r="C1017">
            <v>1</v>
          </cell>
          <cell r="D1017" t="str">
            <v>720-3</v>
          </cell>
          <cell r="E1017" t="str">
            <v>SPR8</v>
          </cell>
          <cell r="F1017" t="str">
            <v>34235232G</v>
          </cell>
          <cell r="G1017" t="str">
            <v>N/A</v>
          </cell>
          <cell r="H1017" t="str">
            <v>OVALIDAD</v>
          </cell>
          <cell r="I1017">
            <v>12</v>
          </cell>
          <cell r="J1017" t="str">
            <v>EVELYN ESTUDILLO</v>
          </cell>
          <cell r="K1017">
            <v>44968</v>
          </cell>
          <cell r="L1017" t="str">
            <v>MAURICIO</v>
          </cell>
          <cell r="M1017" t="str">
            <v>PASS</v>
          </cell>
          <cell r="N1017" t="str">
            <v>OVALIDAD</v>
          </cell>
        </row>
        <row r="1018">
          <cell r="A1018">
            <v>20231015</v>
          </cell>
          <cell r="B1018">
            <v>44968</v>
          </cell>
          <cell r="C1018">
            <v>1</v>
          </cell>
          <cell r="D1018" t="str">
            <v>720-2</v>
          </cell>
          <cell r="E1018" t="str">
            <v>SPR8</v>
          </cell>
          <cell r="F1018" t="str">
            <v>34246438C</v>
          </cell>
          <cell r="G1018" t="str">
            <v>N/A</v>
          </cell>
          <cell r="H1018" t="str">
            <v>OVALIDAD</v>
          </cell>
          <cell r="I1018">
            <v>12</v>
          </cell>
          <cell r="J1018" t="str">
            <v>EVELYN ESTUDILLO</v>
          </cell>
          <cell r="K1018">
            <v>44968</v>
          </cell>
          <cell r="L1018" t="str">
            <v>MAURICIO</v>
          </cell>
          <cell r="M1018" t="str">
            <v>PASS</v>
          </cell>
          <cell r="N1018" t="str">
            <v>OVALIDAD</v>
          </cell>
        </row>
        <row r="1019">
          <cell r="A1019">
            <v>20231016</v>
          </cell>
          <cell r="B1019">
            <v>44968</v>
          </cell>
          <cell r="C1019">
            <v>1</v>
          </cell>
          <cell r="D1019" t="str">
            <v>720-5</v>
          </cell>
          <cell r="E1019" t="str">
            <v>SPR8</v>
          </cell>
          <cell r="F1019" t="str">
            <v>34364565B</v>
          </cell>
          <cell r="G1019" t="str">
            <v>N/A</v>
          </cell>
          <cell r="H1019" t="str">
            <v>OVALIDAD</v>
          </cell>
          <cell r="I1019">
            <v>12</v>
          </cell>
          <cell r="J1019" t="str">
            <v>EVELYN ESTUDILLO</v>
          </cell>
          <cell r="K1019">
            <v>44968</v>
          </cell>
          <cell r="L1019" t="str">
            <v>MAURICIO</v>
          </cell>
          <cell r="M1019" t="str">
            <v>PASS</v>
          </cell>
          <cell r="N1019" t="str">
            <v>OVALIDAD</v>
          </cell>
        </row>
        <row r="1020">
          <cell r="A1020">
            <v>20231017</v>
          </cell>
          <cell r="B1020">
            <v>44968</v>
          </cell>
          <cell r="C1020">
            <v>1</v>
          </cell>
          <cell r="D1020" t="str">
            <v>720-4</v>
          </cell>
          <cell r="E1020" t="str">
            <v>SPR8</v>
          </cell>
          <cell r="F1020" t="str">
            <v>34361271A</v>
          </cell>
          <cell r="G1020" t="str">
            <v>N/A</v>
          </cell>
          <cell r="H1020" t="str">
            <v>OVALIDAD</v>
          </cell>
          <cell r="I1020">
            <v>12</v>
          </cell>
          <cell r="J1020" t="str">
            <v>EVELYN ESTUDILLO</v>
          </cell>
          <cell r="K1020">
            <v>44968</v>
          </cell>
          <cell r="L1020" t="str">
            <v>MAURICIO</v>
          </cell>
          <cell r="M1020" t="str">
            <v>PASS</v>
          </cell>
          <cell r="N1020" t="str">
            <v>OVALIDAD</v>
          </cell>
        </row>
        <row r="1021">
          <cell r="A1021">
            <v>20231018</v>
          </cell>
          <cell r="B1021">
            <v>44968</v>
          </cell>
          <cell r="C1021">
            <v>1</v>
          </cell>
          <cell r="D1021" t="str">
            <v>720-3</v>
          </cell>
          <cell r="E1021" t="str">
            <v>SPR8</v>
          </cell>
          <cell r="F1021" t="str">
            <v>A023P560B</v>
          </cell>
          <cell r="G1021" t="str">
            <v>N/A</v>
          </cell>
          <cell r="H1021" t="str">
            <v>DLN OVALIDAD</v>
          </cell>
          <cell r="I1021">
            <v>12</v>
          </cell>
          <cell r="J1021" t="str">
            <v>EVELYN ESTUDILLO</v>
          </cell>
          <cell r="K1021">
            <v>44968</v>
          </cell>
          <cell r="L1021" t="str">
            <v>MAURICIO</v>
          </cell>
          <cell r="M1021" t="str">
            <v>PASS</v>
          </cell>
          <cell r="N1021" t="str">
            <v>OVALIDAD</v>
          </cell>
        </row>
        <row r="1022">
          <cell r="A1022">
            <v>20231019</v>
          </cell>
          <cell r="B1022">
            <v>44968</v>
          </cell>
          <cell r="C1022">
            <v>3</v>
          </cell>
          <cell r="D1022" t="str">
            <v>702-1</v>
          </cell>
          <cell r="E1022" t="str">
            <v>SPR8</v>
          </cell>
          <cell r="F1022" t="str">
            <v>34330191A</v>
          </cell>
          <cell r="G1022" t="str">
            <v>N/A</v>
          </cell>
          <cell r="H1022" t="str">
            <v>CONCENTRICIDAD</v>
          </cell>
          <cell r="I1022">
            <v>12</v>
          </cell>
          <cell r="J1022" t="str">
            <v>MAYRA HERNANDEZ</v>
          </cell>
          <cell r="K1022">
            <v>44968</v>
          </cell>
          <cell r="L1022" t="str">
            <v>ERNESTO</v>
          </cell>
          <cell r="M1022" t="str">
            <v>PASS</v>
          </cell>
          <cell r="N1022" t="str">
            <v>CONCENTRICIDAD</v>
          </cell>
        </row>
        <row r="1023">
          <cell r="A1023">
            <v>20231020</v>
          </cell>
          <cell r="B1023">
            <v>44968</v>
          </cell>
          <cell r="C1023">
            <v>3</v>
          </cell>
          <cell r="D1023" t="str">
            <v>702-1</v>
          </cell>
          <cell r="E1023" t="str">
            <v>SPR8</v>
          </cell>
          <cell r="F1023" t="str">
            <v>34330191A</v>
          </cell>
          <cell r="G1023" t="str">
            <v>N/A</v>
          </cell>
          <cell r="H1023" t="str">
            <v>OVALIDAD</v>
          </cell>
          <cell r="I1023">
            <v>12</v>
          </cell>
          <cell r="J1023" t="str">
            <v>MAYRA HERNANDEZ</v>
          </cell>
          <cell r="K1023">
            <v>44968</v>
          </cell>
          <cell r="L1023" t="str">
            <v>ERNESTO</v>
          </cell>
          <cell r="M1023" t="str">
            <v>PASS</v>
          </cell>
          <cell r="N1023" t="str">
            <v>OVALIDAD</v>
          </cell>
        </row>
        <row r="1024">
          <cell r="A1024">
            <v>20231021</v>
          </cell>
          <cell r="B1024">
            <v>44968</v>
          </cell>
          <cell r="C1024">
            <v>3</v>
          </cell>
          <cell r="D1024" t="str">
            <v>720-2</v>
          </cell>
          <cell r="E1024" t="str">
            <v>SPR8</v>
          </cell>
          <cell r="F1024" t="str">
            <v>34296438A</v>
          </cell>
          <cell r="G1024" t="str">
            <v>N/A</v>
          </cell>
          <cell r="H1024" t="str">
            <v>CONCENTRICIDAD</v>
          </cell>
          <cell r="I1024">
            <v>12</v>
          </cell>
          <cell r="J1024" t="str">
            <v>MAYRA HERNANDEZ</v>
          </cell>
          <cell r="K1024">
            <v>44968</v>
          </cell>
          <cell r="L1024" t="str">
            <v>ERNESTO</v>
          </cell>
          <cell r="M1024" t="str">
            <v>PASS</v>
          </cell>
          <cell r="N1024" t="str">
            <v>CONCENTRICIDAD</v>
          </cell>
        </row>
        <row r="1025">
          <cell r="A1025">
            <v>20231022</v>
          </cell>
          <cell r="B1025">
            <v>44968</v>
          </cell>
          <cell r="C1025">
            <v>3</v>
          </cell>
          <cell r="D1025" t="str">
            <v>720-2</v>
          </cell>
          <cell r="E1025" t="str">
            <v>SPR8</v>
          </cell>
          <cell r="F1025" t="str">
            <v>34296438A</v>
          </cell>
          <cell r="G1025" t="str">
            <v>N/A</v>
          </cell>
          <cell r="H1025" t="str">
            <v>OVALIDAD</v>
          </cell>
          <cell r="I1025">
            <v>12</v>
          </cell>
          <cell r="J1025" t="str">
            <v>MAYRA HERNANDEZ</v>
          </cell>
          <cell r="K1025">
            <v>44968</v>
          </cell>
          <cell r="L1025" t="str">
            <v>ERNESTO</v>
          </cell>
          <cell r="M1025" t="str">
            <v>PASS</v>
          </cell>
          <cell r="N1025" t="str">
            <v>OVALIDAD</v>
          </cell>
        </row>
        <row r="1026">
          <cell r="A1026">
            <v>20231023</v>
          </cell>
          <cell r="B1026">
            <v>44968</v>
          </cell>
          <cell r="C1026">
            <v>3</v>
          </cell>
          <cell r="D1026" t="str">
            <v>720-3</v>
          </cell>
          <cell r="E1026" t="str">
            <v>SPR8</v>
          </cell>
          <cell r="F1026" t="str">
            <v>34235232G</v>
          </cell>
          <cell r="G1026" t="str">
            <v>N/A</v>
          </cell>
          <cell r="H1026" t="str">
            <v>CONCENTRICIDAD</v>
          </cell>
          <cell r="I1026">
            <v>18</v>
          </cell>
          <cell r="J1026" t="str">
            <v>MAYRA HERNANDEZ</v>
          </cell>
          <cell r="K1026">
            <v>44968</v>
          </cell>
          <cell r="L1026" t="str">
            <v>ERNESTO</v>
          </cell>
          <cell r="M1026" t="str">
            <v>PASS</v>
          </cell>
          <cell r="N1026" t="str">
            <v>CONCENTRICIDAD</v>
          </cell>
        </row>
        <row r="1027">
          <cell r="A1027">
            <v>20231024</v>
          </cell>
          <cell r="B1027">
            <v>44968</v>
          </cell>
          <cell r="C1027">
            <v>3</v>
          </cell>
          <cell r="D1027" t="str">
            <v>720-3</v>
          </cell>
          <cell r="E1027" t="str">
            <v>SPR8</v>
          </cell>
          <cell r="F1027" t="str">
            <v>34235232G</v>
          </cell>
          <cell r="G1027" t="str">
            <v>N/A</v>
          </cell>
          <cell r="H1027" t="str">
            <v>OVALIDAD</v>
          </cell>
          <cell r="I1027">
            <v>18</v>
          </cell>
          <cell r="J1027" t="str">
            <v>MAYRA HERNANDEZ</v>
          </cell>
          <cell r="K1027">
            <v>44968</v>
          </cell>
          <cell r="L1027" t="str">
            <v>ERNESTO</v>
          </cell>
          <cell r="M1027" t="str">
            <v>PASS</v>
          </cell>
          <cell r="N1027" t="str">
            <v>OVALIDAD</v>
          </cell>
        </row>
        <row r="1028">
          <cell r="A1028">
            <v>20231025</v>
          </cell>
          <cell r="B1028">
            <v>44968</v>
          </cell>
          <cell r="C1028">
            <v>3</v>
          </cell>
          <cell r="D1028" t="str">
            <v>720-4</v>
          </cell>
          <cell r="E1028" t="str">
            <v>SPR8</v>
          </cell>
          <cell r="F1028" t="str">
            <v>34361271A</v>
          </cell>
          <cell r="G1028" t="str">
            <v>N/A</v>
          </cell>
          <cell r="H1028" t="str">
            <v>CONCENTRICIDAD</v>
          </cell>
          <cell r="I1028">
            <v>12</v>
          </cell>
          <cell r="J1028" t="str">
            <v>MAYRA HERNANDEZ</v>
          </cell>
          <cell r="K1028">
            <v>44968</v>
          </cell>
          <cell r="L1028" t="str">
            <v>ERNESTO</v>
          </cell>
          <cell r="M1028" t="str">
            <v>PASS</v>
          </cell>
          <cell r="N1028" t="str">
            <v>CONCENTRICIDAD</v>
          </cell>
        </row>
        <row r="1029">
          <cell r="A1029">
            <v>20231026</v>
          </cell>
          <cell r="B1029">
            <v>44968</v>
          </cell>
          <cell r="C1029">
            <v>3</v>
          </cell>
          <cell r="D1029" t="str">
            <v>720-4</v>
          </cell>
          <cell r="E1029" t="str">
            <v>SPR8</v>
          </cell>
          <cell r="F1029" t="str">
            <v>34361271A</v>
          </cell>
          <cell r="G1029" t="str">
            <v>N/A</v>
          </cell>
          <cell r="H1029" t="str">
            <v>OVALIDAD</v>
          </cell>
          <cell r="I1029">
            <v>12</v>
          </cell>
          <cell r="J1029" t="str">
            <v>MAYRA HERNANDEZ</v>
          </cell>
          <cell r="K1029">
            <v>44968</v>
          </cell>
          <cell r="L1029" t="str">
            <v>ERNESTO</v>
          </cell>
          <cell r="M1029" t="str">
            <v>PASS</v>
          </cell>
          <cell r="N1029" t="str">
            <v>OVALIDAD</v>
          </cell>
        </row>
        <row r="1030">
          <cell r="A1030">
            <v>20231027</v>
          </cell>
          <cell r="B1030">
            <v>44968</v>
          </cell>
          <cell r="C1030">
            <v>3</v>
          </cell>
          <cell r="D1030" t="str">
            <v>720-6</v>
          </cell>
          <cell r="E1030" t="str">
            <v>SPR8</v>
          </cell>
          <cell r="F1030" t="str">
            <v>A020R615B</v>
          </cell>
          <cell r="G1030" t="str">
            <v>N/A</v>
          </cell>
          <cell r="H1030" t="str">
            <v>CONCENTRICIDAD</v>
          </cell>
          <cell r="I1030">
            <v>12</v>
          </cell>
          <cell r="J1030" t="str">
            <v>MAYRA HERNANDEZ</v>
          </cell>
          <cell r="K1030">
            <v>44968</v>
          </cell>
          <cell r="L1030" t="str">
            <v>ERNESTO</v>
          </cell>
          <cell r="M1030" t="str">
            <v>PASS</v>
          </cell>
          <cell r="N1030" t="str">
            <v>CONCENTRICIDAD</v>
          </cell>
        </row>
        <row r="1031">
          <cell r="A1031">
            <v>20231028</v>
          </cell>
          <cell r="B1031">
            <v>44968</v>
          </cell>
          <cell r="C1031">
            <v>3</v>
          </cell>
          <cell r="D1031" t="str">
            <v>720-6</v>
          </cell>
          <cell r="E1031" t="str">
            <v>SPR8</v>
          </cell>
          <cell r="F1031" t="str">
            <v>A020R615B</v>
          </cell>
          <cell r="G1031" t="str">
            <v>N/A</v>
          </cell>
          <cell r="H1031" t="str">
            <v>OVALIDAD</v>
          </cell>
          <cell r="I1031">
            <v>12</v>
          </cell>
          <cell r="J1031" t="str">
            <v>MAYRA HERNANDEZ</v>
          </cell>
          <cell r="K1031">
            <v>44968</v>
          </cell>
          <cell r="L1031" t="str">
            <v>ERNESTO</v>
          </cell>
          <cell r="M1031" t="str">
            <v>PASS</v>
          </cell>
          <cell r="N1031" t="str">
            <v>OVALIDAD</v>
          </cell>
        </row>
        <row r="1032">
          <cell r="A1032">
            <v>20231029</v>
          </cell>
          <cell r="B1032">
            <v>44968</v>
          </cell>
          <cell r="C1032">
            <v>3</v>
          </cell>
          <cell r="D1032" t="str">
            <v>720-5</v>
          </cell>
          <cell r="E1032" t="str">
            <v>SPR8</v>
          </cell>
          <cell r="F1032" t="str">
            <v>34324760D</v>
          </cell>
          <cell r="G1032" t="str">
            <v>N/A</v>
          </cell>
          <cell r="H1032" t="str">
            <v>CONCENTRICIDAD</v>
          </cell>
          <cell r="I1032">
            <v>6</v>
          </cell>
          <cell r="J1032" t="str">
            <v>MAYRA HERNANDEZ</v>
          </cell>
          <cell r="K1032">
            <v>44968</v>
          </cell>
          <cell r="L1032" t="str">
            <v>Jose</v>
          </cell>
          <cell r="M1032" t="str">
            <v>PASS</v>
          </cell>
          <cell r="N1032" t="str">
            <v>CONCENTRICIDAD</v>
          </cell>
        </row>
        <row r="1033">
          <cell r="A1033">
            <v>20231030</v>
          </cell>
          <cell r="B1033">
            <v>44968</v>
          </cell>
          <cell r="C1033">
            <v>3</v>
          </cell>
          <cell r="D1033" t="str">
            <v>720-5</v>
          </cell>
          <cell r="E1033" t="str">
            <v>SPR8</v>
          </cell>
          <cell r="F1033" t="str">
            <v>34324760D</v>
          </cell>
          <cell r="G1033" t="str">
            <v>N/A</v>
          </cell>
          <cell r="H1033" t="str">
            <v>OVALIDAD</v>
          </cell>
          <cell r="I1033">
            <v>6</v>
          </cell>
          <cell r="J1033" t="str">
            <v>MAYRA HERNANDEZ</v>
          </cell>
          <cell r="K1033">
            <v>44968</v>
          </cell>
          <cell r="L1033" t="str">
            <v>Jose</v>
          </cell>
          <cell r="M1033" t="str">
            <v>PASS</v>
          </cell>
          <cell r="N1033" t="str">
            <v>OVALIDAD</v>
          </cell>
        </row>
        <row r="1034">
          <cell r="A1034">
            <v>20231031</v>
          </cell>
          <cell r="B1034">
            <v>44970</v>
          </cell>
          <cell r="C1034">
            <v>1</v>
          </cell>
          <cell r="D1034" t="str">
            <v>714-3</v>
          </cell>
          <cell r="E1034" t="str">
            <v>JL MCA</v>
          </cell>
          <cell r="F1034" t="str">
            <v>34257328A</v>
          </cell>
          <cell r="G1034" t="str">
            <v>N/A</v>
          </cell>
          <cell r="H1034" t="str">
            <v>15,16,17,19</v>
          </cell>
          <cell r="I1034">
            <v>4</v>
          </cell>
          <cell r="J1034" t="str">
            <v>Laura Castillo</v>
          </cell>
          <cell r="K1034">
            <v>44970</v>
          </cell>
          <cell r="L1034" t="str">
            <v>Nohemi</v>
          </cell>
          <cell r="M1034" t="str">
            <v>NO PASS</v>
          </cell>
          <cell r="N1034" t="str">
            <v>CH34259297 A15</v>
          </cell>
        </row>
        <row r="1035">
          <cell r="A1035">
            <v>20231032</v>
          </cell>
          <cell r="B1035">
            <v>44970</v>
          </cell>
          <cell r="C1035">
            <v>1</v>
          </cell>
          <cell r="D1035" t="str">
            <v>720-3</v>
          </cell>
          <cell r="E1035" t="str">
            <v>JL MCA</v>
          </cell>
          <cell r="F1035" t="str">
            <v>A023P566B</v>
          </cell>
          <cell r="G1035" t="str">
            <v>N/A</v>
          </cell>
          <cell r="H1035" t="str">
            <v>7,8,9,10,11,Z,17,18,19</v>
          </cell>
          <cell r="I1035">
            <v>4</v>
          </cell>
          <cell r="J1035" t="str">
            <v>Laura Castillo</v>
          </cell>
          <cell r="K1035">
            <v>44970</v>
          </cell>
          <cell r="L1035" t="str">
            <v>Nohemi</v>
          </cell>
          <cell r="M1035" t="str">
            <v>NO PASS</v>
          </cell>
          <cell r="N1035" t="str">
            <v>A0054G8117A-C</v>
          </cell>
        </row>
        <row r="1036">
          <cell r="A1036">
            <v>20231033</v>
          </cell>
          <cell r="B1036"/>
          <cell r="C1036"/>
          <cell r="D1036"/>
          <cell r="E1036"/>
          <cell r="F1036"/>
          <cell r="G1036"/>
          <cell r="H1036"/>
          <cell r="I1036"/>
          <cell r="J1036"/>
          <cell r="K1036"/>
          <cell r="L1036"/>
          <cell r="M1036"/>
          <cell r="N1036"/>
        </row>
        <row r="1037">
          <cell r="A1037">
            <v>20231034</v>
          </cell>
          <cell r="B1037"/>
          <cell r="C1037"/>
          <cell r="D1037"/>
          <cell r="E1037"/>
          <cell r="F1037"/>
          <cell r="G1037"/>
          <cell r="H1037"/>
          <cell r="I1037"/>
          <cell r="J1037"/>
          <cell r="K1037"/>
          <cell r="L1037"/>
          <cell r="M1037"/>
          <cell r="N1037"/>
        </row>
        <row r="1038">
          <cell r="A1038">
            <v>20231035</v>
          </cell>
          <cell r="B1038"/>
          <cell r="C1038"/>
          <cell r="D1038"/>
          <cell r="E1038"/>
          <cell r="F1038"/>
          <cell r="G1038"/>
          <cell r="H1038"/>
          <cell r="I1038"/>
          <cell r="J1038"/>
          <cell r="K1038"/>
          <cell r="L1038"/>
          <cell r="M1038"/>
          <cell r="N1038"/>
        </row>
        <row r="1039">
          <cell r="A1039">
            <v>20231036</v>
          </cell>
          <cell r="B1039"/>
          <cell r="C1039"/>
          <cell r="D1039"/>
          <cell r="E1039"/>
          <cell r="F1039"/>
          <cell r="G1039"/>
          <cell r="H1039"/>
          <cell r="I1039"/>
          <cell r="J1039"/>
          <cell r="K1039"/>
          <cell r="L1039"/>
          <cell r="M1039"/>
          <cell r="N1039"/>
        </row>
        <row r="1040">
          <cell r="A1040">
            <v>20231037</v>
          </cell>
          <cell r="B1040"/>
          <cell r="C1040"/>
          <cell r="D1040"/>
          <cell r="E1040"/>
          <cell r="F1040"/>
          <cell r="G1040"/>
          <cell r="H1040"/>
          <cell r="I1040"/>
          <cell r="J1040"/>
          <cell r="K1040"/>
          <cell r="L1040"/>
          <cell r="M1040"/>
          <cell r="N1040"/>
        </row>
        <row r="1041">
          <cell r="A1041">
            <v>20231038</v>
          </cell>
          <cell r="B1041"/>
          <cell r="C1041"/>
          <cell r="D1041"/>
          <cell r="E1041"/>
          <cell r="F1041"/>
          <cell r="G1041"/>
          <cell r="H1041"/>
          <cell r="I1041"/>
          <cell r="J1041"/>
          <cell r="K1041"/>
          <cell r="L1041"/>
          <cell r="M1041"/>
          <cell r="N1041"/>
        </row>
        <row r="1042">
          <cell r="A1042">
            <v>20231039</v>
          </cell>
          <cell r="B1042"/>
          <cell r="C1042"/>
          <cell r="D1042"/>
          <cell r="E1042"/>
          <cell r="F1042"/>
          <cell r="G1042"/>
          <cell r="H1042"/>
          <cell r="I1042"/>
          <cell r="J1042"/>
          <cell r="K1042"/>
          <cell r="L1042"/>
          <cell r="M1042"/>
          <cell r="N1042"/>
        </row>
        <row r="1043">
          <cell r="A1043">
            <v>20231040</v>
          </cell>
          <cell r="B1043"/>
          <cell r="C1043"/>
          <cell r="D1043"/>
          <cell r="E1043"/>
          <cell r="F1043"/>
          <cell r="G1043"/>
          <cell r="H1043"/>
          <cell r="I1043"/>
          <cell r="J1043"/>
          <cell r="K1043"/>
          <cell r="L1043"/>
          <cell r="M1043"/>
          <cell r="N1043"/>
        </row>
        <row r="1044">
          <cell r="A1044">
            <v>20231041</v>
          </cell>
          <cell r="B1044"/>
          <cell r="C1044"/>
          <cell r="D1044"/>
          <cell r="E1044"/>
          <cell r="F1044"/>
          <cell r="G1044"/>
          <cell r="H1044"/>
          <cell r="I1044"/>
          <cell r="J1044"/>
          <cell r="K1044"/>
          <cell r="L1044"/>
          <cell r="M1044"/>
          <cell r="N1044"/>
        </row>
        <row r="1045">
          <cell r="A1045">
            <v>20231042</v>
          </cell>
          <cell r="B1045"/>
          <cell r="C1045"/>
          <cell r="D1045"/>
          <cell r="E1045"/>
          <cell r="F1045"/>
          <cell r="G1045"/>
          <cell r="H1045"/>
          <cell r="I1045"/>
          <cell r="J1045"/>
          <cell r="K1045"/>
          <cell r="L1045"/>
          <cell r="M1045"/>
          <cell r="N1045"/>
        </row>
        <row r="1046">
          <cell r="A1046">
            <v>20231043</v>
          </cell>
          <cell r="B1046"/>
          <cell r="C1046"/>
          <cell r="D1046"/>
          <cell r="E1046"/>
          <cell r="F1046"/>
          <cell r="G1046"/>
          <cell r="H1046"/>
          <cell r="I1046"/>
          <cell r="J1046"/>
          <cell r="K1046"/>
          <cell r="L1046"/>
          <cell r="M1046"/>
          <cell r="N1046"/>
        </row>
        <row r="1047">
          <cell r="A1047">
            <v>20231044</v>
          </cell>
          <cell r="B1047"/>
          <cell r="C1047"/>
          <cell r="D1047"/>
          <cell r="E1047"/>
          <cell r="F1047"/>
          <cell r="G1047"/>
          <cell r="H1047"/>
          <cell r="I1047"/>
          <cell r="J1047"/>
          <cell r="K1047"/>
          <cell r="L1047"/>
          <cell r="M1047"/>
          <cell r="N1047"/>
        </row>
        <row r="1048">
          <cell r="A1048">
            <v>20231045</v>
          </cell>
          <cell r="B1048"/>
          <cell r="C1048"/>
          <cell r="D1048"/>
          <cell r="E1048"/>
          <cell r="F1048"/>
          <cell r="G1048"/>
          <cell r="H1048"/>
          <cell r="I1048"/>
          <cell r="J1048"/>
          <cell r="K1048"/>
          <cell r="L1048"/>
          <cell r="M1048"/>
          <cell r="N1048"/>
        </row>
        <row r="1049">
          <cell r="A1049">
            <v>20231046</v>
          </cell>
          <cell r="B1049"/>
          <cell r="C1049"/>
          <cell r="D1049"/>
          <cell r="E1049"/>
          <cell r="F1049"/>
          <cell r="G1049"/>
          <cell r="H1049"/>
          <cell r="I1049"/>
          <cell r="J1049"/>
          <cell r="K1049"/>
          <cell r="L1049"/>
          <cell r="M1049"/>
          <cell r="N1049"/>
        </row>
        <row r="1050">
          <cell r="A1050">
            <v>20231047</v>
          </cell>
          <cell r="B1050"/>
          <cell r="C1050"/>
          <cell r="D1050"/>
          <cell r="E1050"/>
          <cell r="F1050"/>
          <cell r="G1050"/>
          <cell r="H1050"/>
          <cell r="I1050"/>
          <cell r="J1050"/>
          <cell r="K1050"/>
          <cell r="L1050"/>
          <cell r="M1050"/>
          <cell r="N1050"/>
        </row>
        <row r="1051">
          <cell r="A1051">
            <v>20231048</v>
          </cell>
          <cell r="B1051"/>
          <cell r="C1051"/>
          <cell r="D1051"/>
          <cell r="E1051"/>
          <cell r="F1051"/>
          <cell r="G1051"/>
          <cell r="H1051"/>
          <cell r="I1051"/>
          <cell r="J1051"/>
          <cell r="K1051"/>
          <cell r="L1051"/>
          <cell r="M1051"/>
          <cell r="N1051"/>
        </row>
        <row r="1052">
          <cell r="A1052">
            <v>20231049</v>
          </cell>
          <cell r="B1052"/>
          <cell r="C1052"/>
          <cell r="D1052"/>
          <cell r="E1052"/>
          <cell r="F1052"/>
          <cell r="G1052"/>
          <cell r="H1052"/>
          <cell r="I1052"/>
          <cell r="J1052"/>
          <cell r="K1052"/>
          <cell r="L1052"/>
          <cell r="M1052"/>
          <cell r="N1052"/>
        </row>
        <row r="1053">
          <cell r="A1053">
            <v>20231050</v>
          </cell>
          <cell r="B1053"/>
          <cell r="C1053"/>
          <cell r="D1053"/>
          <cell r="E1053"/>
          <cell r="F1053"/>
          <cell r="G1053"/>
          <cell r="H1053"/>
          <cell r="I1053"/>
          <cell r="J1053"/>
          <cell r="K1053"/>
          <cell r="L1053"/>
          <cell r="M1053"/>
          <cell r="N1053"/>
        </row>
        <row r="1054">
          <cell r="A1054">
            <v>20231051</v>
          </cell>
          <cell r="B1054"/>
          <cell r="C1054"/>
          <cell r="D1054"/>
          <cell r="E1054"/>
          <cell r="F1054"/>
          <cell r="G1054"/>
          <cell r="H1054"/>
          <cell r="I1054"/>
          <cell r="J1054"/>
          <cell r="K1054"/>
          <cell r="L1054"/>
          <cell r="M1054"/>
          <cell r="N1054"/>
        </row>
        <row r="1055">
          <cell r="A1055">
            <v>20231052</v>
          </cell>
          <cell r="B1055"/>
          <cell r="C1055"/>
          <cell r="D1055"/>
          <cell r="E1055"/>
          <cell r="F1055"/>
          <cell r="G1055"/>
          <cell r="H1055"/>
          <cell r="I1055"/>
          <cell r="J1055"/>
          <cell r="K1055"/>
          <cell r="L1055"/>
          <cell r="M1055"/>
          <cell r="N1055"/>
        </row>
        <row r="1056">
          <cell r="A1056">
            <v>20231053</v>
          </cell>
          <cell r="B1056"/>
          <cell r="C1056"/>
          <cell r="D1056"/>
          <cell r="E1056"/>
          <cell r="F1056"/>
          <cell r="G1056"/>
          <cell r="H1056"/>
          <cell r="I1056"/>
          <cell r="J1056"/>
          <cell r="K1056"/>
          <cell r="L1056"/>
          <cell r="M1056"/>
          <cell r="N1056"/>
        </row>
        <row r="1057">
          <cell r="A1057">
            <v>20231054</v>
          </cell>
          <cell r="B1057"/>
          <cell r="C1057"/>
          <cell r="D1057"/>
          <cell r="E1057"/>
          <cell r="F1057"/>
          <cell r="G1057"/>
          <cell r="H1057"/>
          <cell r="I1057"/>
          <cell r="J1057"/>
          <cell r="K1057"/>
          <cell r="L1057"/>
          <cell r="M1057"/>
          <cell r="N1057"/>
        </row>
        <row r="1058">
          <cell r="A1058">
            <v>20231055</v>
          </cell>
          <cell r="B1058"/>
          <cell r="C1058"/>
          <cell r="D1058"/>
          <cell r="E1058"/>
          <cell r="F1058"/>
          <cell r="G1058"/>
          <cell r="H1058"/>
          <cell r="I1058"/>
          <cell r="J1058"/>
          <cell r="K1058"/>
          <cell r="L1058"/>
          <cell r="M1058"/>
          <cell r="N1058"/>
        </row>
        <row r="1059">
          <cell r="A1059">
            <v>20231056</v>
          </cell>
          <cell r="B1059"/>
          <cell r="C1059"/>
          <cell r="D1059"/>
          <cell r="E1059"/>
          <cell r="F1059"/>
          <cell r="G1059"/>
          <cell r="H1059"/>
          <cell r="I1059"/>
          <cell r="J1059"/>
          <cell r="K1059"/>
          <cell r="L1059"/>
          <cell r="M1059"/>
          <cell r="N1059"/>
        </row>
        <row r="1060">
          <cell r="A1060">
            <v>20231057</v>
          </cell>
          <cell r="B1060"/>
          <cell r="C1060"/>
          <cell r="D1060"/>
          <cell r="E1060"/>
          <cell r="F1060"/>
          <cell r="G1060"/>
          <cell r="H1060"/>
          <cell r="I1060"/>
          <cell r="J1060"/>
          <cell r="K1060"/>
          <cell r="L1060"/>
          <cell r="M1060"/>
          <cell r="N1060"/>
        </row>
        <row r="1061">
          <cell r="A1061">
            <v>20231058</v>
          </cell>
          <cell r="B1061"/>
          <cell r="C1061"/>
          <cell r="D1061"/>
          <cell r="E1061"/>
          <cell r="F1061"/>
          <cell r="G1061"/>
          <cell r="H1061"/>
          <cell r="I1061"/>
          <cell r="J1061"/>
          <cell r="K1061"/>
          <cell r="L1061"/>
          <cell r="M1061"/>
          <cell r="N1061"/>
        </row>
        <row r="1062">
          <cell r="A1062">
            <v>20231059</v>
          </cell>
          <cell r="B1062"/>
          <cell r="C1062"/>
          <cell r="D1062"/>
          <cell r="E1062"/>
          <cell r="F1062"/>
          <cell r="G1062"/>
          <cell r="H1062"/>
          <cell r="I1062"/>
          <cell r="J1062"/>
          <cell r="K1062"/>
          <cell r="L1062"/>
          <cell r="M1062"/>
          <cell r="N1062"/>
        </row>
        <row r="1063">
          <cell r="A1063">
            <v>20231060</v>
          </cell>
          <cell r="B1063"/>
          <cell r="C1063"/>
          <cell r="D1063"/>
          <cell r="E1063"/>
          <cell r="F1063"/>
          <cell r="G1063"/>
          <cell r="H1063"/>
          <cell r="I1063"/>
          <cell r="J1063"/>
          <cell r="K1063"/>
          <cell r="L1063"/>
          <cell r="M1063"/>
          <cell r="N1063"/>
        </row>
        <row r="1064">
          <cell r="A1064">
            <v>20231061</v>
          </cell>
          <cell r="B1064"/>
          <cell r="C1064"/>
          <cell r="D1064"/>
          <cell r="E1064"/>
          <cell r="F1064"/>
          <cell r="G1064"/>
          <cell r="H1064"/>
          <cell r="I1064"/>
          <cell r="J1064"/>
          <cell r="K1064"/>
          <cell r="L1064"/>
          <cell r="M1064"/>
          <cell r="N1064"/>
        </row>
        <row r="1065">
          <cell r="A1065">
            <v>20231062</v>
          </cell>
          <cell r="B1065"/>
          <cell r="C1065"/>
          <cell r="D1065"/>
          <cell r="E1065"/>
          <cell r="F1065"/>
          <cell r="G1065"/>
          <cell r="H1065"/>
          <cell r="I1065"/>
          <cell r="J1065"/>
          <cell r="K1065"/>
          <cell r="L1065"/>
          <cell r="M1065"/>
          <cell r="N1065"/>
        </row>
        <row r="1066">
          <cell r="A1066">
            <v>20231063</v>
          </cell>
          <cell r="B1066"/>
          <cell r="C1066"/>
          <cell r="D1066"/>
          <cell r="E1066"/>
          <cell r="F1066"/>
          <cell r="G1066"/>
          <cell r="H1066"/>
          <cell r="I1066"/>
          <cell r="J1066"/>
          <cell r="K1066"/>
          <cell r="L1066"/>
          <cell r="M1066"/>
          <cell r="N1066"/>
        </row>
        <row r="1067">
          <cell r="A1067">
            <v>20231064</v>
          </cell>
          <cell r="B1067"/>
          <cell r="C1067"/>
          <cell r="D1067"/>
          <cell r="E1067"/>
          <cell r="F1067"/>
          <cell r="G1067"/>
          <cell r="H1067"/>
          <cell r="I1067"/>
          <cell r="J1067"/>
          <cell r="K1067"/>
          <cell r="L1067"/>
          <cell r="M1067"/>
          <cell r="N1067"/>
        </row>
        <row r="1068">
          <cell r="A1068">
            <v>20231065</v>
          </cell>
          <cell r="B1068"/>
          <cell r="C1068"/>
          <cell r="D1068"/>
          <cell r="E1068"/>
          <cell r="F1068"/>
          <cell r="G1068"/>
          <cell r="H1068"/>
          <cell r="I1068"/>
          <cell r="J1068"/>
          <cell r="K1068"/>
          <cell r="L1068"/>
          <cell r="M1068"/>
          <cell r="N1068"/>
        </row>
        <row r="1069">
          <cell r="A1069">
            <v>20231066</v>
          </cell>
          <cell r="B1069"/>
          <cell r="C1069"/>
          <cell r="D1069"/>
          <cell r="E1069"/>
          <cell r="F1069"/>
          <cell r="G1069"/>
          <cell r="H1069"/>
          <cell r="I1069"/>
          <cell r="J1069"/>
          <cell r="K1069"/>
          <cell r="L1069"/>
          <cell r="M1069"/>
          <cell r="N1069"/>
        </row>
        <row r="1070">
          <cell r="A1070">
            <v>20231067</v>
          </cell>
          <cell r="B1070"/>
          <cell r="C1070"/>
          <cell r="D1070"/>
          <cell r="E1070"/>
          <cell r="F1070"/>
          <cell r="G1070"/>
          <cell r="H1070"/>
          <cell r="I1070"/>
          <cell r="J1070"/>
          <cell r="K1070"/>
          <cell r="L1070"/>
          <cell r="M1070"/>
          <cell r="N1070"/>
        </row>
        <row r="1071">
          <cell r="A1071">
            <v>20231068</v>
          </cell>
          <cell r="B1071"/>
          <cell r="C1071"/>
          <cell r="D1071"/>
          <cell r="E1071"/>
          <cell r="F1071"/>
          <cell r="G1071"/>
          <cell r="H1071"/>
          <cell r="I1071"/>
          <cell r="J1071"/>
          <cell r="K1071"/>
          <cell r="L1071"/>
          <cell r="M1071"/>
          <cell r="N1071"/>
        </row>
        <row r="1072">
          <cell r="A1072">
            <v>20231069</v>
          </cell>
          <cell r="B1072"/>
          <cell r="C1072"/>
          <cell r="D1072"/>
          <cell r="E1072"/>
          <cell r="F1072"/>
          <cell r="G1072"/>
          <cell r="H1072"/>
          <cell r="I1072"/>
          <cell r="J1072"/>
          <cell r="K1072"/>
          <cell r="L1072"/>
          <cell r="M1072"/>
          <cell r="N1072"/>
        </row>
        <row r="1073">
          <cell r="A1073">
            <v>20231070</v>
          </cell>
          <cell r="B1073"/>
          <cell r="C1073"/>
          <cell r="D1073"/>
          <cell r="E1073"/>
          <cell r="F1073"/>
          <cell r="G1073"/>
          <cell r="H1073"/>
          <cell r="I1073"/>
          <cell r="J1073"/>
          <cell r="K1073"/>
          <cell r="L1073"/>
          <cell r="M1073"/>
          <cell r="N1073"/>
        </row>
        <row r="1074">
          <cell r="A1074">
            <v>20231071</v>
          </cell>
          <cell r="B1074"/>
          <cell r="C1074"/>
          <cell r="D1074"/>
          <cell r="E1074"/>
          <cell r="F1074"/>
          <cell r="G1074"/>
          <cell r="H1074"/>
          <cell r="I1074"/>
          <cell r="J1074"/>
          <cell r="K1074"/>
          <cell r="L1074"/>
          <cell r="M1074"/>
          <cell r="N1074"/>
        </row>
        <row r="1075">
          <cell r="A1075">
            <v>20231072</v>
          </cell>
          <cell r="B1075"/>
          <cell r="C1075"/>
          <cell r="D1075"/>
          <cell r="E1075"/>
          <cell r="F1075"/>
          <cell r="G1075"/>
          <cell r="H1075"/>
          <cell r="I1075"/>
          <cell r="J1075"/>
          <cell r="K1075"/>
          <cell r="L1075"/>
          <cell r="M1075"/>
          <cell r="N1075"/>
        </row>
        <row r="1076">
          <cell r="A1076">
            <v>20231073</v>
          </cell>
          <cell r="B1076"/>
          <cell r="C1076"/>
          <cell r="D1076"/>
          <cell r="E1076"/>
          <cell r="F1076"/>
          <cell r="G1076"/>
          <cell r="H1076"/>
          <cell r="I1076"/>
          <cell r="J1076"/>
          <cell r="K1076"/>
          <cell r="L1076"/>
          <cell r="M1076"/>
          <cell r="N1076"/>
        </row>
        <row r="1077">
          <cell r="A1077">
            <v>20231074</v>
          </cell>
          <cell r="B1077"/>
          <cell r="C1077"/>
          <cell r="D1077"/>
          <cell r="E1077"/>
          <cell r="F1077"/>
          <cell r="G1077"/>
          <cell r="H1077"/>
          <cell r="I1077"/>
          <cell r="J1077"/>
          <cell r="K1077"/>
          <cell r="L1077"/>
          <cell r="M1077"/>
          <cell r="N1077"/>
        </row>
        <row r="1078">
          <cell r="A1078">
            <v>20231075</v>
          </cell>
          <cell r="B1078"/>
          <cell r="C1078"/>
          <cell r="D1078"/>
          <cell r="E1078"/>
          <cell r="F1078"/>
          <cell r="G1078"/>
          <cell r="H1078"/>
          <cell r="I1078"/>
          <cell r="J1078"/>
          <cell r="K1078"/>
          <cell r="L1078"/>
          <cell r="M1078"/>
          <cell r="N1078"/>
        </row>
        <row r="1079">
          <cell r="A1079">
            <v>20231076</v>
          </cell>
          <cell r="B1079"/>
          <cell r="C1079"/>
          <cell r="D1079"/>
          <cell r="E1079"/>
          <cell r="F1079"/>
          <cell r="G1079"/>
          <cell r="H1079"/>
          <cell r="I1079"/>
          <cell r="J1079"/>
          <cell r="K1079"/>
          <cell r="L1079"/>
          <cell r="M1079"/>
          <cell r="N1079"/>
        </row>
        <row r="1080">
          <cell r="A1080">
            <v>20231077</v>
          </cell>
          <cell r="B1080"/>
          <cell r="C1080"/>
          <cell r="D1080"/>
          <cell r="E1080"/>
          <cell r="F1080"/>
          <cell r="G1080"/>
          <cell r="H1080"/>
          <cell r="I1080"/>
          <cell r="J1080"/>
          <cell r="K1080"/>
          <cell r="L1080"/>
          <cell r="M1080"/>
          <cell r="N1080"/>
        </row>
        <row r="1081">
          <cell r="A1081">
            <v>20231078</v>
          </cell>
          <cell r="B1081"/>
          <cell r="C1081"/>
          <cell r="D1081"/>
          <cell r="E1081"/>
          <cell r="F1081"/>
          <cell r="G1081"/>
          <cell r="H1081"/>
          <cell r="I1081"/>
          <cell r="J1081"/>
          <cell r="K1081"/>
          <cell r="L1081"/>
          <cell r="M1081"/>
          <cell r="N1081"/>
        </row>
        <row r="1082">
          <cell r="A1082">
            <v>20231079</v>
          </cell>
          <cell r="B1082"/>
          <cell r="C1082"/>
          <cell r="D1082"/>
          <cell r="E1082"/>
          <cell r="F1082"/>
          <cell r="G1082"/>
          <cell r="H1082"/>
          <cell r="I1082"/>
          <cell r="J1082"/>
          <cell r="K1082"/>
          <cell r="L1082"/>
          <cell r="M1082"/>
          <cell r="N1082"/>
        </row>
        <row r="1083">
          <cell r="A1083">
            <v>20231080</v>
          </cell>
          <cell r="B1083"/>
          <cell r="C1083"/>
          <cell r="D1083"/>
          <cell r="E1083"/>
          <cell r="F1083"/>
          <cell r="G1083"/>
          <cell r="H1083"/>
          <cell r="I1083"/>
          <cell r="J1083"/>
          <cell r="K1083"/>
          <cell r="L1083"/>
          <cell r="M1083"/>
          <cell r="N1083"/>
        </row>
        <row r="1084">
          <cell r="A1084">
            <v>20231081</v>
          </cell>
          <cell r="B1084"/>
          <cell r="C1084"/>
          <cell r="D1084"/>
          <cell r="E1084"/>
          <cell r="F1084"/>
          <cell r="G1084"/>
          <cell r="H1084"/>
          <cell r="I1084"/>
          <cell r="J1084"/>
          <cell r="K1084"/>
          <cell r="L1084"/>
          <cell r="M1084"/>
          <cell r="N1084"/>
        </row>
        <row r="1085">
          <cell r="A1085">
            <v>20231082</v>
          </cell>
          <cell r="B1085"/>
          <cell r="C1085"/>
          <cell r="D1085"/>
          <cell r="E1085"/>
          <cell r="F1085"/>
          <cell r="G1085"/>
          <cell r="H1085"/>
          <cell r="I1085"/>
          <cell r="J1085"/>
          <cell r="K1085"/>
          <cell r="L1085"/>
          <cell r="M1085"/>
          <cell r="N1085"/>
        </row>
        <row r="1086">
          <cell r="A1086">
            <v>20231083</v>
          </cell>
          <cell r="B1086"/>
          <cell r="C1086"/>
          <cell r="D1086"/>
          <cell r="E1086"/>
          <cell r="F1086"/>
          <cell r="G1086"/>
          <cell r="H1086"/>
          <cell r="I1086"/>
          <cell r="J1086"/>
          <cell r="K1086"/>
          <cell r="L1086"/>
          <cell r="M1086"/>
          <cell r="N1086"/>
        </row>
        <row r="1087">
          <cell r="A1087">
            <v>20231084</v>
          </cell>
          <cell r="B1087"/>
          <cell r="C1087"/>
          <cell r="D1087"/>
          <cell r="E1087"/>
          <cell r="F1087"/>
          <cell r="G1087"/>
          <cell r="H1087"/>
          <cell r="I1087"/>
          <cell r="J1087"/>
          <cell r="K1087"/>
          <cell r="L1087"/>
          <cell r="M1087"/>
          <cell r="N1087"/>
        </row>
        <row r="1088">
          <cell r="A1088">
            <v>20231085</v>
          </cell>
          <cell r="B1088"/>
          <cell r="C1088"/>
          <cell r="D1088"/>
          <cell r="E1088"/>
          <cell r="F1088"/>
          <cell r="G1088"/>
          <cell r="H1088"/>
          <cell r="I1088"/>
          <cell r="J1088"/>
          <cell r="K1088"/>
          <cell r="L1088"/>
          <cell r="M1088"/>
          <cell r="N1088"/>
        </row>
        <row r="1089">
          <cell r="A1089">
            <v>20231086</v>
          </cell>
          <cell r="B1089"/>
          <cell r="C1089"/>
          <cell r="D1089"/>
          <cell r="E1089"/>
          <cell r="F1089"/>
          <cell r="G1089"/>
          <cell r="H1089"/>
          <cell r="I1089"/>
          <cell r="J1089"/>
          <cell r="K1089"/>
          <cell r="L1089"/>
          <cell r="M1089"/>
          <cell r="N1089"/>
        </row>
        <row r="1090">
          <cell r="A1090">
            <v>20231087</v>
          </cell>
          <cell r="B1090"/>
          <cell r="C1090"/>
          <cell r="D1090"/>
          <cell r="E1090"/>
          <cell r="F1090"/>
          <cell r="G1090"/>
          <cell r="H1090"/>
          <cell r="I1090"/>
          <cell r="J1090"/>
          <cell r="K1090"/>
          <cell r="L1090"/>
          <cell r="M1090"/>
          <cell r="N1090"/>
        </row>
        <row r="1091">
          <cell r="A1091">
            <v>20231088</v>
          </cell>
          <cell r="B1091"/>
          <cell r="C1091"/>
          <cell r="D1091"/>
          <cell r="E1091"/>
          <cell r="F1091"/>
          <cell r="G1091"/>
          <cell r="H1091"/>
          <cell r="I1091"/>
          <cell r="J1091"/>
          <cell r="K1091"/>
          <cell r="L1091"/>
          <cell r="M1091"/>
          <cell r="N1091"/>
        </row>
        <row r="1092">
          <cell r="A1092">
            <v>20231089</v>
          </cell>
          <cell r="B1092"/>
          <cell r="C1092"/>
          <cell r="D1092"/>
          <cell r="E1092"/>
          <cell r="F1092"/>
          <cell r="G1092"/>
          <cell r="H1092"/>
          <cell r="I1092"/>
          <cell r="J1092"/>
          <cell r="K1092"/>
          <cell r="L1092"/>
          <cell r="M1092"/>
          <cell r="N1092"/>
        </row>
        <row r="1093">
          <cell r="A1093">
            <v>20231090</v>
          </cell>
          <cell r="B1093"/>
          <cell r="C1093"/>
          <cell r="D1093"/>
          <cell r="E1093"/>
          <cell r="F1093"/>
          <cell r="G1093"/>
          <cell r="H1093"/>
          <cell r="I1093"/>
          <cell r="J1093"/>
          <cell r="K1093"/>
          <cell r="L1093"/>
          <cell r="M1093"/>
          <cell r="N1093"/>
        </row>
        <row r="1094">
          <cell r="A1094">
            <v>20231091</v>
          </cell>
          <cell r="B1094"/>
          <cell r="C1094"/>
          <cell r="D1094"/>
          <cell r="E1094"/>
          <cell r="F1094"/>
          <cell r="G1094"/>
          <cell r="H1094"/>
          <cell r="I1094"/>
          <cell r="J1094"/>
          <cell r="K1094"/>
          <cell r="L1094"/>
          <cell r="M1094"/>
          <cell r="N1094"/>
        </row>
        <row r="1095">
          <cell r="A1095">
            <v>20231092</v>
          </cell>
          <cell r="B1095"/>
          <cell r="C1095"/>
          <cell r="D1095"/>
          <cell r="E1095"/>
          <cell r="F1095"/>
          <cell r="G1095"/>
          <cell r="H1095"/>
          <cell r="I1095"/>
          <cell r="J1095"/>
          <cell r="K1095"/>
          <cell r="L1095"/>
          <cell r="M1095"/>
          <cell r="N1095"/>
        </row>
        <row r="1096">
          <cell r="A1096">
            <v>20231093</v>
          </cell>
          <cell r="B1096"/>
          <cell r="C1096"/>
          <cell r="D1096"/>
          <cell r="E1096"/>
          <cell r="F1096"/>
          <cell r="G1096"/>
          <cell r="H1096"/>
          <cell r="I1096"/>
          <cell r="J1096"/>
          <cell r="K1096"/>
          <cell r="L1096"/>
          <cell r="M1096"/>
          <cell r="N1096"/>
        </row>
        <row r="1097">
          <cell r="A1097">
            <v>20231094</v>
          </cell>
          <cell r="B1097"/>
          <cell r="C1097"/>
          <cell r="D1097"/>
          <cell r="E1097"/>
          <cell r="F1097"/>
          <cell r="G1097"/>
          <cell r="H1097"/>
          <cell r="I1097"/>
          <cell r="J1097"/>
          <cell r="K1097"/>
          <cell r="L1097"/>
          <cell r="M1097"/>
          <cell r="N1097"/>
        </row>
        <row r="1098">
          <cell r="A1098">
            <v>20231095</v>
          </cell>
          <cell r="B1098"/>
          <cell r="C1098"/>
          <cell r="D1098"/>
          <cell r="E1098"/>
          <cell r="F1098"/>
          <cell r="G1098"/>
          <cell r="H1098"/>
          <cell r="I1098"/>
          <cell r="J1098"/>
          <cell r="K1098"/>
          <cell r="L1098"/>
          <cell r="M1098"/>
          <cell r="N1098"/>
        </row>
        <row r="1099">
          <cell r="A1099">
            <v>20231096</v>
          </cell>
          <cell r="B1099"/>
          <cell r="C1099"/>
          <cell r="D1099"/>
          <cell r="E1099"/>
          <cell r="F1099"/>
          <cell r="G1099"/>
          <cell r="H1099"/>
          <cell r="I1099"/>
          <cell r="J1099"/>
          <cell r="K1099"/>
          <cell r="L1099"/>
          <cell r="M1099"/>
          <cell r="N1099"/>
        </row>
        <row r="1100">
          <cell r="A1100">
            <v>20231097</v>
          </cell>
          <cell r="B1100"/>
          <cell r="C1100"/>
          <cell r="D1100"/>
          <cell r="E1100"/>
          <cell r="F1100"/>
          <cell r="G1100"/>
          <cell r="H1100"/>
          <cell r="I1100"/>
          <cell r="J1100"/>
          <cell r="K1100"/>
          <cell r="L1100"/>
          <cell r="M1100"/>
          <cell r="N1100"/>
        </row>
        <row r="1101">
          <cell r="A1101">
            <v>20231098</v>
          </cell>
          <cell r="B1101"/>
          <cell r="C1101"/>
          <cell r="D1101"/>
          <cell r="E1101"/>
          <cell r="F1101"/>
          <cell r="G1101"/>
          <cell r="H1101"/>
          <cell r="I1101"/>
          <cell r="J1101"/>
          <cell r="K1101"/>
          <cell r="L1101"/>
          <cell r="M1101"/>
          <cell r="N1101"/>
        </row>
        <row r="1102">
          <cell r="A1102">
            <v>20231099</v>
          </cell>
          <cell r="B1102"/>
          <cell r="C1102"/>
          <cell r="D1102"/>
          <cell r="E1102"/>
          <cell r="F1102"/>
          <cell r="G1102"/>
          <cell r="H1102"/>
          <cell r="I1102"/>
          <cell r="J1102"/>
          <cell r="K1102"/>
          <cell r="L1102"/>
          <cell r="M1102"/>
          <cell r="N1102"/>
        </row>
        <row r="1103">
          <cell r="A1103">
            <v>20231100</v>
          </cell>
          <cell r="B1103"/>
          <cell r="C1103"/>
          <cell r="D1103"/>
          <cell r="E1103"/>
          <cell r="F1103"/>
          <cell r="G1103"/>
          <cell r="H1103"/>
          <cell r="I1103"/>
          <cell r="J1103"/>
          <cell r="K1103"/>
          <cell r="L1103"/>
          <cell r="M1103"/>
          <cell r="N1103"/>
        </row>
        <row r="1104">
          <cell r="A1104">
            <v>20231101</v>
          </cell>
          <cell r="B1104"/>
          <cell r="C1104"/>
          <cell r="D1104"/>
          <cell r="E1104"/>
          <cell r="F1104"/>
          <cell r="G1104"/>
          <cell r="H1104"/>
          <cell r="I1104"/>
          <cell r="J1104"/>
          <cell r="K1104"/>
          <cell r="L1104"/>
          <cell r="M1104"/>
          <cell r="N1104"/>
        </row>
        <row r="1105">
          <cell r="A1105">
            <v>20231102</v>
          </cell>
          <cell r="B1105"/>
          <cell r="C1105"/>
          <cell r="D1105"/>
          <cell r="E1105"/>
          <cell r="F1105"/>
          <cell r="G1105"/>
          <cell r="H1105"/>
          <cell r="I1105"/>
          <cell r="J1105"/>
          <cell r="K1105"/>
          <cell r="L1105"/>
          <cell r="M1105"/>
          <cell r="N1105"/>
        </row>
        <row r="1106">
          <cell r="A1106">
            <v>20231103</v>
          </cell>
          <cell r="B1106"/>
          <cell r="C1106"/>
          <cell r="D1106"/>
          <cell r="E1106"/>
          <cell r="F1106"/>
          <cell r="G1106"/>
          <cell r="H1106"/>
          <cell r="I1106"/>
          <cell r="J1106"/>
          <cell r="K1106"/>
          <cell r="L1106"/>
          <cell r="M1106"/>
          <cell r="N1106"/>
        </row>
        <row r="1107">
          <cell r="A1107">
            <v>20231104</v>
          </cell>
          <cell r="B1107"/>
          <cell r="C1107"/>
          <cell r="D1107"/>
          <cell r="E1107"/>
          <cell r="F1107"/>
          <cell r="G1107"/>
          <cell r="H1107"/>
          <cell r="I1107"/>
          <cell r="J1107"/>
          <cell r="K1107"/>
          <cell r="L1107"/>
          <cell r="M1107"/>
          <cell r="N1107"/>
        </row>
        <row r="1108">
          <cell r="A1108">
            <v>20231105</v>
          </cell>
          <cell r="B1108"/>
          <cell r="C1108"/>
          <cell r="D1108"/>
          <cell r="E1108"/>
          <cell r="F1108"/>
          <cell r="G1108"/>
          <cell r="H1108"/>
          <cell r="I1108"/>
          <cell r="J1108"/>
          <cell r="K1108"/>
          <cell r="L1108"/>
          <cell r="M1108"/>
          <cell r="N1108"/>
        </row>
        <row r="1109">
          <cell r="A1109">
            <v>20231106</v>
          </cell>
          <cell r="B1109"/>
          <cell r="C1109"/>
          <cell r="D1109"/>
          <cell r="E1109"/>
          <cell r="F1109"/>
          <cell r="G1109"/>
          <cell r="H1109"/>
          <cell r="I1109"/>
          <cell r="J1109"/>
          <cell r="K1109"/>
          <cell r="L1109"/>
          <cell r="M1109"/>
          <cell r="N1109"/>
        </row>
        <row r="1110">
          <cell r="A1110">
            <v>20231107</v>
          </cell>
          <cell r="B1110"/>
          <cell r="C1110"/>
          <cell r="D1110"/>
          <cell r="E1110"/>
          <cell r="F1110"/>
          <cell r="G1110"/>
          <cell r="H1110"/>
          <cell r="I1110"/>
          <cell r="J1110"/>
          <cell r="K1110"/>
          <cell r="L1110"/>
          <cell r="M1110"/>
          <cell r="N1110"/>
        </row>
        <row r="1111">
          <cell r="A1111">
            <v>20231108</v>
          </cell>
          <cell r="B1111"/>
          <cell r="C1111"/>
          <cell r="D1111"/>
          <cell r="E1111"/>
          <cell r="F1111"/>
          <cell r="G1111"/>
          <cell r="H1111"/>
          <cell r="I1111"/>
          <cell r="J1111"/>
          <cell r="K1111"/>
          <cell r="L1111"/>
          <cell r="M1111"/>
          <cell r="N1111"/>
        </row>
        <row r="1112">
          <cell r="A1112">
            <v>20231109</v>
          </cell>
          <cell r="B1112"/>
          <cell r="C1112"/>
          <cell r="D1112"/>
          <cell r="E1112"/>
          <cell r="F1112"/>
          <cell r="G1112"/>
          <cell r="H1112"/>
          <cell r="I1112"/>
          <cell r="J1112"/>
          <cell r="K1112"/>
          <cell r="L1112"/>
          <cell r="M1112"/>
          <cell r="N1112"/>
        </row>
        <row r="1113">
          <cell r="A1113">
            <v>20231110</v>
          </cell>
          <cell r="B1113"/>
          <cell r="C1113"/>
          <cell r="D1113"/>
          <cell r="E1113"/>
          <cell r="F1113"/>
          <cell r="G1113"/>
          <cell r="H1113"/>
          <cell r="I1113"/>
          <cell r="J1113"/>
          <cell r="K1113"/>
          <cell r="L1113"/>
          <cell r="M1113"/>
          <cell r="N1113"/>
        </row>
        <row r="1114">
          <cell r="A1114">
            <v>20231111</v>
          </cell>
          <cell r="B1114"/>
          <cell r="C1114"/>
          <cell r="D1114"/>
          <cell r="E1114"/>
          <cell r="F1114"/>
          <cell r="G1114"/>
          <cell r="H1114"/>
          <cell r="I1114"/>
          <cell r="J1114"/>
          <cell r="K1114"/>
          <cell r="L1114"/>
          <cell r="M1114"/>
          <cell r="N1114"/>
        </row>
        <row r="1115">
          <cell r="A1115">
            <v>20231112</v>
          </cell>
          <cell r="B1115"/>
          <cell r="C1115"/>
          <cell r="D1115"/>
          <cell r="E1115"/>
          <cell r="F1115"/>
          <cell r="G1115"/>
          <cell r="H1115"/>
          <cell r="I1115"/>
          <cell r="J1115"/>
          <cell r="K1115"/>
          <cell r="L1115"/>
          <cell r="M1115"/>
          <cell r="N1115"/>
        </row>
        <row r="1116">
          <cell r="A1116">
            <v>20231113</v>
          </cell>
          <cell r="B1116"/>
          <cell r="C1116"/>
          <cell r="D1116"/>
          <cell r="E1116"/>
          <cell r="F1116"/>
          <cell r="G1116"/>
          <cell r="H1116"/>
          <cell r="I1116"/>
          <cell r="J1116"/>
          <cell r="K1116"/>
          <cell r="L1116"/>
          <cell r="M1116"/>
          <cell r="N1116"/>
        </row>
        <row r="1117">
          <cell r="A1117">
            <v>20231114</v>
          </cell>
          <cell r="B1117"/>
          <cell r="C1117"/>
          <cell r="D1117"/>
          <cell r="E1117"/>
          <cell r="F1117"/>
          <cell r="G1117"/>
          <cell r="H1117"/>
          <cell r="I1117"/>
          <cell r="J1117"/>
          <cell r="K1117"/>
          <cell r="L1117"/>
          <cell r="M1117"/>
          <cell r="N1117"/>
        </row>
        <row r="1118">
          <cell r="A1118">
            <v>20231115</v>
          </cell>
          <cell r="B1118"/>
          <cell r="C1118"/>
          <cell r="D1118"/>
          <cell r="E1118"/>
          <cell r="F1118"/>
          <cell r="G1118"/>
          <cell r="H1118"/>
          <cell r="I1118"/>
          <cell r="J1118"/>
          <cell r="K1118"/>
          <cell r="L1118"/>
          <cell r="M1118"/>
          <cell r="N1118"/>
        </row>
        <row r="1119">
          <cell r="A1119">
            <v>20231116</v>
          </cell>
          <cell r="B1119"/>
          <cell r="C1119"/>
          <cell r="D1119"/>
          <cell r="E1119"/>
          <cell r="F1119"/>
          <cell r="G1119"/>
          <cell r="H1119"/>
          <cell r="I1119"/>
          <cell r="J1119"/>
          <cell r="K1119"/>
          <cell r="L1119"/>
          <cell r="M1119"/>
          <cell r="N1119"/>
        </row>
        <row r="1120">
          <cell r="A1120">
            <v>20231117</v>
          </cell>
          <cell r="B1120"/>
          <cell r="C1120"/>
          <cell r="D1120"/>
          <cell r="E1120"/>
          <cell r="F1120"/>
          <cell r="G1120"/>
          <cell r="H1120"/>
          <cell r="I1120"/>
          <cell r="J1120"/>
          <cell r="K1120"/>
          <cell r="L1120"/>
          <cell r="M1120"/>
          <cell r="N1120"/>
        </row>
        <row r="1121">
          <cell r="A1121">
            <v>20231118</v>
          </cell>
          <cell r="B1121"/>
          <cell r="C1121"/>
          <cell r="D1121"/>
          <cell r="E1121"/>
          <cell r="F1121"/>
          <cell r="G1121"/>
          <cell r="H1121"/>
          <cell r="I1121"/>
          <cell r="J1121"/>
          <cell r="K1121"/>
          <cell r="L1121"/>
          <cell r="M1121"/>
          <cell r="N1121"/>
        </row>
        <row r="1122">
          <cell r="A1122">
            <v>20231119</v>
          </cell>
          <cell r="B1122"/>
          <cell r="C1122"/>
          <cell r="D1122"/>
          <cell r="E1122"/>
          <cell r="F1122"/>
          <cell r="G1122"/>
          <cell r="H1122"/>
          <cell r="I1122"/>
          <cell r="J1122"/>
          <cell r="K1122"/>
          <cell r="L1122"/>
          <cell r="M1122"/>
          <cell r="N1122"/>
        </row>
        <row r="1123">
          <cell r="A1123">
            <v>20231120</v>
          </cell>
          <cell r="B1123"/>
          <cell r="C1123"/>
          <cell r="D1123"/>
          <cell r="E1123"/>
          <cell r="F1123"/>
          <cell r="G1123"/>
          <cell r="H1123"/>
          <cell r="I1123"/>
          <cell r="J1123"/>
          <cell r="K1123"/>
          <cell r="L1123"/>
          <cell r="M1123"/>
          <cell r="N1123"/>
        </row>
        <row r="1124">
          <cell r="A1124">
            <v>20231121</v>
          </cell>
          <cell r="B1124"/>
          <cell r="C1124"/>
          <cell r="D1124"/>
          <cell r="E1124"/>
          <cell r="F1124"/>
          <cell r="G1124"/>
          <cell r="H1124"/>
          <cell r="I1124"/>
          <cell r="J1124"/>
          <cell r="K1124"/>
          <cell r="L1124"/>
          <cell r="M1124"/>
          <cell r="N1124"/>
        </row>
        <row r="1125">
          <cell r="A1125">
            <v>20231122</v>
          </cell>
          <cell r="B1125"/>
          <cell r="C1125"/>
          <cell r="D1125"/>
          <cell r="E1125"/>
          <cell r="F1125"/>
          <cell r="G1125"/>
          <cell r="H1125"/>
          <cell r="I1125"/>
          <cell r="J1125"/>
          <cell r="K1125"/>
          <cell r="L1125"/>
          <cell r="M1125"/>
          <cell r="N1125"/>
        </row>
        <row r="1126">
          <cell r="A1126">
            <v>20231123</v>
          </cell>
          <cell r="B1126"/>
          <cell r="C1126"/>
          <cell r="D1126"/>
          <cell r="E1126"/>
          <cell r="F1126"/>
          <cell r="G1126"/>
          <cell r="H1126"/>
          <cell r="I1126"/>
          <cell r="J1126"/>
          <cell r="K1126"/>
          <cell r="L1126"/>
          <cell r="M1126"/>
          <cell r="N1126"/>
        </row>
        <row r="1127">
          <cell r="A1127">
            <v>20231124</v>
          </cell>
          <cell r="B1127"/>
          <cell r="C1127"/>
          <cell r="D1127"/>
          <cell r="E1127"/>
          <cell r="F1127"/>
          <cell r="G1127"/>
          <cell r="H1127"/>
          <cell r="I1127"/>
          <cell r="J1127"/>
          <cell r="K1127"/>
          <cell r="L1127"/>
          <cell r="M1127"/>
          <cell r="N1127"/>
        </row>
        <row r="1128">
          <cell r="A1128">
            <v>20231125</v>
          </cell>
          <cell r="B1128"/>
          <cell r="C1128"/>
          <cell r="D1128"/>
          <cell r="E1128"/>
          <cell r="F1128"/>
          <cell r="G1128"/>
          <cell r="H1128"/>
          <cell r="I1128"/>
          <cell r="J1128"/>
          <cell r="K1128"/>
          <cell r="L1128"/>
          <cell r="M1128"/>
          <cell r="N1128"/>
        </row>
        <row r="1129">
          <cell r="A1129">
            <v>20231126</v>
          </cell>
          <cell r="B1129"/>
          <cell r="C1129"/>
          <cell r="D1129"/>
          <cell r="E1129"/>
          <cell r="F1129"/>
          <cell r="G1129"/>
          <cell r="H1129"/>
          <cell r="I1129"/>
          <cell r="J1129"/>
          <cell r="K1129"/>
          <cell r="L1129"/>
          <cell r="M1129"/>
          <cell r="N1129"/>
        </row>
        <row r="1130">
          <cell r="A1130">
            <v>20231127</v>
          </cell>
          <cell r="B1130"/>
          <cell r="C1130"/>
          <cell r="D1130"/>
          <cell r="E1130"/>
          <cell r="F1130"/>
          <cell r="G1130"/>
          <cell r="H1130"/>
          <cell r="I1130"/>
          <cell r="J1130"/>
          <cell r="K1130"/>
          <cell r="L1130"/>
          <cell r="M1130"/>
          <cell r="N1130"/>
        </row>
        <row r="1131">
          <cell r="A1131">
            <v>20231128</v>
          </cell>
          <cell r="B1131"/>
          <cell r="C1131"/>
          <cell r="D1131"/>
          <cell r="E1131"/>
          <cell r="F1131"/>
          <cell r="G1131"/>
          <cell r="H1131"/>
          <cell r="I1131"/>
          <cell r="J1131"/>
          <cell r="K1131"/>
          <cell r="L1131"/>
          <cell r="M1131"/>
          <cell r="N1131"/>
        </row>
        <row r="1132">
          <cell r="A1132">
            <v>20231129</v>
          </cell>
          <cell r="B1132"/>
          <cell r="C1132"/>
          <cell r="D1132"/>
          <cell r="E1132"/>
          <cell r="F1132"/>
          <cell r="G1132"/>
          <cell r="H1132"/>
          <cell r="I1132"/>
          <cell r="J1132"/>
          <cell r="K1132"/>
          <cell r="L1132"/>
          <cell r="M1132"/>
          <cell r="N1132"/>
        </row>
        <row r="1133">
          <cell r="A1133">
            <v>20231130</v>
          </cell>
          <cell r="B1133"/>
          <cell r="C1133"/>
          <cell r="D1133"/>
          <cell r="E1133"/>
          <cell r="F1133"/>
          <cell r="G1133"/>
          <cell r="H1133"/>
          <cell r="I1133"/>
          <cell r="J1133"/>
          <cell r="K1133"/>
          <cell r="L1133"/>
          <cell r="M1133"/>
          <cell r="N1133"/>
        </row>
        <row r="1134">
          <cell r="A1134">
            <v>20231131</v>
          </cell>
          <cell r="B1134"/>
          <cell r="C1134"/>
          <cell r="D1134"/>
          <cell r="E1134"/>
          <cell r="F1134"/>
          <cell r="G1134"/>
          <cell r="H1134"/>
          <cell r="I1134"/>
          <cell r="J1134"/>
          <cell r="K1134"/>
          <cell r="L1134"/>
          <cell r="M1134"/>
          <cell r="N1134"/>
        </row>
        <row r="1135">
          <cell r="A1135">
            <v>20231132</v>
          </cell>
          <cell r="B1135"/>
          <cell r="C1135"/>
          <cell r="D1135"/>
          <cell r="E1135"/>
          <cell r="F1135"/>
          <cell r="G1135"/>
          <cell r="H1135"/>
          <cell r="I1135"/>
          <cell r="J1135"/>
          <cell r="K1135"/>
          <cell r="L1135"/>
          <cell r="M1135"/>
          <cell r="N1135"/>
        </row>
        <row r="1136">
          <cell r="A1136">
            <v>20231133</v>
          </cell>
          <cell r="B1136"/>
          <cell r="C1136"/>
          <cell r="D1136"/>
          <cell r="E1136"/>
          <cell r="F1136"/>
          <cell r="G1136"/>
          <cell r="H1136"/>
          <cell r="I1136"/>
          <cell r="J1136"/>
          <cell r="K1136"/>
          <cell r="L1136"/>
          <cell r="M1136"/>
          <cell r="N1136"/>
        </row>
        <row r="1137">
          <cell r="A1137">
            <v>20231134</v>
          </cell>
          <cell r="B1137"/>
          <cell r="C1137"/>
          <cell r="D1137"/>
          <cell r="E1137"/>
          <cell r="F1137"/>
          <cell r="G1137"/>
          <cell r="H1137"/>
          <cell r="I1137"/>
          <cell r="J1137"/>
          <cell r="K1137"/>
          <cell r="L1137"/>
          <cell r="M1137"/>
          <cell r="N1137"/>
        </row>
        <row r="1138">
          <cell r="A1138">
            <v>20231135</v>
          </cell>
          <cell r="B1138"/>
          <cell r="C1138"/>
          <cell r="D1138"/>
          <cell r="E1138"/>
          <cell r="F1138"/>
          <cell r="G1138"/>
          <cell r="H1138"/>
          <cell r="I1138"/>
          <cell r="J1138"/>
          <cell r="K1138"/>
          <cell r="L1138"/>
          <cell r="M1138"/>
          <cell r="N1138"/>
        </row>
        <row r="1139">
          <cell r="A1139">
            <v>20231136</v>
          </cell>
          <cell r="B1139"/>
          <cell r="C1139"/>
          <cell r="D1139"/>
          <cell r="E1139"/>
          <cell r="F1139"/>
          <cell r="G1139"/>
          <cell r="H1139"/>
          <cell r="I1139"/>
          <cell r="J1139"/>
          <cell r="K1139"/>
          <cell r="L1139"/>
          <cell r="M1139"/>
          <cell r="N1139"/>
        </row>
        <row r="1140">
          <cell r="A1140">
            <v>20231137</v>
          </cell>
          <cell r="B1140"/>
          <cell r="C1140"/>
          <cell r="D1140"/>
          <cell r="E1140"/>
          <cell r="F1140"/>
          <cell r="G1140"/>
          <cell r="H1140"/>
          <cell r="I1140"/>
          <cell r="J1140"/>
          <cell r="K1140"/>
          <cell r="L1140"/>
          <cell r="M1140"/>
          <cell r="N1140"/>
        </row>
        <row r="1141">
          <cell r="A1141">
            <v>20231138</v>
          </cell>
          <cell r="B1141"/>
          <cell r="C1141"/>
          <cell r="D1141"/>
          <cell r="E1141"/>
          <cell r="F1141"/>
          <cell r="G1141"/>
          <cell r="H1141"/>
          <cell r="I1141"/>
          <cell r="J1141"/>
          <cell r="K1141"/>
          <cell r="L1141"/>
          <cell r="M1141"/>
          <cell r="N1141"/>
        </row>
        <row r="1142">
          <cell r="A1142">
            <v>20231139</v>
          </cell>
          <cell r="B1142"/>
          <cell r="C1142"/>
          <cell r="D1142"/>
          <cell r="E1142"/>
          <cell r="F1142"/>
          <cell r="G1142"/>
          <cell r="H1142"/>
          <cell r="I1142"/>
          <cell r="J1142"/>
          <cell r="K1142"/>
          <cell r="L1142"/>
          <cell r="M1142"/>
          <cell r="N1142"/>
        </row>
        <row r="1143">
          <cell r="A1143">
            <v>20231140</v>
          </cell>
          <cell r="B1143"/>
          <cell r="C1143"/>
          <cell r="D1143"/>
          <cell r="E1143"/>
          <cell r="F1143"/>
          <cell r="G1143"/>
          <cell r="H1143"/>
          <cell r="I1143"/>
          <cell r="J1143"/>
          <cell r="K1143"/>
          <cell r="L1143"/>
          <cell r="M1143"/>
          <cell r="N1143"/>
        </row>
        <row r="1144">
          <cell r="A1144">
            <v>20231141</v>
          </cell>
          <cell r="B1144"/>
          <cell r="C1144"/>
          <cell r="D1144"/>
          <cell r="E1144"/>
          <cell r="F1144"/>
          <cell r="G1144"/>
          <cell r="H1144"/>
          <cell r="I1144"/>
          <cell r="J1144"/>
          <cell r="K1144"/>
          <cell r="L1144"/>
          <cell r="M1144"/>
          <cell r="N1144"/>
        </row>
        <row r="1145">
          <cell r="A1145">
            <v>20231142</v>
          </cell>
          <cell r="B1145"/>
          <cell r="C1145"/>
          <cell r="D1145"/>
          <cell r="E1145"/>
          <cell r="F1145"/>
          <cell r="G1145"/>
          <cell r="H1145"/>
          <cell r="I1145"/>
          <cell r="J1145"/>
          <cell r="K1145"/>
          <cell r="L1145"/>
          <cell r="M1145"/>
          <cell r="N1145"/>
        </row>
        <row r="1146">
          <cell r="A1146">
            <v>20231143</v>
          </cell>
          <cell r="B1146"/>
          <cell r="C1146"/>
          <cell r="D1146"/>
          <cell r="E1146"/>
          <cell r="F1146"/>
          <cell r="G1146"/>
          <cell r="H1146"/>
          <cell r="I1146"/>
          <cell r="J1146"/>
          <cell r="K1146"/>
          <cell r="L1146"/>
          <cell r="M1146"/>
          <cell r="N1146"/>
        </row>
        <row r="1147">
          <cell r="A1147">
            <v>20231144</v>
          </cell>
          <cell r="B1147"/>
          <cell r="C1147"/>
          <cell r="D1147"/>
          <cell r="E1147"/>
          <cell r="F1147"/>
          <cell r="G1147"/>
          <cell r="H1147"/>
          <cell r="I1147"/>
          <cell r="J1147"/>
          <cell r="K1147"/>
          <cell r="L1147"/>
          <cell r="M1147"/>
          <cell r="N1147"/>
        </row>
        <row r="1148">
          <cell r="A1148">
            <v>20231145</v>
          </cell>
          <cell r="B1148"/>
          <cell r="C1148"/>
          <cell r="D1148"/>
          <cell r="E1148"/>
          <cell r="F1148"/>
          <cell r="G1148"/>
          <cell r="H1148"/>
          <cell r="I1148"/>
          <cell r="J1148"/>
          <cell r="K1148"/>
          <cell r="L1148"/>
          <cell r="M1148"/>
          <cell r="N1148"/>
        </row>
        <row r="1149">
          <cell r="A1149">
            <v>20231146</v>
          </cell>
          <cell r="B1149"/>
          <cell r="C1149"/>
          <cell r="D1149"/>
          <cell r="E1149"/>
          <cell r="F1149"/>
          <cell r="G1149"/>
          <cell r="H1149"/>
          <cell r="I1149"/>
          <cell r="J1149"/>
          <cell r="K1149"/>
          <cell r="L1149"/>
          <cell r="M1149"/>
          <cell r="N1149"/>
        </row>
        <row r="1150">
          <cell r="A1150">
            <v>20231147</v>
          </cell>
          <cell r="B1150"/>
          <cell r="C1150"/>
          <cell r="D1150"/>
          <cell r="E1150"/>
          <cell r="F1150"/>
          <cell r="G1150"/>
          <cell r="H1150"/>
          <cell r="I1150"/>
          <cell r="J1150"/>
          <cell r="K1150"/>
          <cell r="L1150"/>
          <cell r="M1150"/>
          <cell r="N1150"/>
        </row>
        <row r="1151">
          <cell r="A1151">
            <v>20231148</v>
          </cell>
          <cell r="B1151"/>
          <cell r="C1151"/>
          <cell r="D1151"/>
          <cell r="E1151"/>
          <cell r="F1151"/>
          <cell r="G1151"/>
          <cell r="H1151"/>
          <cell r="I1151"/>
          <cell r="J1151"/>
          <cell r="K1151"/>
          <cell r="L1151"/>
          <cell r="M1151"/>
          <cell r="N1151"/>
        </row>
        <row r="1152">
          <cell r="A1152">
            <v>20231149</v>
          </cell>
          <cell r="B1152"/>
          <cell r="C1152"/>
          <cell r="D1152"/>
          <cell r="E1152"/>
          <cell r="F1152"/>
          <cell r="G1152"/>
          <cell r="H1152"/>
          <cell r="I1152"/>
          <cell r="J1152"/>
          <cell r="K1152"/>
          <cell r="L1152"/>
          <cell r="M1152"/>
          <cell r="N1152"/>
        </row>
        <row r="1153">
          <cell r="A1153">
            <v>20231150</v>
          </cell>
          <cell r="B1153"/>
          <cell r="C1153"/>
          <cell r="D1153"/>
          <cell r="E1153"/>
          <cell r="F1153"/>
          <cell r="G1153"/>
          <cell r="H1153"/>
          <cell r="I1153"/>
          <cell r="J1153"/>
          <cell r="K1153"/>
          <cell r="L1153"/>
          <cell r="M1153"/>
          <cell r="N1153"/>
        </row>
        <row r="1154">
          <cell r="A1154">
            <v>20231151</v>
          </cell>
          <cell r="B1154"/>
          <cell r="C1154"/>
          <cell r="D1154"/>
          <cell r="E1154"/>
          <cell r="F1154"/>
          <cell r="G1154"/>
          <cell r="H1154"/>
          <cell r="I1154"/>
          <cell r="J1154"/>
          <cell r="K1154"/>
          <cell r="L1154"/>
          <cell r="M1154"/>
          <cell r="N1154"/>
        </row>
        <row r="1155">
          <cell r="A1155">
            <v>20231152</v>
          </cell>
          <cell r="B1155"/>
          <cell r="C1155"/>
          <cell r="D1155"/>
          <cell r="E1155"/>
          <cell r="F1155"/>
          <cell r="G1155"/>
          <cell r="H1155"/>
          <cell r="I1155"/>
          <cell r="J1155"/>
          <cell r="K1155"/>
          <cell r="L1155"/>
          <cell r="M1155"/>
          <cell r="N1155"/>
        </row>
        <row r="1156">
          <cell r="A1156">
            <v>20231153</v>
          </cell>
          <cell r="B1156"/>
          <cell r="C1156"/>
          <cell r="D1156"/>
          <cell r="E1156"/>
          <cell r="F1156"/>
          <cell r="G1156"/>
          <cell r="H1156"/>
          <cell r="I1156"/>
          <cell r="J1156"/>
          <cell r="K1156"/>
          <cell r="L1156"/>
          <cell r="M1156"/>
          <cell r="N1156"/>
        </row>
        <row r="1157">
          <cell r="A1157">
            <v>20231154</v>
          </cell>
          <cell r="B1157"/>
          <cell r="C1157"/>
          <cell r="D1157"/>
          <cell r="E1157"/>
          <cell r="F1157"/>
          <cell r="G1157"/>
          <cell r="H1157"/>
          <cell r="I1157"/>
          <cell r="J1157"/>
          <cell r="K1157"/>
          <cell r="L1157"/>
          <cell r="M1157"/>
          <cell r="N1157"/>
        </row>
        <row r="1158">
          <cell r="A1158">
            <v>20231155</v>
          </cell>
          <cell r="B1158"/>
          <cell r="C1158"/>
          <cell r="D1158"/>
          <cell r="E1158"/>
          <cell r="F1158"/>
          <cell r="G1158"/>
          <cell r="H1158"/>
          <cell r="I1158"/>
          <cell r="J1158"/>
          <cell r="K1158"/>
          <cell r="L1158"/>
          <cell r="M1158"/>
          <cell r="N1158"/>
        </row>
        <row r="1159">
          <cell r="A1159">
            <v>20231156</v>
          </cell>
          <cell r="B1159"/>
          <cell r="C1159"/>
          <cell r="D1159"/>
          <cell r="E1159"/>
          <cell r="F1159"/>
          <cell r="G1159"/>
          <cell r="H1159"/>
          <cell r="I1159"/>
          <cell r="J1159"/>
          <cell r="K1159"/>
          <cell r="L1159"/>
          <cell r="M1159"/>
          <cell r="N1159"/>
        </row>
        <row r="1160">
          <cell r="A1160">
            <v>20231157</v>
          </cell>
          <cell r="B1160"/>
          <cell r="C1160"/>
          <cell r="D1160"/>
          <cell r="E1160"/>
          <cell r="F1160"/>
          <cell r="G1160"/>
          <cell r="H1160"/>
          <cell r="I1160"/>
          <cell r="J1160"/>
          <cell r="K1160"/>
          <cell r="L1160"/>
          <cell r="M1160"/>
          <cell r="N1160"/>
        </row>
        <row r="1161">
          <cell r="A1161">
            <v>20231158</v>
          </cell>
          <cell r="B1161"/>
          <cell r="C1161"/>
          <cell r="D1161"/>
          <cell r="E1161"/>
          <cell r="F1161"/>
          <cell r="G1161"/>
          <cell r="H1161"/>
          <cell r="I1161"/>
          <cell r="J1161"/>
          <cell r="K1161"/>
          <cell r="L1161"/>
          <cell r="M1161"/>
          <cell r="N1161"/>
        </row>
        <row r="1162">
          <cell r="A1162">
            <v>20231159</v>
          </cell>
          <cell r="B1162"/>
          <cell r="C1162"/>
          <cell r="D1162"/>
          <cell r="E1162"/>
          <cell r="F1162"/>
          <cell r="G1162"/>
          <cell r="H1162"/>
          <cell r="I1162"/>
          <cell r="J1162"/>
          <cell r="K1162"/>
          <cell r="L1162"/>
          <cell r="M1162"/>
          <cell r="N1162"/>
        </row>
        <row r="1163">
          <cell r="A1163">
            <v>20231160</v>
          </cell>
          <cell r="B1163"/>
          <cell r="C1163"/>
          <cell r="D1163"/>
          <cell r="E1163"/>
          <cell r="F1163"/>
          <cell r="G1163"/>
          <cell r="H1163"/>
          <cell r="I1163"/>
          <cell r="J1163"/>
          <cell r="K1163"/>
          <cell r="L1163"/>
          <cell r="M1163"/>
          <cell r="N1163"/>
        </row>
        <row r="1164">
          <cell r="A1164">
            <v>20231161</v>
          </cell>
          <cell r="B1164"/>
          <cell r="C1164"/>
          <cell r="D1164"/>
          <cell r="E1164"/>
          <cell r="F1164"/>
          <cell r="G1164"/>
          <cell r="H1164"/>
          <cell r="I1164"/>
          <cell r="J1164"/>
          <cell r="K1164"/>
          <cell r="L1164"/>
          <cell r="M1164"/>
          <cell r="N1164"/>
        </row>
        <row r="1165">
          <cell r="A1165">
            <v>20231162</v>
          </cell>
          <cell r="B1165"/>
          <cell r="C1165"/>
          <cell r="D1165"/>
          <cell r="E1165"/>
          <cell r="F1165"/>
          <cell r="G1165"/>
          <cell r="H1165"/>
          <cell r="I1165"/>
          <cell r="J1165"/>
          <cell r="K1165"/>
          <cell r="L1165"/>
          <cell r="M1165"/>
          <cell r="N1165"/>
        </row>
        <row r="1166">
          <cell r="A1166">
            <v>20231163</v>
          </cell>
          <cell r="B1166"/>
          <cell r="C1166"/>
          <cell r="D1166"/>
          <cell r="E1166"/>
          <cell r="F1166"/>
          <cell r="G1166"/>
          <cell r="H1166"/>
          <cell r="I1166"/>
          <cell r="J1166"/>
          <cell r="K1166"/>
          <cell r="L1166"/>
          <cell r="M1166"/>
          <cell r="N1166"/>
        </row>
        <row r="1167">
          <cell r="A1167">
            <v>20231164</v>
          </cell>
          <cell r="B1167"/>
          <cell r="C1167"/>
          <cell r="D1167"/>
          <cell r="E1167"/>
          <cell r="F1167"/>
          <cell r="G1167"/>
          <cell r="H1167"/>
          <cell r="I1167"/>
          <cell r="J1167"/>
          <cell r="K1167"/>
          <cell r="L1167"/>
          <cell r="M1167"/>
          <cell r="N1167"/>
        </row>
        <row r="1168">
          <cell r="A1168">
            <v>20231165</v>
          </cell>
          <cell r="B1168"/>
          <cell r="C1168"/>
          <cell r="D1168"/>
          <cell r="E1168"/>
          <cell r="F1168"/>
          <cell r="G1168"/>
          <cell r="H1168"/>
          <cell r="I1168"/>
          <cell r="J1168"/>
          <cell r="K1168"/>
          <cell r="L1168"/>
          <cell r="M1168"/>
          <cell r="N1168"/>
        </row>
        <row r="1169">
          <cell r="A1169">
            <v>20231166</v>
          </cell>
          <cell r="B1169"/>
          <cell r="C1169"/>
          <cell r="D1169"/>
          <cell r="E1169"/>
          <cell r="F1169"/>
          <cell r="G1169"/>
          <cell r="H1169"/>
          <cell r="I1169"/>
          <cell r="J1169"/>
          <cell r="K1169"/>
          <cell r="L1169"/>
          <cell r="M1169"/>
          <cell r="N1169"/>
        </row>
        <row r="1170">
          <cell r="A1170">
            <v>20231167</v>
          </cell>
          <cell r="B1170"/>
          <cell r="C1170"/>
          <cell r="D1170"/>
          <cell r="E1170"/>
          <cell r="F1170"/>
          <cell r="G1170"/>
          <cell r="H1170"/>
          <cell r="I1170"/>
          <cell r="J1170"/>
          <cell r="K1170"/>
          <cell r="L1170"/>
          <cell r="M1170"/>
          <cell r="N1170"/>
        </row>
        <row r="1171">
          <cell r="A1171">
            <v>20231168</v>
          </cell>
          <cell r="B1171"/>
          <cell r="C1171"/>
          <cell r="D1171"/>
          <cell r="E1171"/>
          <cell r="F1171"/>
          <cell r="G1171"/>
          <cell r="H1171"/>
          <cell r="I1171"/>
          <cell r="J1171"/>
          <cell r="K1171"/>
          <cell r="L1171"/>
          <cell r="M1171"/>
          <cell r="N1171"/>
        </row>
        <row r="1172">
          <cell r="A1172">
            <v>20231169</v>
          </cell>
          <cell r="B1172"/>
          <cell r="C1172"/>
          <cell r="D1172"/>
          <cell r="E1172"/>
          <cell r="F1172"/>
          <cell r="G1172"/>
          <cell r="H1172"/>
          <cell r="I1172"/>
          <cell r="J1172"/>
          <cell r="K1172"/>
          <cell r="L1172"/>
          <cell r="M1172"/>
          <cell r="N1172"/>
        </row>
        <row r="1173">
          <cell r="A1173">
            <v>20231170</v>
          </cell>
          <cell r="B1173"/>
          <cell r="C1173"/>
          <cell r="D1173"/>
          <cell r="E1173"/>
          <cell r="F1173"/>
          <cell r="G1173"/>
          <cell r="H1173"/>
          <cell r="I1173"/>
          <cell r="J1173"/>
          <cell r="K1173"/>
          <cell r="L1173"/>
          <cell r="M1173"/>
          <cell r="N1173"/>
        </row>
        <row r="1174">
          <cell r="A1174">
            <v>20231171</v>
          </cell>
          <cell r="B1174"/>
          <cell r="C1174"/>
          <cell r="D1174"/>
          <cell r="E1174"/>
          <cell r="F1174"/>
          <cell r="G1174"/>
          <cell r="H1174"/>
          <cell r="I1174"/>
          <cell r="J1174"/>
          <cell r="K1174"/>
          <cell r="L1174"/>
          <cell r="M1174"/>
          <cell r="N1174"/>
        </row>
        <row r="1175">
          <cell r="A1175">
            <v>20231172</v>
          </cell>
          <cell r="B1175"/>
          <cell r="C1175"/>
          <cell r="D1175"/>
          <cell r="E1175"/>
          <cell r="F1175"/>
          <cell r="G1175"/>
          <cell r="H1175"/>
          <cell r="I1175"/>
          <cell r="J1175"/>
          <cell r="K1175"/>
          <cell r="L1175"/>
          <cell r="M1175"/>
          <cell r="N1175"/>
        </row>
        <row r="1176">
          <cell r="A1176">
            <v>20231173</v>
          </cell>
          <cell r="B1176"/>
          <cell r="C1176"/>
          <cell r="D1176"/>
          <cell r="E1176"/>
          <cell r="F1176"/>
          <cell r="G1176"/>
          <cell r="H1176"/>
          <cell r="I1176"/>
          <cell r="J1176"/>
          <cell r="K1176"/>
          <cell r="L1176"/>
          <cell r="M1176"/>
          <cell r="N1176"/>
        </row>
        <row r="1177">
          <cell r="A1177">
            <v>20231174</v>
          </cell>
          <cell r="B1177"/>
          <cell r="C1177"/>
          <cell r="D1177"/>
          <cell r="E1177"/>
          <cell r="F1177"/>
          <cell r="G1177"/>
          <cell r="H1177"/>
          <cell r="I1177"/>
          <cell r="J1177"/>
          <cell r="K1177"/>
          <cell r="L1177"/>
          <cell r="M1177"/>
          <cell r="N1177"/>
        </row>
        <row r="1178">
          <cell r="A1178">
            <v>20231175</v>
          </cell>
          <cell r="B1178"/>
          <cell r="C1178"/>
          <cell r="D1178"/>
          <cell r="E1178"/>
          <cell r="F1178"/>
          <cell r="G1178"/>
          <cell r="H1178"/>
          <cell r="I1178"/>
          <cell r="J1178"/>
          <cell r="K1178"/>
          <cell r="L1178"/>
          <cell r="M1178"/>
          <cell r="N1178"/>
        </row>
        <row r="1179">
          <cell r="A1179">
            <v>20231176</v>
          </cell>
          <cell r="B1179"/>
          <cell r="C1179"/>
          <cell r="D1179"/>
          <cell r="E1179"/>
          <cell r="F1179"/>
          <cell r="G1179"/>
          <cell r="H1179"/>
          <cell r="I1179"/>
          <cell r="J1179"/>
          <cell r="K1179"/>
          <cell r="L1179"/>
          <cell r="M1179"/>
          <cell r="N1179"/>
        </row>
        <row r="1180">
          <cell r="A1180">
            <v>20231177</v>
          </cell>
          <cell r="B1180"/>
          <cell r="C1180"/>
          <cell r="D1180"/>
          <cell r="E1180"/>
          <cell r="F1180"/>
          <cell r="G1180"/>
          <cell r="H1180"/>
          <cell r="I1180"/>
          <cell r="J1180"/>
          <cell r="K1180"/>
          <cell r="L1180"/>
          <cell r="M1180"/>
          <cell r="N1180"/>
        </row>
        <row r="1181">
          <cell r="A1181">
            <v>20231178</v>
          </cell>
          <cell r="B1181"/>
          <cell r="C1181"/>
          <cell r="D1181"/>
          <cell r="E1181"/>
          <cell r="F1181"/>
          <cell r="G1181"/>
          <cell r="H1181"/>
          <cell r="I1181"/>
          <cell r="J1181"/>
          <cell r="K1181"/>
          <cell r="L1181"/>
          <cell r="M1181"/>
          <cell r="N1181"/>
        </row>
        <row r="1182">
          <cell r="A1182">
            <v>20231179</v>
          </cell>
          <cell r="B1182"/>
          <cell r="C1182"/>
          <cell r="D1182"/>
          <cell r="E1182"/>
          <cell r="F1182"/>
          <cell r="G1182"/>
          <cell r="H1182"/>
          <cell r="I1182"/>
          <cell r="J1182"/>
          <cell r="K1182"/>
          <cell r="L1182"/>
          <cell r="M1182"/>
          <cell r="N1182"/>
        </row>
        <row r="1183">
          <cell r="A1183">
            <v>20231180</v>
          </cell>
          <cell r="B1183"/>
          <cell r="C1183"/>
          <cell r="D1183"/>
          <cell r="E1183"/>
          <cell r="F1183"/>
          <cell r="G1183"/>
          <cell r="H1183"/>
          <cell r="I1183"/>
          <cell r="J1183"/>
          <cell r="K1183"/>
          <cell r="L1183"/>
          <cell r="M1183"/>
          <cell r="N1183"/>
        </row>
        <row r="1184">
          <cell r="A1184">
            <v>20231181</v>
          </cell>
          <cell r="B1184"/>
          <cell r="C1184"/>
          <cell r="D1184"/>
          <cell r="E1184"/>
          <cell r="F1184"/>
          <cell r="G1184"/>
          <cell r="H1184"/>
          <cell r="I1184"/>
          <cell r="J1184"/>
          <cell r="K1184"/>
          <cell r="L1184"/>
          <cell r="M1184"/>
          <cell r="N1184"/>
        </row>
        <row r="1185">
          <cell r="A1185">
            <v>20231182</v>
          </cell>
          <cell r="B1185"/>
          <cell r="C1185"/>
          <cell r="D1185"/>
          <cell r="E1185"/>
          <cell r="F1185"/>
          <cell r="G1185"/>
          <cell r="H1185"/>
          <cell r="I1185"/>
          <cell r="J1185"/>
          <cell r="K1185"/>
          <cell r="L1185"/>
          <cell r="M1185"/>
          <cell r="N1185"/>
        </row>
        <row r="1186">
          <cell r="A1186">
            <v>20231183</v>
          </cell>
          <cell r="B1186"/>
          <cell r="C1186"/>
          <cell r="D1186"/>
          <cell r="E1186"/>
          <cell r="F1186"/>
          <cell r="G1186"/>
          <cell r="H1186"/>
          <cell r="I1186"/>
          <cell r="J1186"/>
          <cell r="K1186"/>
          <cell r="L1186"/>
          <cell r="M1186"/>
          <cell r="N1186"/>
        </row>
        <row r="1187">
          <cell r="A1187">
            <v>20231184</v>
          </cell>
          <cell r="B1187"/>
          <cell r="C1187"/>
          <cell r="D1187"/>
          <cell r="E1187"/>
          <cell r="F1187"/>
          <cell r="G1187"/>
          <cell r="H1187"/>
          <cell r="I1187"/>
          <cell r="J1187"/>
          <cell r="K1187"/>
          <cell r="L1187"/>
          <cell r="M1187"/>
          <cell r="N1187"/>
        </row>
        <row r="1188">
          <cell r="A1188">
            <v>20231185</v>
          </cell>
          <cell r="B1188"/>
          <cell r="C1188"/>
          <cell r="D1188"/>
          <cell r="E1188"/>
          <cell r="F1188"/>
          <cell r="G1188"/>
          <cell r="H1188"/>
          <cell r="I1188"/>
          <cell r="J1188"/>
          <cell r="K1188"/>
          <cell r="L1188"/>
          <cell r="M1188"/>
          <cell r="N1188"/>
        </row>
        <row r="1189">
          <cell r="A1189">
            <v>20231186</v>
          </cell>
          <cell r="B1189"/>
          <cell r="C1189"/>
          <cell r="D1189"/>
          <cell r="E1189"/>
          <cell r="F1189"/>
          <cell r="G1189"/>
          <cell r="H1189"/>
          <cell r="I1189"/>
          <cell r="J1189"/>
          <cell r="K1189"/>
          <cell r="L1189"/>
          <cell r="M1189"/>
          <cell r="N1189"/>
        </row>
        <row r="1190">
          <cell r="A1190">
            <v>20231187</v>
          </cell>
          <cell r="B1190"/>
          <cell r="C1190"/>
          <cell r="D1190"/>
          <cell r="E1190"/>
          <cell r="F1190"/>
          <cell r="G1190"/>
          <cell r="H1190"/>
          <cell r="I1190"/>
          <cell r="J1190"/>
          <cell r="K1190"/>
          <cell r="L1190"/>
          <cell r="M1190"/>
          <cell r="N1190"/>
        </row>
        <row r="1191">
          <cell r="A1191">
            <v>20231188</v>
          </cell>
          <cell r="B1191"/>
          <cell r="C1191"/>
          <cell r="D1191"/>
          <cell r="E1191"/>
          <cell r="F1191"/>
          <cell r="G1191"/>
          <cell r="H1191"/>
          <cell r="I1191"/>
          <cell r="J1191"/>
          <cell r="K1191"/>
          <cell r="L1191"/>
          <cell r="M1191"/>
          <cell r="N1191"/>
        </row>
        <row r="1192">
          <cell r="A1192">
            <v>20231189</v>
          </cell>
          <cell r="B1192"/>
          <cell r="C1192"/>
          <cell r="D1192"/>
          <cell r="E1192"/>
          <cell r="F1192"/>
          <cell r="G1192"/>
          <cell r="H1192"/>
          <cell r="I1192"/>
          <cell r="J1192"/>
          <cell r="K1192"/>
          <cell r="L1192"/>
          <cell r="M1192"/>
          <cell r="N1192"/>
        </row>
        <row r="1193">
          <cell r="A1193">
            <v>20231190</v>
          </cell>
          <cell r="B1193"/>
          <cell r="C1193"/>
          <cell r="D1193"/>
          <cell r="E1193"/>
          <cell r="F1193"/>
          <cell r="G1193"/>
          <cell r="H1193"/>
          <cell r="I1193"/>
          <cell r="J1193"/>
          <cell r="K1193"/>
          <cell r="L1193"/>
          <cell r="M1193"/>
          <cell r="N1193"/>
        </row>
        <row r="1194">
          <cell r="A1194">
            <v>20231191</v>
          </cell>
          <cell r="B1194"/>
          <cell r="C1194"/>
          <cell r="D1194"/>
          <cell r="E1194"/>
          <cell r="F1194"/>
          <cell r="G1194"/>
          <cell r="H1194"/>
          <cell r="I1194"/>
          <cell r="J1194"/>
          <cell r="K1194"/>
          <cell r="L1194"/>
          <cell r="M1194"/>
          <cell r="N1194"/>
        </row>
        <row r="1195">
          <cell r="A1195">
            <v>20231192</v>
          </cell>
          <cell r="B1195"/>
          <cell r="C1195"/>
          <cell r="D1195"/>
          <cell r="E1195"/>
          <cell r="F1195"/>
          <cell r="G1195"/>
          <cell r="H1195"/>
          <cell r="I1195"/>
          <cell r="J1195"/>
          <cell r="K1195"/>
          <cell r="L1195"/>
          <cell r="M1195"/>
          <cell r="N1195"/>
        </row>
        <row r="1196">
          <cell r="A1196">
            <v>20231193</v>
          </cell>
          <cell r="B1196"/>
          <cell r="C1196"/>
          <cell r="D1196"/>
          <cell r="E1196"/>
          <cell r="F1196"/>
          <cell r="G1196"/>
          <cell r="H1196"/>
          <cell r="I1196"/>
          <cell r="J1196"/>
          <cell r="K1196"/>
          <cell r="L1196"/>
          <cell r="M1196"/>
          <cell r="N1196"/>
        </row>
        <row r="1197">
          <cell r="A1197">
            <v>20231194</v>
          </cell>
          <cell r="B1197"/>
          <cell r="C1197"/>
          <cell r="D1197"/>
          <cell r="E1197"/>
          <cell r="F1197"/>
          <cell r="G1197"/>
          <cell r="H1197"/>
          <cell r="I1197"/>
          <cell r="J1197"/>
          <cell r="K1197"/>
          <cell r="L1197"/>
          <cell r="M1197"/>
          <cell r="N1197"/>
        </row>
        <row r="1198">
          <cell r="A1198">
            <v>20231195</v>
          </cell>
          <cell r="B1198"/>
          <cell r="C1198"/>
          <cell r="D1198"/>
          <cell r="E1198"/>
          <cell r="F1198"/>
          <cell r="G1198"/>
          <cell r="H1198"/>
          <cell r="I1198"/>
          <cell r="J1198"/>
          <cell r="K1198"/>
          <cell r="L1198"/>
          <cell r="M1198"/>
          <cell r="N1198"/>
        </row>
        <row r="1199">
          <cell r="A1199">
            <v>20231196</v>
          </cell>
          <cell r="B1199"/>
          <cell r="C1199"/>
          <cell r="D1199"/>
          <cell r="E1199"/>
          <cell r="F1199"/>
          <cell r="G1199"/>
          <cell r="H1199"/>
          <cell r="I1199"/>
          <cell r="J1199"/>
          <cell r="K1199"/>
          <cell r="L1199"/>
          <cell r="M1199"/>
          <cell r="N1199"/>
        </row>
        <row r="1200">
          <cell r="A1200">
            <v>20231197</v>
          </cell>
          <cell r="B1200"/>
          <cell r="C1200"/>
          <cell r="D1200"/>
          <cell r="E1200"/>
          <cell r="F1200"/>
          <cell r="G1200"/>
          <cell r="H1200"/>
          <cell r="I1200"/>
          <cell r="J1200"/>
          <cell r="K1200"/>
          <cell r="L1200"/>
          <cell r="M1200"/>
          <cell r="N1200"/>
        </row>
        <row r="1201">
          <cell r="A1201">
            <v>20231198</v>
          </cell>
          <cell r="B1201"/>
          <cell r="C1201"/>
          <cell r="D1201"/>
          <cell r="E1201"/>
          <cell r="F1201"/>
          <cell r="G1201"/>
          <cell r="H1201"/>
          <cell r="I1201"/>
          <cell r="J1201"/>
          <cell r="K1201"/>
          <cell r="L1201"/>
          <cell r="M1201"/>
          <cell r="N1201"/>
        </row>
        <row r="1202">
          <cell r="A1202">
            <v>20231199</v>
          </cell>
          <cell r="B1202"/>
          <cell r="C1202"/>
          <cell r="D1202"/>
          <cell r="E1202"/>
          <cell r="F1202"/>
          <cell r="G1202"/>
          <cell r="H1202"/>
          <cell r="I1202"/>
          <cell r="J1202"/>
          <cell r="K1202"/>
          <cell r="L1202"/>
          <cell r="M1202"/>
          <cell r="N1202"/>
        </row>
        <row r="1203">
          <cell r="A1203">
            <v>20231200</v>
          </cell>
          <cell r="B1203"/>
          <cell r="C1203"/>
          <cell r="D1203"/>
          <cell r="E1203"/>
          <cell r="F1203"/>
          <cell r="G1203"/>
          <cell r="H1203"/>
          <cell r="I1203"/>
          <cell r="J1203"/>
          <cell r="K1203"/>
          <cell r="L1203"/>
          <cell r="M1203"/>
          <cell r="N1203"/>
        </row>
        <row r="1204">
          <cell r="A1204">
            <v>20231201</v>
          </cell>
          <cell r="B1204"/>
          <cell r="C1204"/>
          <cell r="D1204"/>
          <cell r="E1204"/>
          <cell r="F1204"/>
          <cell r="G1204"/>
          <cell r="H1204"/>
          <cell r="I1204"/>
          <cell r="J1204"/>
          <cell r="K1204"/>
          <cell r="L1204"/>
          <cell r="M1204"/>
          <cell r="N1204"/>
        </row>
        <row r="1205">
          <cell r="A1205">
            <v>20231202</v>
          </cell>
          <cell r="B1205"/>
          <cell r="C1205"/>
          <cell r="D1205"/>
          <cell r="E1205"/>
          <cell r="F1205"/>
          <cell r="G1205"/>
          <cell r="H1205"/>
          <cell r="I1205"/>
          <cell r="J1205"/>
          <cell r="K1205"/>
          <cell r="L1205"/>
          <cell r="M1205"/>
          <cell r="N1205"/>
        </row>
        <row r="1206">
          <cell r="A1206">
            <v>20231203</v>
          </cell>
          <cell r="B1206"/>
          <cell r="C1206"/>
          <cell r="D1206"/>
          <cell r="E1206"/>
          <cell r="F1206"/>
          <cell r="G1206"/>
          <cell r="H1206"/>
          <cell r="I1206"/>
          <cell r="J1206"/>
          <cell r="K1206"/>
          <cell r="L1206"/>
          <cell r="M1206"/>
          <cell r="N1206"/>
        </row>
        <row r="1207">
          <cell r="A1207">
            <v>20231204</v>
          </cell>
          <cell r="B1207"/>
          <cell r="C1207"/>
          <cell r="D1207"/>
          <cell r="E1207"/>
          <cell r="F1207"/>
          <cell r="G1207"/>
          <cell r="H1207"/>
          <cell r="I1207"/>
          <cell r="J1207"/>
          <cell r="K1207"/>
          <cell r="L1207"/>
          <cell r="M1207"/>
          <cell r="N1207"/>
        </row>
        <row r="1208">
          <cell r="A1208">
            <v>20231205</v>
          </cell>
          <cell r="B1208"/>
          <cell r="C1208"/>
          <cell r="D1208"/>
          <cell r="E1208"/>
          <cell r="F1208"/>
          <cell r="G1208"/>
          <cell r="H1208"/>
          <cell r="I1208"/>
          <cell r="J1208"/>
          <cell r="K1208"/>
          <cell r="L1208"/>
          <cell r="M1208"/>
          <cell r="N1208"/>
        </row>
        <row r="1209">
          <cell r="A1209">
            <v>20231206</v>
          </cell>
          <cell r="B1209"/>
          <cell r="C1209"/>
          <cell r="D1209"/>
          <cell r="E1209"/>
          <cell r="F1209"/>
          <cell r="G1209"/>
          <cell r="H1209"/>
          <cell r="I1209"/>
          <cell r="J1209"/>
          <cell r="K1209"/>
          <cell r="L1209"/>
          <cell r="M1209"/>
          <cell r="N1209"/>
        </row>
        <row r="1210">
          <cell r="A1210">
            <v>20231207</v>
          </cell>
          <cell r="B1210"/>
          <cell r="C1210"/>
          <cell r="D1210"/>
          <cell r="E1210"/>
          <cell r="F1210"/>
          <cell r="G1210"/>
          <cell r="H1210"/>
          <cell r="I1210"/>
          <cell r="J1210"/>
          <cell r="K1210"/>
          <cell r="L1210"/>
          <cell r="M1210"/>
          <cell r="N1210"/>
        </row>
        <row r="1211">
          <cell r="A1211">
            <v>20231208</v>
          </cell>
          <cell r="B1211"/>
          <cell r="C1211"/>
          <cell r="D1211"/>
          <cell r="E1211"/>
          <cell r="F1211"/>
          <cell r="G1211"/>
          <cell r="H1211"/>
          <cell r="I1211"/>
          <cell r="J1211"/>
          <cell r="K1211"/>
          <cell r="L1211"/>
          <cell r="M1211"/>
          <cell r="N1211"/>
        </row>
        <row r="1212">
          <cell r="A1212">
            <v>20231209</v>
          </cell>
          <cell r="B1212"/>
          <cell r="C1212"/>
          <cell r="D1212"/>
          <cell r="E1212"/>
          <cell r="F1212"/>
          <cell r="G1212"/>
          <cell r="H1212"/>
          <cell r="I1212"/>
          <cell r="J1212"/>
          <cell r="K1212"/>
          <cell r="L1212"/>
          <cell r="M1212"/>
          <cell r="N1212"/>
        </row>
        <row r="1213">
          <cell r="A1213">
            <v>20231210</v>
          </cell>
          <cell r="B1213"/>
          <cell r="C1213"/>
          <cell r="D1213"/>
          <cell r="E1213"/>
          <cell r="F1213"/>
          <cell r="G1213"/>
          <cell r="H1213"/>
          <cell r="I1213"/>
          <cell r="J1213"/>
          <cell r="K1213"/>
          <cell r="L1213"/>
          <cell r="M1213"/>
          <cell r="N1213"/>
        </row>
        <row r="1214">
          <cell r="A1214">
            <v>20231211</v>
          </cell>
          <cell r="B1214"/>
          <cell r="C1214"/>
          <cell r="D1214"/>
          <cell r="E1214"/>
          <cell r="F1214"/>
          <cell r="G1214"/>
          <cell r="H1214"/>
          <cell r="I1214"/>
          <cell r="J1214"/>
          <cell r="K1214"/>
          <cell r="L1214"/>
          <cell r="M1214"/>
          <cell r="N1214"/>
        </row>
        <row r="1215">
          <cell r="A1215">
            <v>20231212</v>
          </cell>
          <cell r="B1215"/>
          <cell r="C1215"/>
          <cell r="D1215"/>
          <cell r="E1215"/>
          <cell r="F1215"/>
          <cell r="G1215"/>
          <cell r="H1215"/>
          <cell r="I1215"/>
          <cell r="J1215"/>
          <cell r="K1215"/>
          <cell r="L1215"/>
          <cell r="M1215"/>
          <cell r="N1215"/>
        </row>
        <row r="1216">
          <cell r="A1216">
            <v>20231213</v>
          </cell>
          <cell r="B1216"/>
          <cell r="C1216"/>
          <cell r="D1216"/>
          <cell r="E1216"/>
          <cell r="F1216"/>
          <cell r="G1216"/>
          <cell r="H1216"/>
          <cell r="I1216"/>
          <cell r="J1216"/>
          <cell r="K1216"/>
          <cell r="L1216"/>
          <cell r="M1216"/>
          <cell r="N1216"/>
        </row>
        <row r="1217">
          <cell r="A1217">
            <v>20231214</v>
          </cell>
          <cell r="B1217"/>
          <cell r="C1217"/>
          <cell r="D1217"/>
          <cell r="E1217"/>
          <cell r="F1217"/>
          <cell r="G1217"/>
          <cell r="H1217"/>
          <cell r="I1217"/>
          <cell r="J1217"/>
          <cell r="K1217"/>
          <cell r="L1217"/>
          <cell r="M1217"/>
          <cell r="N1217"/>
        </row>
        <row r="1218">
          <cell r="A1218">
            <v>20231215</v>
          </cell>
          <cell r="B1218"/>
          <cell r="C1218"/>
          <cell r="D1218"/>
          <cell r="E1218"/>
          <cell r="F1218"/>
          <cell r="G1218"/>
          <cell r="H1218"/>
          <cell r="I1218"/>
          <cell r="J1218"/>
          <cell r="K1218"/>
          <cell r="L1218"/>
          <cell r="M1218"/>
          <cell r="N1218"/>
        </row>
        <row r="1219">
          <cell r="A1219">
            <v>20231216</v>
          </cell>
          <cell r="B1219"/>
          <cell r="C1219"/>
          <cell r="D1219"/>
          <cell r="E1219"/>
          <cell r="F1219"/>
          <cell r="G1219"/>
          <cell r="H1219"/>
          <cell r="I1219"/>
          <cell r="J1219"/>
          <cell r="K1219"/>
          <cell r="L1219"/>
          <cell r="M1219"/>
          <cell r="N1219"/>
        </row>
        <row r="1220">
          <cell r="A1220">
            <v>20231217</v>
          </cell>
          <cell r="B1220"/>
          <cell r="C1220"/>
          <cell r="D1220"/>
          <cell r="E1220"/>
          <cell r="F1220"/>
          <cell r="G1220"/>
          <cell r="H1220"/>
          <cell r="I1220"/>
          <cell r="J1220"/>
          <cell r="K1220"/>
          <cell r="L1220"/>
          <cell r="M1220"/>
          <cell r="N1220"/>
        </row>
        <row r="1221">
          <cell r="A1221">
            <v>20231218</v>
          </cell>
          <cell r="B1221"/>
          <cell r="C1221"/>
          <cell r="D1221"/>
          <cell r="E1221"/>
          <cell r="F1221"/>
          <cell r="G1221"/>
          <cell r="H1221"/>
          <cell r="I1221"/>
          <cell r="J1221"/>
          <cell r="K1221"/>
          <cell r="L1221"/>
          <cell r="M1221"/>
          <cell r="N1221"/>
        </row>
        <row r="1222">
          <cell r="A1222">
            <v>20231219</v>
          </cell>
          <cell r="B1222"/>
          <cell r="C1222"/>
          <cell r="D1222"/>
          <cell r="E1222"/>
          <cell r="F1222"/>
          <cell r="G1222"/>
          <cell r="H1222"/>
          <cell r="I1222"/>
          <cell r="J1222"/>
          <cell r="K1222"/>
          <cell r="L1222"/>
          <cell r="M1222"/>
          <cell r="N1222"/>
        </row>
        <row r="1223">
          <cell r="A1223">
            <v>20231220</v>
          </cell>
          <cell r="B1223"/>
          <cell r="C1223"/>
          <cell r="D1223"/>
          <cell r="E1223"/>
          <cell r="F1223"/>
          <cell r="G1223"/>
          <cell r="H1223"/>
          <cell r="I1223"/>
          <cell r="J1223"/>
          <cell r="K1223"/>
          <cell r="L1223"/>
          <cell r="M1223"/>
          <cell r="N1223"/>
        </row>
        <row r="1224">
          <cell r="A1224">
            <v>20231221</v>
          </cell>
          <cell r="B1224"/>
          <cell r="C1224"/>
          <cell r="D1224"/>
          <cell r="E1224"/>
          <cell r="F1224"/>
          <cell r="G1224"/>
          <cell r="H1224"/>
          <cell r="I1224"/>
          <cell r="J1224"/>
          <cell r="K1224"/>
          <cell r="L1224"/>
          <cell r="M1224"/>
          <cell r="N1224"/>
        </row>
        <row r="1225">
          <cell r="A1225">
            <v>20231222</v>
          </cell>
          <cell r="B1225"/>
          <cell r="C1225"/>
          <cell r="D1225"/>
          <cell r="E1225"/>
          <cell r="F1225"/>
          <cell r="G1225"/>
          <cell r="H1225"/>
          <cell r="I1225"/>
          <cell r="J1225"/>
          <cell r="K1225"/>
          <cell r="L1225"/>
          <cell r="M1225"/>
          <cell r="N1225"/>
        </row>
        <row r="1226">
          <cell r="A1226">
            <v>20231223</v>
          </cell>
          <cell r="B1226"/>
          <cell r="C1226"/>
          <cell r="D1226"/>
          <cell r="E1226"/>
          <cell r="F1226"/>
          <cell r="G1226"/>
          <cell r="H1226"/>
          <cell r="I1226"/>
          <cell r="J1226"/>
          <cell r="K1226"/>
          <cell r="L1226"/>
          <cell r="M1226"/>
          <cell r="N1226"/>
        </row>
        <row r="1227">
          <cell r="A1227">
            <v>20231224</v>
          </cell>
          <cell r="B1227"/>
          <cell r="C1227"/>
          <cell r="D1227"/>
          <cell r="E1227"/>
          <cell r="F1227"/>
          <cell r="G1227"/>
          <cell r="H1227"/>
          <cell r="I1227"/>
          <cell r="J1227"/>
          <cell r="K1227"/>
          <cell r="L1227"/>
          <cell r="M1227"/>
          <cell r="N1227"/>
        </row>
        <row r="1228">
          <cell r="A1228">
            <v>20231225</v>
          </cell>
          <cell r="B1228"/>
          <cell r="C1228"/>
          <cell r="D1228"/>
          <cell r="E1228"/>
          <cell r="F1228"/>
          <cell r="G1228"/>
          <cell r="H1228"/>
          <cell r="I1228"/>
          <cell r="J1228"/>
          <cell r="K1228"/>
          <cell r="L1228"/>
          <cell r="M1228"/>
          <cell r="N1228"/>
        </row>
        <row r="1229">
          <cell r="A1229">
            <v>20231226</v>
          </cell>
          <cell r="B1229"/>
          <cell r="C1229"/>
          <cell r="D1229"/>
          <cell r="E1229"/>
          <cell r="F1229"/>
          <cell r="G1229"/>
          <cell r="H1229"/>
          <cell r="I1229"/>
          <cell r="J1229"/>
          <cell r="K1229"/>
          <cell r="L1229"/>
          <cell r="M1229"/>
          <cell r="N1229"/>
        </row>
        <row r="1230">
          <cell r="A1230">
            <v>20231227</v>
          </cell>
          <cell r="B1230"/>
          <cell r="C1230"/>
          <cell r="D1230"/>
          <cell r="E1230"/>
          <cell r="F1230"/>
          <cell r="G1230"/>
          <cell r="H1230"/>
          <cell r="I1230"/>
          <cell r="J1230"/>
          <cell r="K1230"/>
          <cell r="L1230"/>
          <cell r="M1230"/>
          <cell r="N1230"/>
        </row>
        <row r="1231">
          <cell r="A1231">
            <v>20231228</v>
          </cell>
          <cell r="B1231"/>
          <cell r="C1231"/>
          <cell r="D1231"/>
          <cell r="E1231"/>
          <cell r="F1231"/>
          <cell r="G1231"/>
          <cell r="H1231"/>
          <cell r="I1231"/>
          <cell r="J1231"/>
          <cell r="K1231"/>
          <cell r="L1231"/>
          <cell r="M1231"/>
          <cell r="N1231"/>
        </row>
        <row r="1232">
          <cell r="A1232">
            <v>20231229</v>
          </cell>
          <cell r="B1232"/>
          <cell r="C1232"/>
          <cell r="D1232"/>
          <cell r="E1232"/>
          <cell r="F1232"/>
          <cell r="G1232"/>
          <cell r="H1232"/>
          <cell r="I1232"/>
          <cell r="J1232"/>
          <cell r="K1232"/>
          <cell r="L1232"/>
          <cell r="M1232"/>
          <cell r="N1232"/>
        </row>
        <row r="1233">
          <cell r="A1233">
            <v>20231230</v>
          </cell>
          <cell r="B1233"/>
          <cell r="C1233"/>
          <cell r="D1233"/>
          <cell r="E1233"/>
          <cell r="F1233"/>
          <cell r="G1233"/>
          <cell r="H1233"/>
          <cell r="I1233"/>
          <cell r="J1233"/>
          <cell r="K1233"/>
          <cell r="L1233"/>
          <cell r="M1233"/>
          <cell r="N1233"/>
        </row>
        <row r="1234">
          <cell r="A1234">
            <v>20231231</v>
          </cell>
          <cell r="B1234"/>
          <cell r="C1234"/>
          <cell r="D1234"/>
          <cell r="E1234"/>
          <cell r="F1234"/>
          <cell r="G1234"/>
          <cell r="H1234"/>
          <cell r="I1234"/>
          <cell r="J1234"/>
          <cell r="K1234"/>
          <cell r="L1234"/>
          <cell r="M1234"/>
          <cell r="N1234"/>
        </row>
        <row r="1235">
          <cell r="A1235">
            <v>20231232</v>
          </cell>
          <cell r="B1235"/>
          <cell r="C1235"/>
          <cell r="D1235"/>
          <cell r="E1235"/>
          <cell r="F1235"/>
          <cell r="G1235"/>
          <cell r="H1235"/>
          <cell r="I1235"/>
          <cell r="J1235"/>
          <cell r="K1235"/>
          <cell r="L1235"/>
          <cell r="M1235"/>
          <cell r="N1235"/>
        </row>
        <row r="1236">
          <cell r="A1236">
            <v>20231233</v>
          </cell>
          <cell r="B1236"/>
          <cell r="C1236"/>
          <cell r="D1236"/>
          <cell r="E1236"/>
          <cell r="F1236"/>
          <cell r="G1236"/>
          <cell r="H1236"/>
          <cell r="I1236"/>
          <cell r="J1236"/>
          <cell r="K1236"/>
          <cell r="L1236"/>
          <cell r="M1236"/>
          <cell r="N1236"/>
        </row>
        <row r="1237">
          <cell r="A1237">
            <v>20231234</v>
          </cell>
          <cell r="B1237"/>
          <cell r="C1237"/>
          <cell r="D1237"/>
          <cell r="E1237"/>
          <cell r="F1237"/>
          <cell r="G1237"/>
          <cell r="H1237"/>
          <cell r="I1237"/>
          <cell r="J1237"/>
          <cell r="K1237"/>
          <cell r="L1237"/>
          <cell r="M1237"/>
          <cell r="N1237"/>
        </row>
        <row r="1238">
          <cell r="A1238">
            <v>20231235</v>
          </cell>
          <cell r="B1238"/>
          <cell r="C1238"/>
          <cell r="D1238"/>
          <cell r="E1238"/>
          <cell r="F1238"/>
          <cell r="G1238"/>
          <cell r="H1238"/>
          <cell r="I1238"/>
          <cell r="J1238"/>
          <cell r="K1238"/>
          <cell r="L1238"/>
          <cell r="M1238"/>
          <cell r="N1238"/>
        </row>
        <row r="1239">
          <cell r="A1239">
            <v>20231236</v>
          </cell>
          <cell r="B1239"/>
          <cell r="C1239"/>
          <cell r="D1239"/>
          <cell r="E1239"/>
          <cell r="F1239"/>
          <cell r="G1239"/>
          <cell r="H1239"/>
          <cell r="I1239"/>
          <cell r="J1239"/>
          <cell r="K1239"/>
          <cell r="L1239"/>
          <cell r="M1239"/>
          <cell r="N1239"/>
        </row>
        <row r="1240">
          <cell r="A1240">
            <v>20231237</v>
          </cell>
          <cell r="B1240"/>
          <cell r="C1240"/>
          <cell r="D1240"/>
          <cell r="E1240"/>
          <cell r="F1240"/>
          <cell r="G1240"/>
          <cell r="H1240"/>
          <cell r="I1240"/>
          <cell r="J1240"/>
          <cell r="K1240"/>
          <cell r="L1240"/>
          <cell r="M1240"/>
          <cell r="N1240"/>
        </row>
        <row r="1241">
          <cell r="A1241">
            <v>20231238</v>
          </cell>
          <cell r="B1241"/>
          <cell r="C1241"/>
          <cell r="D1241"/>
          <cell r="E1241"/>
          <cell r="F1241"/>
          <cell r="G1241"/>
          <cell r="H1241"/>
          <cell r="I1241"/>
          <cell r="J1241"/>
          <cell r="K1241"/>
          <cell r="L1241"/>
          <cell r="M1241"/>
          <cell r="N1241"/>
        </row>
        <row r="1242">
          <cell r="A1242">
            <v>20231239</v>
          </cell>
          <cell r="B1242"/>
          <cell r="C1242"/>
          <cell r="D1242"/>
          <cell r="E1242"/>
          <cell r="F1242"/>
          <cell r="G1242"/>
          <cell r="H1242"/>
          <cell r="I1242"/>
          <cell r="J1242"/>
          <cell r="K1242"/>
          <cell r="L1242"/>
          <cell r="M1242"/>
          <cell r="N1242"/>
        </row>
        <row r="1243">
          <cell r="A1243">
            <v>20231240</v>
          </cell>
          <cell r="B1243"/>
          <cell r="C1243"/>
          <cell r="D1243"/>
          <cell r="E1243"/>
          <cell r="F1243"/>
          <cell r="G1243"/>
          <cell r="H1243"/>
          <cell r="I1243"/>
          <cell r="J1243"/>
          <cell r="K1243"/>
          <cell r="L1243"/>
          <cell r="M1243"/>
          <cell r="N1243"/>
        </row>
        <row r="1244">
          <cell r="A1244">
            <v>20231241</v>
          </cell>
          <cell r="B1244"/>
          <cell r="C1244"/>
          <cell r="D1244"/>
          <cell r="E1244"/>
          <cell r="F1244"/>
          <cell r="G1244"/>
          <cell r="H1244"/>
          <cell r="I1244"/>
          <cell r="J1244"/>
          <cell r="K1244"/>
          <cell r="L1244"/>
          <cell r="M1244"/>
          <cell r="N1244"/>
        </row>
        <row r="1245">
          <cell r="A1245">
            <v>20231242</v>
          </cell>
          <cell r="B1245"/>
          <cell r="C1245"/>
          <cell r="D1245"/>
          <cell r="E1245"/>
          <cell r="F1245"/>
          <cell r="G1245"/>
          <cell r="H1245"/>
          <cell r="I1245"/>
          <cell r="J1245"/>
          <cell r="K1245"/>
          <cell r="L1245"/>
          <cell r="M1245"/>
          <cell r="N1245"/>
        </row>
        <row r="1246">
          <cell r="A1246">
            <v>20231243</v>
          </cell>
          <cell r="B1246"/>
          <cell r="C1246"/>
          <cell r="D1246"/>
          <cell r="E1246"/>
          <cell r="F1246"/>
          <cell r="G1246"/>
          <cell r="H1246"/>
          <cell r="I1246"/>
          <cell r="J1246"/>
          <cell r="K1246"/>
          <cell r="L1246"/>
          <cell r="M1246"/>
          <cell r="N1246"/>
        </row>
        <row r="1247">
          <cell r="A1247">
            <v>20231244</v>
          </cell>
          <cell r="B1247"/>
          <cell r="C1247"/>
          <cell r="D1247"/>
          <cell r="E1247"/>
          <cell r="F1247"/>
          <cell r="G1247"/>
          <cell r="H1247"/>
          <cell r="I1247"/>
          <cell r="J1247"/>
          <cell r="K1247"/>
          <cell r="L1247"/>
          <cell r="M1247"/>
          <cell r="N1247"/>
        </row>
        <row r="1248">
          <cell r="A1248">
            <v>20231245</v>
          </cell>
          <cell r="B1248"/>
          <cell r="C1248"/>
          <cell r="D1248"/>
          <cell r="E1248"/>
          <cell r="F1248"/>
          <cell r="G1248"/>
          <cell r="H1248"/>
          <cell r="I1248"/>
          <cell r="J1248"/>
          <cell r="K1248"/>
          <cell r="L1248"/>
          <cell r="M1248"/>
          <cell r="N1248"/>
        </row>
        <row r="1249">
          <cell r="A1249">
            <v>20231246</v>
          </cell>
          <cell r="B1249"/>
          <cell r="C1249"/>
          <cell r="D1249"/>
          <cell r="E1249"/>
          <cell r="F1249"/>
          <cell r="G1249"/>
          <cell r="H1249"/>
          <cell r="I1249"/>
          <cell r="J1249"/>
          <cell r="K1249"/>
          <cell r="L1249"/>
          <cell r="M1249"/>
          <cell r="N1249"/>
        </row>
        <row r="1250">
          <cell r="A1250">
            <v>20231247</v>
          </cell>
          <cell r="B1250"/>
          <cell r="C1250"/>
          <cell r="D1250"/>
          <cell r="E1250"/>
          <cell r="F1250"/>
          <cell r="G1250"/>
          <cell r="H1250"/>
          <cell r="I1250"/>
          <cell r="J1250"/>
          <cell r="K1250"/>
          <cell r="L1250"/>
          <cell r="M1250"/>
          <cell r="N1250"/>
        </row>
        <row r="1251">
          <cell r="A1251">
            <v>20231248</v>
          </cell>
          <cell r="B1251"/>
          <cell r="C1251"/>
          <cell r="D1251"/>
          <cell r="E1251"/>
          <cell r="F1251"/>
          <cell r="G1251"/>
          <cell r="H1251"/>
          <cell r="I1251"/>
          <cell r="J1251"/>
          <cell r="K1251"/>
          <cell r="L1251"/>
          <cell r="M1251"/>
          <cell r="N1251"/>
        </row>
        <row r="1252">
          <cell r="A1252">
            <v>20231249</v>
          </cell>
          <cell r="B1252"/>
          <cell r="C1252"/>
          <cell r="D1252"/>
          <cell r="E1252"/>
          <cell r="F1252"/>
          <cell r="G1252"/>
          <cell r="H1252"/>
          <cell r="I1252"/>
          <cell r="J1252"/>
          <cell r="K1252"/>
          <cell r="L1252"/>
          <cell r="M1252"/>
          <cell r="N1252"/>
        </row>
        <row r="1253">
          <cell r="A1253">
            <v>20231250</v>
          </cell>
          <cell r="B1253"/>
          <cell r="C1253"/>
          <cell r="D1253"/>
          <cell r="E1253"/>
          <cell r="F1253"/>
          <cell r="G1253"/>
          <cell r="H1253"/>
          <cell r="I1253"/>
          <cell r="J1253"/>
          <cell r="K1253"/>
          <cell r="L1253"/>
          <cell r="M1253"/>
          <cell r="N1253"/>
        </row>
        <row r="1254">
          <cell r="A1254">
            <v>20231251</v>
          </cell>
          <cell r="B1254"/>
          <cell r="C1254"/>
          <cell r="D1254"/>
          <cell r="E1254"/>
          <cell r="F1254"/>
          <cell r="G1254"/>
          <cell r="H1254"/>
          <cell r="I1254"/>
          <cell r="J1254"/>
          <cell r="K1254"/>
          <cell r="L1254"/>
          <cell r="M1254"/>
          <cell r="N1254"/>
        </row>
        <row r="1255">
          <cell r="A1255">
            <v>20231252</v>
          </cell>
          <cell r="B1255"/>
          <cell r="C1255"/>
          <cell r="D1255"/>
          <cell r="E1255"/>
          <cell r="F1255"/>
          <cell r="G1255"/>
          <cell r="H1255"/>
          <cell r="I1255"/>
          <cell r="J1255"/>
          <cell r="K1255"/>
          <cell r="L1255"/>
          <cell r="M1255"/>
          <cell r="N1255"/>
        </row>
        <row r="1256">
          <cell r="A1256">
            <v>20231253</v>
          </cell>
          <cell r="B1256"/>
          <cell r="C1256"/>
          <cell r="D1256"/>
          <cell r="E1256"/>
          <cell r="F1256"/>
          <cell r="G1256"/>
          <cell r="H1256"/>
          <cell r="I1256"/>
          <cell r="J1256"/>
          <cell r="K1256"/>
          <cell r="L1256"/>
          <cell r="M1256"/>
          <cell r="N1256"/>
        </row>
        <row r="1257">
          <cell r="A1257">
            <v>20231254</v>
          </cell>
          <cell r="B1257"/>
          <cell r="C1257"/>
          <cell r="D1257"/>
          <cell r="E1257"/>
          <cell r="F1257"/>
          <cell r="G1257"/>
          <cell r="H1257"/>
          <cell r="I1257"/>
          <cell r="J1257"/>
          <cell r="K1257"/>
          <cell r="L1257"/>
          <cell r="M1257"/>
          <cell r="N1257"/>
        </row>
        <row r="1258">
          <cell r="A1258">
            <v>20231255</v>
          </cell>
          <cell r="B1258"/>
          <cell r="C1258"/>
          <cell r="D1258"/>
          <cell r="E1258"/>
          <cell r="F1258"/>
          <cell r="G1258"/>
          <cell r="H1258"/>
          <cell r="I1258"/>
          <cell r="J1258"/>
          <cell r="K1258"/>
          <cell r="L1258"/>
          <cell r="M1258"/>
          <cell r="N1258"/>
        </row>
        <row r="1259">
          <cell r="A1259">
            <v>20231256</v>
          </cell>
          <cell r="B1259"/>
          <cell r="C1259"/>
          <cell r="D1259"/>
          <cell r="E1259"/>
          <cell r="F1259"/>
          <cell r="G1259"/>
          <cell r="H1259"/>
          <cell r="I1259"/>
          <cell r="J1259"/>
          <cell r="K1259"/>
          <cell r="L1259"/>
          <cell r="M1259"/>
          <cell r="N1259"/>
        </row>
        <row r="1260">
          <cell r="A1260">
            <v>20231257</v>
          </cell>
          <cell r="B1260"/>
          <cell r="C1260"/>
          <cell r="D1260"/>
          <cell r="E1260"/>
          <cell r="F1260"/>
          <cell r="G1260"/>
          <cell r="H1260"/>
          <cell r="I1260"/>
          <cell r="J1260"/>
          <cell r="K1260"/>
          <cell r="L1260"/>
          <cell r="M1260"/>
          <cell r="N1260"/>
        </row>
        <row r="1261">
          <cell r="A1261">
            <v>20231258</v>
          </cell>
          <cell r="B1261"/>
          <cell r="C1261"/>
          <cell r="D1261"/>
          <cell r="E1261"/>
          <cell r="F1261"/>
          <cell r="G1261"/>
          <cell r="H1261"/>
          <cell r="I1261"/>
          <cell r="J1261"/>
          <cell r="K1261"/>
          <cell r="L1261"/>
          <cell r="M1261"/>
          <cell r="N1261"/>
        </row>
        <row r="1262">
          <cell r="A1262">
            <v>20231259</v>
          </cell>
          <cell r="B1262"/>
          <cell r="C1262"/>
          <cell r="D1262"/>
          <cell r="E1262"/>
          <cell r="F1262"/>
          <cell r="G1262"/>
          <cell r="H1262"/>
          <cell r="I1262"/>
          <cell r="J1262"/>
          <cell r="K1262"/>
          <cell r="L1262"/>
          <cell r="M1262"/>
          <cell r="N1262"/>
        </row>
        <row r="1263">
          <cell r="A1263">
            <v>20231260</v>
          </cell>
          <cell r="B1263"/>
          <cell r="C1263"/>
          <cell r="D1263"/>
          <cell r="E1263"/>
          <cell r="F1263"/>
          <cell r="G1263"/>
          <cell r="H1263"/>
          <cell r="I1263"/>
          <cell r="J1263"/>
          <cell r="K1263"/>
          <cell r="L1263"/>
          <cell r="M1263"/>
          <cell r="N1263"/>
        </row>
        <row r="1264">
          <cell r="A1264">
            <v>20231261</v>
          </cell>
          <cell r="B1264"/>
          <cell r="C1264"/>
          <cell r="D1264"/>
          <cell r="E1264"/>
          <cell r="F1264"/>
          <cell r="G1264"/>
          <cell r="H1264"/>
          <cell r="I1264"/>
          <cell r="J1264"/>
          <cell r="K1264"/>
          <cell r="L1264"/>
          <cell r="M1264"/>
          <cell r="N1264"/>
        </row>
        <row r="1265">
          <cell r="A1265">
            <v>20231262</v>
          </cell>
          <cell r="B1265"/>
          <cell r="C1265"/>
          <cell r="D1265"/>
          <cell r="E1265"/>
          <cell r="F1265"/>
          <cell r="G1265"/>
          <cell r="H1265"/>
          <cell r="I1265"/>
          <cell r="J1265"/>
          <cell r="K1265"/>
          <cell r="L1265"/>
          <cell r="M1265"/>
          <cell r="N1265"/>
        </row>
        <row r="1266">
          <cell r="A1266">
            <v>20231263</v>
          </cell>
          <cell r="B1266"/>
          <cell r="C1266"/>
          <cell r="D1266"/>
          <cell r="E1266"/>
          <cell r="F1266"/>
          <cell r="G1266"/>
          <cell r="H1266"/>
          <cell r="I1266"/>
          <cell r="J1266"/>
          <cell r="K1266"/>
          <cell r="L1266"/>
          <cell r="M1266"/>
          <cell r="N1266"/>
        </row>
        <row r="1267">
          <cell r="A1267">
            <v>20231264</v>
          </cell>
          <cell r="B1267"/>
          <cell r="C1267"/>
          <cell r="D1267"/>
          <cell r="E1267"/>
          <cell r="F1267"/>
          <cell r="G1267"/>
          <cell r="H1267"/>
          <cell r="I1267"/>
          <cell r="J1267"/>
          <cell r="K1267"/>
          <cell r="L1267"/>
          <cell r="M1267"/>
          <cell r="N1267"/>
        </row>
        <row r="1268">
          <cell r="A1268">
            <v>20231265</v>
          </cell>
          <cell r="B1268"/>
          <cell r="C1268"/>
          <cell r="D1268"/>
          <cell r="E1268"/>
          <cell r="F1268"/>
          <cell r="G1268"/>
          <cell r="H1268"/>
          <cell r="I1268"/>
          <cell r="J1268"/>
          <cell r="K1268"/>
          <cell r="L1268"/>
          <cell r="M1268"/>
          <cell r="N1268"/>
        </row>
        <row r="1269">
          <cell r="A1269">
            <v>20231266</v>
          </cell>
          <cell r="B1269"/>
          <cell r="C1269"/>
          <cell r="D1269"/>
          <cell r="E1269"/>
          <cell r="F1269"/>
          <cell r="G1269"/>
          <cell r="H1269"/>
          <cell r="I1269"/>
          <cell r="J1269"/>
          <cell r="K1269"/>
          <cell r="L1269"/>
          <cell r="M1269"/>
          <cell r="N1269"/>
        </row>
        <row r="1270">
          <cell r="A1270">
            <v>20231267</v>
          </cell>
          <cell r="B1270"/>
          <cell r="C1270"/>
          <cell r="D1270"/>
          <cell r="E1270"/>
          <cell r="F1270"/>
          <cell r="G1270"/>
          <cell r="H1270"/>
          <cell r="I1270"/>
          <cell r="J1270"/>
          <cell r="K1270"/>
          <cell r="L1270"/>
          <cell r="M1270"/>
          <cell r="N1270"/>
        </row>
        <row r="1271">
          <cell r="A1271">
            <v>20231268</v>
          </cell>
          <cell r="B1271"/>
          <cell r="C1271"/>
          <cell r="D1271"/>
          <cell r="E1271"/>
          <cell r="F1271"/>
          <cell r="G1271"/>
          <cell r="H1271"/>
          <cell r="I1271"/>
          <cell r="J1271"/>
          <cell r="K1271"/>
          <cell r="L1271"/>
          <cell r="M1271"/>
          <cell r="N1271"/>
        </row>
        <row r="1272">
          <cell r="A1272">
            <v>20231269</v>
          </cell>
          <cell r="B1272"/>
          <cell r="C1272"/>
          <cell r="D1272"/>
          <cell r="E1272"/>
          <cell r="F1272"/>
          <cell r="G1272"/>
          <cell r="H1272"/>
          <cell r="I1272"/>
          <cell r="J1272"/>
          <cell r="K1272"/>
          <cell r="L1272"/>
          <cell r="M1272"/>
          <cell r="N1272"/>
        </row>
        <row r="1273">
          <cell r="A1273">
            <v>20231270</v>
          </cell>
          <cell r="B1273"/>
          <cell r="C1273"/>
          <cell r="D1273"/>
          <cell r="E1273"/>
          <cell r="F1273"/>
          <cell r="G1273"/>
          <cell r="H1273"/>
          <cell r="I1273"/>
          <cell r="J1273"/>
          <cell r="K1273"/>
          <cell r="L1273"/>
          <cell r="M1273"/>
          <cell r="N1273"/>
        </row>
        <row r="1274">
          <cell r="A1274">
            <v>20231271</v>
          </cell>
          <cell r="B1274"/>
          <cell r="C1274"/>
          <cell r="D1274"/>
          <cell r="E1274"/>
          <cell r="F1274"/>
          <cell r="G1274"/>
          <cell r="H1274"/>
          <cell r="I1274"/>
          <cell r="J1274"/>
          <cell r="K1274"/>
          <cell r="L1274"/>
          <cell r="M1274"/>
          <cell r="N1274"/>
        </row>
        <row r="1275">
          <cell r="A1275">
            <v>20231272</v>
          </cell>
          <cell r="B1275"/>
          <cell r="C1275"/>
          <cell r="D1275"/>
          <cell r="E1275"/>
          <cell r="F1275"/>
          <cell r="G1275"/>
          <cell r="H1275"/>
          <cell r="I1275"/>
          <cell r="J1275"/>
          <cell r="K1275"/>
          <cell r="L1275"/>
          <cell r="M1275"/>
          <cell r="N1275"/>
        </row>
        <row r="1276">
          <cell r="A1276">
            <v>20231273</v>
          </cell>
          <cell r="B1276"/>
          <cell r="C1276"/>
          <cell r="D1276"/>
          <cell r="E1276"/>
          <cell r="F1276"/>
          <cell r="G1276"/>
          <cell r="H1276"/>
          <cell r="I1276"/>
          <cell r="J1276"/>
          <cell r="K1276"/>
          <cell r="L1276"/>
          <cell r="M1276"/>
          <cell r="N1276"/>
        </row>
        <row r="1277">
          <cell r="A1277">
            <v>20231274</v>
          </cell>
          <cell r="B1277"/>
          <cell r="C1277"/>
          <cell r="D1277"/>
          <cell r="E1277"/>
          <cell r="F1277"/>
          <cell r="G1277"/>
          <cell r="H1277"/>
          <cell r="I1277"/>
          <cell r="J1277"/>
          <cell r="K1277"/>
          <cell r="L1277"/>
          <cell r="M1277"/>
          <cell r="N1277"/>
        </row>
        <row r="1278">
          <cell r="A1278">
            <v>20231275</v>
          </cell>
          <cell r="B1278"/>
          <cell r="C1278"/>
          <cell r="D1278"/>
          <cell r="E1278"/>
          <cell r="F1278"/>
          <cell r="G1278"/>
          <cell r="H1278"/>
          <cell r="I1278"/>
          <cell r="J1278"/>
          <cell r="K1278"/>
          <cell r="L1278"/>
          <cell r="M1278"/>
          <cell r="N1278"/>
        </row>
        <row r="1279">
          <cell r="A1279">
            <v>20231276</v>
          </cell>
          <cell r="B1279"/>
          <cell r="C1279"/>
          <cell r="D1279"/>
          <cell r="E1279"/>
          <cell r="F1279"/>
          <cell r="G1279"/>
          <cell r="H1279"/>
          <cell r="I1279"/>
          <cell r="J1279"/>
          <cell r="K1279"/>
          <cell r="L1279"/>
          <cell r="M1279"/>
          <cell r="N1279"/>
        </row>
        <row r="1280">
          <cell r="A1280">
            <v>20231277</v>
          </cell>
          <cell r="B1280"/>
          <cell r="C1280"/>
          <cell r="D1280"/>
          <cell r="E1280"/>
          <cell r="F1280"/>
          <cell r="G1280"/>
          <cell r="H1280"/>
          <cell r="I1280"/>
          <cell r="J1280"/>
          <cell r="K1280"/>
          <cell r="L1280"/>
          <cell r="M1280"/>
          <cell r="N1280"/>
        </row>
        <row r="1281">
          <cell r="A1281">
            <v>20231278</v>
          </cell>
          <cell r="B1281"/>
          <cell r="C1281"/>
          <cell r="D1281"/>
          <cell r="E1281"/>
          <cell r="F1281"/>
          <cell r="G1281"/>
          <cell r="H1281"/>
          <cell r="I1281"/>
          <cell r="J1281"/>
          <cell r="K1281"/>
          <cell r="L1281"/>
          <cell r="M1281"/>
          <cell r="N1281"/>
        </row>
        <row r="1282">
          <cell r="A1282">
            <v>20231279</v>
          </cell>
          <cell r="B1282"/>
          <cell r="C1282"/>
          <cell r="D1282"/>
          <cell r="E1282"/>
          <cell r="F1282"/>
          <cell r="G1282"/>
          <cell r="H1282"/>
          <cell r="I1282"/>
          <cell r="J1282"/>
          <cell r="K1282"/>
          <cell r="L1282"/>
          <cell r="M1282"/>
          <cell r="N1282"/>
        </row>
        <row r="1283">
          <cell r="A1283">
            <v>20231280</v>
          </cell>
          <cell r="B1283"/>
          <cell r="C1283"/>
          <cell r="D1283"/>
          <cell r="E1283"/>
          <cell r="F1283"/>
          <cell r="G1283"/>
          <cell r="H1283"/>
          <cell r="I1283"/>
          <cell r="J1283"/>
          <cell r="K1283"/>
          <cell r="L1283"/>
          <cell r="M1283"/>
          <cell r="N1283"/>
        </row>
        <row r="1284">
          <cell r="A1284">
            <v>20231281</v>
          </cell>
          <cell r="B1284"/>
          <cell r="C1284"/>
          <cell r="D1284"/>
          <cell r="E1284"/>
          <cell r="F1284"/>
          <cell r="G1284"/>
          <cell r="H1284"/>
          <cell r="I1284"/>
          <cell r="J1284"/>
          <cell r="K1284"/>
          <cell r="L1284"/>
          <cell r="M1284"/>
          <cell r="N1284"/>
        </row>
        <row r="1285">
          <cell r="A1285">
            <v>20231282</v>
          </cell>
          <cell r="B1285"/>
          <cell r="C1285"/>
          <cell r="D1285"/>
          <cell r="E1285"/>
          <cell r="F1285"/>
          <cell r="G1285"/>
          <cell r="H1285"/>
          <cell r="I1285"/>
          <cell r="J1285"/>
          <cell r="K1285"/>
          <cell r="L1285"/>
          <cell r="M1285"/>
          <cell r="N1285"/>
        </row>
        <row r="1286">
          <cell r="A1286">
            <v>20231283</v>
          </cell>
          <cell r="B1286"/>
          <cell r="C1286"/>
          <cell r="D1286"/>
          <cell r="E1286"/>
          <cell r="F1286"/>
          <cell r="G1286"/>
          <cell r="H1286"/>
          <cell r="I1286"/>
          <cell r="J1286"/>
          <cell r="K1286"/>
          <cell r="L1286"/>
          <cell r="M1286"/>
          <cell r="N1286"/>
        </row>
        <row r="1287">
          <cell r="A1287">
            <v>20231284</v>
          </cell>
          <cell r="B1287"/>
          <cell r="C1287"/>
          <cell r="D1287"/>
          <cell r="E1287"/>
          <cell r="F1287"/>
          <cell r="G1287"/>
          <cell r="H1287"/>
          <cell r="I1287"/>
          <cell r="J1287"/>
          <cell r="K1287"/>
          <cell r="L1287"/>
          <cell r="M1287"/>
          <cell r="N1287"/>
        </row>
        <row r="1288">
          <cell r="A1288">
            <v>20231285</v>
          </cell>
          <cell r="B1288"/>
          <cell r="C1288"/>
          <cell r="D1288"/>
          <cell r="E1288"/>
          <cell r="F1288"/>
          <cell r="G1288"/>
          <cell r="H1288"/>
          <cell r="I1288"/>
          <cell r="J1288"/>
          <cell r="K1288"/>
          <cell r="L1288"/>
          <cell r="M1288"/>
          <cell r="N1288"/>
        </row>
        <row r="1289">
          <cell r="A1289">
            <v>20231286</v>
          </cell>
          <cell r="B1289"/>
          <cell r="C1289"/>
          <cell r="D1289"/>
          <cell r="E1289"/>
          <cell r="F1289"/>
          <cell r="G1289"/>
          <cell r="H1289"/>
          <cell r="I1289"/>
          <cell r="J1289"/>
          <cell r="K1289"/>
          <cell r="L1289"/>
          <cell r="M1289"/>
          <cell r="N1289"/>
        </row>
        <row r="1290">
          <cell r="A1290">
            <v>20231287</v>
          </cell>
          <cell r="B1290"/>
          <cell r="C1290"/>
          <cell r="D1290"/>
          <cell r="E1290"/>
          <cell r="F1290"/>
          <cell r="G1290"/>
          <cell r="H1290"/>
          <cell r="I1290"/>
          <cell r="J1290"/>
          <cell r="K1290"/>
          <cell r="L1290"/>
          <cell r="M1290"/>
          <cell r="N1290"/>
        </row>
        <row r="1291">
          <cell r="A1291">
            <v>20231288</v>
          </cell>
          <cell r="B1291"/>
          <cell r="C1291"/>
          <cell r="D1291"/>
          <cell r="E1291"/>
          <cell r="F1291"/>
          <cell r="G1291"/>
          <cell r="H1291"/>
          <cell r="I1291"/>
          <cell r="J1291"/>
          <cell r="K1291"/>
          <cell r="L1291"/>
          <cell r="M1291"/>
          <cell r="N1291"/>
        </row>
        <row r="1292">
          <cell r="A1292">
            <v>20231289</v>
          </cell>
          <cell r="B1292"/>
          <cell r="C1292"/>
          <cell r="D1292"/>
          <cell r="E1292"/>
          <cell r="F1292"/>
          <cell r="G1292"/>
          <cell r="H1292"/>
          <cell r="I1292"/>
          <cell r="J1292"/>
          <cell r="K1292"/>
          <cell r="L1292"/>
          <cell r="M1292"/>
          <cell r="N1292"/>
        </row>
        <row r="1293">
          <cell r="A1293">
            <v>20231290</v>
          </cell>
          <cell r="B1293"/>
          <cell r="C1293"/>
          <cell r="D1293"/>
          <cell r="E1293"/>
          <cell r="F1293"/>
          <cell r="G1293"/>
          <cell r="H1293"/>
          <cell r="I1293"/>
          <cell r="J1293"/>
          <cell r="K1293"/>
          <cell r="L1293"/>
          <cell r="M1293"/>
          <cell r="N1293"/>
        </row>
        <row r="1294">
          <cell r="A1294">
            <v>20231291</v>
          </cell>
          <cell r="B1294"/>
          <cell r="C1294"/>
          <cell r="D1294"/>
          <cell r="E1294"/>
          <cell r="F1294"/>
          <cell r="G1294"/>
          <cell r="H1294"/>
          <cell r="I1294"/>
          <cell r="J1294"/>
          <cell r="K1294"/>
          <cell r="L1294"/>
          <cell r="M1294"/>
          <cell r="N1294"/>
        </row>
        <row r="1295">
          <cell r="A1295">
            <v>20231292</v>
          </cell>
          <cell r="B1295"/>
          <cell r="C1295"/>
          <cell r="D1295"/>
          <cell r="E1295"/>
          <cell r="F1295"/>
          <cell r="G1295"/>
          <cell r="H1295"/>
          <cell r="I1295"/>
          <cell r="J1295"/>
          <cell r="K1295"/>
          <cell r="L1295"/>
          <cell r="M1295"/>
          <cell r="N1295"/>
        </row>
        <row r="1296">
          <cell r="A1296">
            <v>20231293</v>
          </cell>
          <cell r="B1296"/>
          <cell r="C1296"/>
          <cell r="D1296"/>
          <cell r="E1296"/>
          <cell r="F1296"/>
          <cell r="G1296"/>
          <cell r="H1296"/>
          <cell r="I1296"/>
          <cell r="J1296"/>
          <cell r="K1296"/>
          <cell r="L1296"/>
          <cell r="M1296"/>
          <cell r="N1296"/>
        </row>
        <row r="1297">
          <cell r="A1297">
            <v>20231294</v>
          </cell>
          <cell r="B1297"/>
          <cell r="C1297"/>
          <cell r="D1297"/>
          <cell r="E1297"/>
          <cell r="F1297"/>
          <cell r="G1297"/>
          <cell r="H1297"/>
          <cell r="I1297"/>
          <cell r="J1297"/>
          <cell r="K1297"/>
          <cell r="L1297"/>
          <cell r="M1297"/>
          <cell r="N1297"/>
        </row>
        <row r="1298">
          <cell r="A1298">
            <v>20231295</v>
          </cell>
          <cell r="B1298"/>
          <cell r="C1298"/>
          <cell r="D1298"/>
          <cell r="E1298"/>
          <cell r="F1298"/>
          <cell r="G1298"/>
          <cell r="H1298"/>
          <cell r="I1298"/>
          <cell r="J1298"/>
          <cell r="K1298"/>
          <cell r="L1298"/>
          <cell r="M1298"/>
          <cell r="N1298"/>
        </row>
        <row r="1299">
          <cell r="A1299">
            <v>20231296</v>
          </cell>
          <cell r="B1299"/>
          <cell r="C1299"/>
          <cell r="D1299"/>
          <cell r="E1299"/>
          <cell r="F1299"/>
          <cell r="G1299"/>
          <cell r="H1299"/>
          <cell r="I1299"/>
          <cell r="J1299"/>
          <cell r="K1299"/>
          <cell r="L1299"/>
          <cell r="M1299"/>
          <cell r="N1299"/>
        </row>
        <row r="1300">
          <cell r="A1300">
            <v>20231297</v>
          </cell>
          <cell r="B1300"/>
          <cell r="C1300"/>
          <cell r="D1300"/>
          <cell r="E1300"/>
          <cell r="F1300"/>
          <cell r="G1300"/>
          <cell r="H1300"/>
          <cell r="I1300"/>
          <cell r="J1300"/>
          <cell r="K1300"/>
          <cell r="L1300"/>
          <cell r="M1300"/>
          <cell r="N1300"/>
        </row>
        <row r="1301">
          <cell r="A1301">
            <v>20231298</v>
          </cell>
          <cell r="B1301"/>
          <cell r="C1301"/>
          <cell r="D1301"/>
          <cell r="E1301"/>
          <cell r="F1301"/>
          <cell r="G1301"/>
          <cell r="H1301"/>
          <cell r="I1301"/>
          <cell r="J1301"/>
          <cell r="K1301"/>
          <cell r="L1301"/>
          <cell r="M1301"/>
          <cell r="N1301"/>
        </row>
        <row r="1302">
          <cell r="A1302">
            <v>20231299</v>
          </cell>
          <cell r="B1302"/>
          <cell r="C1302"/>
          <cell r="D1302"/>
          <cell r="E1302"/>
          <cell r="F1302"/>
          <cell r="G1302"/>
          <cell r="H1302"/>
          <cell r="I1302"/>
          <cell r="J1302"/>
          <cell r="K1302"/>
          <cell r="L1302"/>
          <cell r="M1302"/>
          <cell r="N1302"/>
        </row>
        <row r="1303">
          <cell r="A1303">
            <v>20231300</v>
          </cell>
          <cell r="B1303"/>
          <cell r="C1303"/>
          <cell r="D1303"/>
          <cell r="E1303"/>
          <cell r="F1303"/>
          <cell r="G1303"/>
          <cell r="H1303"/>
          <cell r="I1303"/>
          <cell r="J1303"/>
          <cell r="K1303"/>
          <cell r="L1303"/>
          <cell r="M1303"/>
          <cell r="N1303"/>
        </row>
        <row r="1304">
          <cell r="A1304">
            <v>20231301</v>
          </cell>
          <cell r="B1304"/>
          <cell r="C1304"/>
          <cell r="D1304"/>
          <cell r="E1304"/>
          <cell r="F1304"/>
          <cell r="G1304"/>
          <cell r="H1304"/>
          <cell r="I1304"/>
          <cell r="J1304"/>
          <cell r="K1304"/>
          <cell r="L1304"/>
          <cell r="M1304"/>
          <cell r="N1304"/>
        </row>
        <row r="1305">
          <cell r="A1305">
            <v>20231302</v>
          </cell>
          <cell r="B1305"/>
          <cell r="C1305"/>
          <cell r="D1305"/>
          <cell r="E1305"/>
          <cell r="F1305"/>
          <cell r="G1305"/>
          <cell r="H1305"/>
          <cell r="I1305"/>
          <cell r="J1305"/>
          <cell r="K1305"/>
          <cell r="L1305"/>
          <cell r="M1305"/>
          <cell r="N1305"/>
        </row>
        <row r="1306">
          <cell r="A1306">
            <v>20231303</v>
          </cell>
          <cell r="B1306"/>
          <cell r="C1306"/>
          <cell r="D1306"/>
          <cell r="E1306"/>
          <cell r="F1306"/>
          <cell r="G1306"/>
          <cell r="H1306"/>
          <cell r="I1306"/>
          <cell r="J1306"/>
          <cell r="K1306"/>
          <cell r="L1306"/>
          <cell r="M1306"/>
          <cell r="N1306"/>
        </row>
        <row r="1307">
          <cell r="A1307">
            <v>20231304</v>
          </cell>
          <cell r="B1307"/>
          <cell r="C1307"/>
          <cell r="D1307"/>
          <cell r="E1307"/>
          <cell r="F1307"/>
          <cell r="G1307"/>
          <cell r="H1307"/>
          <cell r="I1307"/>
          <cell r="J1307"/>
          <cell r="K1307"/>
          <cell r="L1307"/>
          <cell r="M1307"/>
          <cell r="N1307"/>
        </row>
        <row r="1308">
          <cell r="A1308">
            <v>20231305</v>
          </cell>
          <cell r="B1308"/>
          <cell r="C1308"/>
          <cell r="D1308"/>
          <cell r="E1308"/>
          <cell r="F1308"/>
          <cell r="G1308"/>
          <cell r="H1308"/>
          <cell r="I1308"/>
          <cell r="J1308"/>
          <cell r="K1308"/>
          <cell r="L1308"/>
          <cell r="M1308"/>
          <cell r="N1308"/>
        </row>
        <row r="1309">
          <cell r="A1309">
            <v>20231306</v>
          </cell>
          <cell r="B1309"/>
          <cell r="C1309"/>
          <cell r="D1309"/>
          <cell r="E1309"/>
          <cell r="F1309"/>
          <cell r="G1309"/>
          <cell r="H1309"/>
          <cell r="I1309"/>
          <cell r="J1309"/>
          <cell r="K1309"/>
          <cell r="L1309"/>
          <cell r="M1309"/>
          <cell r="N1309"/>
        </row>
        <row r="1310">
          <cell r="A1310">
            <v>20231307</v>
          </cell>
          <cell r="B1310"/>
          <cell r="C1310"/>
          <cell r="D1310"/>
          <cell r="E1310"/>
          <cell r="F1310"/>
          <cell r="G1310"/>
          <cell r="H1310"/>
          <cell r="I1310"/>
          <cell r="J1310"/>
          <cell r="K1310"/>
          <cell r="L1310"/>
          <cell r="M1310"/>
          <cell r="N1310"/>
        </row>
        <row r="1311">
          <cell r="A1311">
            <v>20231308</v>
          </cell>
          <cell r="B1311"/>
          <cell r="C1311"/>
          <cell r="D1311"/>
          <cell r="E1311"/>
          <cell r="F1311"/>
          <cell r="G1311"/>
          <cell r="H1311"/>
          <cell r="I1311"/>
          <cell r="J1311"/>
          <cell r="K1311"/>
          <cell r="L1311"/>
          <cell r="M1311"/>
          <cell r="N1311"/>
        </row>
        <row r="1312">
          <cell r="A1312">
            <v>20231309</v>
          </cell>
          <cell r="B1312"/>
          <cell r="C1312"/>
          <cell r="D1312"/>
          <cell r="E1312"/>
          <cell r="F1312"/>
          <cell r="G1312"/>
          <cell r="H1312"/>
          <cell r="I1312"/>
          <cell r="J1312"/>
          <cell r="K1312"/>
          <cell r="L1312"/>
          <cell r="M1312"/>
          <cell r="N1312"/>
        </row>
        <row r="1313">
          <cell r="A1313">
            <v>20231310</v>
          </cell>
          <cell r="B1313"/>
          <cell r="C1313"/>
          <cell r="D1313"/>
          <cell r="E1313"/>
          <cell r="F1313"/>
          <cell r="G1313"/>
          <cell r="H1313"/>
          <cell r="I1313"/>
          <cell r="J1313"/>
          <cell r="K1313"/>
          <cell r="L1313"/>
          <cell r="M1313"/>
          <cell r="N1313"/>
        </row>
        <row r="1314">
          <cell r="A1314">
            <v>20231311</v>
          </cell>
          <cell r="B1314"/>
          <cell r="C1314"/>
          <cell r="D1314"/>
          <cell r="E1314"/>
          <cell r="F1314"/>
          <cell r="G1314"/>
          <cell r="H1314"/>
          <cell r="I1314"/>
          <cell r="J1314"/>
          <cell r="K1314"/>
          <cell r="L1314"/>
          <cell r="M1314"/>
          <cell r="N1314"/>
        </row>
        <row r="1315">
          <cell r="A1315">
            <v>20231312</v>
          </cell>
          <cell r="B1315"/>
          <cell r="C1315"/>
          <cell r="D1315"/>
          <cell r="E1315"/>
          <cell r="F1315"/>
          <cell r="G1315"/>
          <cell r="H1315"/>
          <cell r="I1315"/>
          <cell r="J1315"/>
          <cell r="K1315"/>
          <cell r="L1315"/>
          <cell r="M1315"/>
          <cell r="N1315"/>
        </row>
        <row r="1316">
          <cell r="A1316">
            <v>20231313</v>
          </cell>
          <cell r="B1316"/>
          <cell r="C1316"/>
          <cell r="D1316"/>
          <cell r="E1316"/>
          <cell r="F1316"/>
          <cell r="G1316"/>
          <cell r="H1316"/>
          <cell r="I1316"/>
          <cell r="J1316"/>
          <cell r="K1316"/>
          <cell r="L1316"/>
          <cell r="M1316"/>
          <cell r="N1316"/>
        </row>
        <row r="1317">
          <cell r="A1317">
            <v>20231314</v>
          </cell>
          <cell r="B1317"/>
          <cell r="C1317"/>
          <cell r="D1317"/>
          <cell r="E1317"/>
          <cell r="F1317"/>
          <cell r="G1317"/>
          <cell r="H1317"/>
          <cell r="I1317"/>
          <cell r="J1317"/>
          <cell r="K1317"/>
          <cell r="L1317"/>
          <cell r="M1317"/>
          <cell r="N1317"/>
        </row>
        <row r="1318">
          <cell r="A1318">
            <v>20231315</v>
          </cell>
          <cell r="B1318"/>
          <cell r="C1318"/>
          <cell r="D1318"/>
          <cell r="E1318"/>
          <cell r="F1318"/>
          <cell r="G1318"/>
          <cell r="H1318"/>
          <cell r="I1318"/>
          <cell r="J1318"/>
          <cell r="K1318"/>
          <cell r="L1318"/>
          <cell r="M1318"/>
          <cell r="N1318"/>
        </row>
        <row r="1319">
          <cell r="A1319">
            <v>20231316</v>
          </cell>
          <cell r="B1319"/>
          <cell r="C1319"/>
          <cell r="D1319"/>
          <cell r="E1319"/>
          <cell r="F1319"/>
          <cell r="G1319"/>
          <cell r="H1319"/>
          <cell r="I1319"/>
          <cell r="J1319"/>
          <cell r="K1319"/>
          <cell r="L1319"/>
          <cell r="M1319"/>
          <cell r="N1319"/>
        </row>
        <row r="1320">
          <cell r="A1320">
            <v>20231317</v>
          </cell>
          <cell r="B1320"/>
          <cell r="C1320"/>
          <cell r="D1320"/>
          <cell r="E1320"/>
          <cell r="F1320"/>
          <cell r="G1320"/>
          <cell r="H1320"/>
          <cell r="I1320"/>
          <cell r="J1320"/>
          <cell r="K1320"/>
          <cell r="L1320"/>
          <cell r="M1320"/>
          <cell r="N1320"/>
        </row>
        <row r="1321">
          <cell r="A1321">
            <v>20231318</v>
          </cell>
          <cell r="B1321"/>
          <cell r="C1321"/>
          <cell r="D1321"/>
          <cell r="E1321"/>
          <cell r="F1321"/>
          <cell r="G1321"/>
          <cell r="H1321"/>
          <cell r="I1321"/>
          <cell r="J1321"/>
          <cell r="K1321"/>
          <cell r="L1321"/>
          <cell r="M1321"/>
          <cell r="N1321"/>
        </row>
        <row r="1322">
          <cell r="A1322">
            <v>20231319</v>
          </cell>
          <cell r="B1322"/>
          <cell r="C1322"/>
          <cell r="D1322"/>
          <cell r="E1322"/>
          <cell r="F1322"/>
          <cell r="G1322"/>
          <cell r="H1322"/>
          <cell r="I1322"/>
          <cell r="J1322"/>
          <cell r="K1322"/>
          <cell r="L1322"/>
          <cell r="M1322"/>
          <cell r="N1322"/>
        </row>
        <row r="1323">
          <cell r="A1323">
            <v>20231320</v>
          </cell>
          <cell r="B1323"/>
          <cell r="C1323"/>
          <cell r="D1323"/>
          <cell r="E1323"/>
          <cell r="F1323"/>
          <cell r="G1323"/>
          <cell r="H1323"/>
          <cell r="I1323"/>
          <cell r="J1323"/>
          <cell r="K1323"/>
          <cell r="L1323"/>
          <cell r="M1323"/>
          <cell r="N1323"/>
        </row>
        <row r="1324">
          <cell r="A1324">
            <v>20231321</v>
          </cell>
          <cell r="B1324"/>
          <cell r="C1324"/>
          <cell r="D1324"/>
          <cell r="E1324"/>
          <cell r="F1324"/>
          <cell r="G1324"/>
          <cell r="H1324"/>
          <cell r="I1324"/>
          <cell r="J1324"/>
          <cell r="K1324"/>
          <cell r="L1324"/>
          <cell r="M1324"/>
          <cell r="N1324"/>
        </row>
        <row r="1325">
          <cell r="A1325">
            <v>20231322</v>
          </cell>
          <cell r="B1325"/>
          <cell r="C1325"/>
          <cell r="D1325"/>
          <cell r="E1325"/>
          <cell r="F1325"/>
          <cell r="G1325"/>
          <cell r="H1325"/>
          <cell r="I1325"/>
          <cell r="J1325"/>
          <cell r="K1325"/>
          <cell r="L1325"/>
          <cell r="M1325"/>
          <cell r="N1325"/>
        </row>
        <row r="1326">
          <cell r="A1326">
            <v>20231323</v>
          </cell>
          <cell r="B1326"/>
          <cell r="C1326"/>
          <cell r="D1326"/>
          <cell r="E1326"/>
          <cell r="F1326"/>
          <cell r="G1326"/>
          <cell r="H1326"/>
          <cell r="I1326"/>
          <cell r="J1326"/>
          <cell r="K1326"/>
          <cell r="L1326"/>
          <cell r="M1326"/>
          <cell r="N1326"/>
        </row>
        <row r="1327">
          <cell r="A1327">
            <v>20231324</v>
          </cell>
          <cell r="B1327"/>
          <cell r="C1327"/>
          <cell r="D1327"/>
          <cell r="E1327"/>
          <cell r="F1327"/>
          <cell r="G1327"/>
          <cell r="H1327"/>
          <cell r="I1327"/>
          <cell r="J1327"/>
          <cell r="K1327"/>
          <cell r="L1327"/>
          <cell r="M1327"/>
          <cell r="N1327"/>
        </row>
        <row r="1328">
          <cell r="A1328">
            <v>20231325</v>
          </cell>
          <cell r="B1328"/>
          <cell r="C1328"/>
          <cell r="D1328"/>
          <cell r="E1328"/>
          <cell r="F1328"/>
          <cell r="G1328"/>
          <cell r="H1328"/>
          <cell r="I1328"/>
          <cell r="J1328"/>
          <cell r="K1328"/>
          <cell r="L1328"/>
          <cell r="M1328"/>
          <cell r="N1328"/>
        </row>
        <row r="1329">
          <cell r="A1329">
            <v>20231326</v>
          </cell>
          <cell r="B1329"/>
          <cell r="C1329"/>
          <cell r="D1329"/>
          <cell r="E1329"/>
          <cell r="F1329"/>
          <cell r="G1329"/>
          <cell r="H1329"/>
          <cell r="I1329"/>
          <cell r="J1329"/>
          <cell r="K1329"/>
          <cell r="L1329"/>
          <cell r="M1329"/>
          <cell r="N1329"/>
        </row>
        <row r="1330">
          <cell r="A1330">
            <v>20231327</v>
          </cell>
          <cell r="B1330"/>
          <cell r="C1330"/>
          <cell r="D1330"/>
          <cell r="E1330"/>
          <cell r="F1330"/>
          <cell r="G1330"/>
          <cell r="H1330"/>
          <cell r="I1330"/>
          <cell r="J1330"/>
          <cell r="K1330"/>
          <cell r="L1330"/>
          <cell r="M1330"/>
          <cell r="N1330"/>
        </row>
        <row r="1331">
          <cell r="A1331">
            <v>20231328</v>
          </cell>
          <cell r="B1331"/>
          <cell r="C1331"/>
          <cell r="D1331"/>
          <cell r="E1331"/>
          <cell r="F1331"/>
          <cell r="G1331"/>
          <cell r="H1331"/>
          <cell r="I1331"/>
          <cell r="J1331"/>
          <cell r="K1331"/>
          <cell r="L1331"/>
          <cell r="M1331"/>
          <cell r="N1331"/>
        </row>
        <row r="1332">
          <cell r="A1332">
            <v>20231329</v>
          </cell>
          <cell r="B1332"/>
          <cell r="C1332"/>
          <cell r="D1332"/>
          <cell r="E1332"/>
          <cell r="F1332"/>
          <cell r="G1332"/>
          <cell r="H1332"/>
          <cell r="I1332"/>
          <cell r="J1332"/>
          <cell r="K1332"/>
          <cell r="L1332"/>
          <cell r="M1332"/>
          <cell r="N1332"/>
        </row>
        <row r="1333">
          <cell r="A1333">
            <v>20231330</v>
          </cell>
          <cell r="B1333"/>
          <cell r="C1333"/>
          <cell r="D1333"/>
          <cell r="E1333"/>
          <cell r="F1333"/>
          <cell r="G1333"/>
          <cell r="H1333"/>
          <cell r="I1333"/>
          <cell r="J1333"/>
          <cell r="K1333"/>
          <cell r="L1333"/>
          <cell r="M1333"/>
          <cell r="N1333"/>
        </row>
        <row r="1334">
          <cell r="A1334">
            <v>20231331</v>
          </cell>
          <cell r="B1334"/>
          <cell r="C1334"/>
          <cell r="D1334"/>
          <cell r="E1334"/>
          <cell r="F1334"/>
          <cell r="G1334"/>
          <cell r="H1334"/>
          <cell r="I1334"/>
          <cell r="J1334"/>
          <cell r="K1334"/>
          <cell r="L1334"/>
          <cell r="M1334"/>
          <cell r="N1334"/>
        </row>
        <row r="1335">
          <cell r="A1335">
            <v>20231332</v>
          </cell>
          <cell r="B1335"/>
          <cell r="C1335"/>
          <cell r="D1335"/>
          <cell r="E1335"/>
          <cell r="F1335"/>
          <cell r="G1335"/>
          <cell r="H1335"/>
          <cell r="I1335"/>
          <cell r="J1335"/>
          <cell r="K1335"/>
          <cell r="L1335"/>
          <cell r="M1335"/>
          <cell r="N1335"/>
        </row>
        <row r="1336">
          <cell r="A1336">
            <v>20231333</v>
          </cell>
          <cell r="B1336"/>
          <cell r="C1336"/>
          <cell r="D1336"/>
          <cell r="E1336"/>
          <cell r="F1336"/>
          <cell r="G1336"/>
          <cell r="H1336"/>
          <cell r="I1336"/>
          <cell r="J1336"/>
          <cell r="K1336"/>
          <cell r="L1336"/>
          <cell r="M1336"/>
          <cell r="N1336"/>
        </row>
        <row r="1337">
          <cell r="A1337">
            <v>20231334</v>
          </cell>
          <cell r="B1337"/>
          <cell r="C1337"/>
          <cell r="D1337"/>
          <cell r="E1337"/>
          <cell r="F1337"/>
          <cell r="G1337"/>
          <cell r="H1337"/>
          <cell r="I1337"/>
          <cell r="J1337"/>
          <cell r="K1337"/>
          <cell r="L1337"/>
          <cell r="M1337"/>
          <cell r="N1337"/>
        </row>
        <row r="1338">
          <cell r="A1338">
            <v>20231335</v>
          </cell>
          <cell r="B1338"/>
          <cell r="C1338"/>
          <cell r="D1338"/>
          <cell r="E1338"/>
          <cell r="F1338"/>
          <cell r="G1338"/>
          <cell r="H1338"/>
          <cell r="I1338"/>
          <cell r="J1338"/>
          <cell r="K1338"/>
          <cell r="L1338"/>
          <cell r="M1338"/>
          <cell r="N1338"/>
        </row>
        <row r="1339">
          <cell r="A1339">
            <v>20231336</v>
          </cell>
          <cell r="B1339"/>
          <cell r="C1339"/>
          <cell r="D1339"/>
          <cell r="E1339"/>
          <cell r="F1339"/>
          <cell r="G1339"/>
          <cell r="H1339"/>
          <cell r="I1339"/>
          <cell r="J1339"/>
          <cell r="K1339"/>
          <cell r="L1339"/>
          <cell r="M1339"/>
          <cell r="N1339"/>
        </row>
        <row r="1340">
          <cell r="A1340">
            <v>20231337</v>
          </cell>
          <cell r="B1340"/>
          <cell r="C1340"/>
          <cell r="D1340"/>
          <cell r="E1340"/>
          <cell r="F1340"/>
          <cell r="G1340"/>
          <cell r="H1340"/>
          <cell r="I1340"/>
          <cell r="J1340"/>
          <cell r="K1340"/>
          <cell r="L1340"/>
          <cell r="M1340"/>
          <cell r="N1340"/>
        </row>
        <row r="1341">
          <cell r="A1341">
            <v>20231338</v>
          </cell>
          <cell r="B1341"/>
          <cell r="C1341"/>
          <cell r="D1341"/>
          <cell r="E1341"/>
          <cell r="F1341"/>
          <cell r="G1341"/>
          <cell r="H1341"/>
          <cell r="I1341"/>
          <cell r="J1341"/>
          <cell r="K1341"/>
          <cell r="L1341"/>
          <cell r="M1341"/>
          <cell r="N1341"/>
        </row>
        <row r="1342">
          <cell r="A1342">
            <v>20231339</v>
          </cell>
          <cell r="B1342"/>
          <cell r="C1342"/>
          <cell r="D1342"/>
          <cell r="E1342"/>
          <cell r="F1342"/>
          <cell r="G1342"/>
          <cell r="H1342"/>
          <cell r="I1342"/>
          <cell r="J1342"/>
          <cell r="K1342"/>
          <cell r="L1342"/>
          <cell r="M1342"/>
          <cell r="N1342"/>
        </row>
        <row r="1343">
          <cell r="A1343">
            <v>20231340</v>
          </cell>
          <cell r="B1343"/>
          <cell r="C1343"/>
          <cell r="D1343"/>
          <cell r="E1343"/>
          <cell r="F1343"/>
          <cell r="G1343"/>
          <cell r="H1343"/>
          <cell r="I1343"/>
          <cell r="J1343"/>
          <cell r="K1343"/>
          <cell r="L1343"/>
          <cell r="M1343"/>
          <cell r="N1343"/>
        </row>
        <row r="1344">
          <cell r="A1344">
            <v>20231341</v>
          </cell>
          <cell r="B1344"/>
          <cell r="C1344"/>
          <cell r="D1344"/>
          <cell r="E1344"/>
          <cell r="F1344"/>
          <cell r="G1344"/>
          <cell r="H1344"/>
          <cell r="I1344"/>
          <cell r="J1344"/>
          <cell r="K1344"/>
          <cell r="L1344"/>
          <cell r="M1344"/>
          <cell r="N1344"/>
        </row>
        <row r="1345">
          <cell r="A1345">
            <v>20231342</v>
          </cell>
          <cell r="B1345"/>
          <cell r="C1345"/>
          <cell r="D1345"/>
          <cell r="E1345"/>
          <cell r="F1345"/>
          <cell r="G1345"/>
          <cell r="H1345"/>
          <cell r="I1345"/>
          <cell r="J1345"/>
          <cell r="K1345"/>
          <cell r="L1345"/>
          <cell r="M1345"/>
          <cell r="N1345"/>
        </row>
        <row r="1346">
          <cell r="A1346">
            <v>20231343</v>
          </cell>
          <cell r="B1346"/>
          <cell r="C1346"/>
          <cell r="D1346"/>
          <cell r="E1346"/>
          <cell r="F1346"/>
          <cell r="G1346"/>
          <cell r="H1346"/>
          <cell r="I1346"/>
          <cell r="J1346"/>
          <cell r="K1346"/>
          <cell r="L1346"/>
          <cell r="M1346"/>
          <cell r="N1346"/>
        </row>
        <row r="1347">
          <cell r="A1347">
            <v>20231344</v>
          </cell>
          <cell r="B1347"/>
          <cell r="C1347"/>
          <cell r="D1347"/>
          <cell r="E1347"/>
          <cell r="F1347"/>
          <cell r="G1347"/>
          <cell r="H1347"/>
          <cell r="I1347"/>
          <cell r="J1347"/>
          <cell r="K1347"/>
          <cell r="L1347"/>
          <cell r="M1347"/>
          <cell r="N1347"/>
        </row>
        <row r="1348">
          <cell r="A1348">
            <v>20231345</v>
          </cell>
          <cell r="B1348"/>
          <cell r="C1348"/>
          <cell r="D1348"/>
          <cell r="E1348"/>
          <cell r="F1348"/>
          <cell r="G1348"/>
          <cell r="H1348"/>
          <cell r="I1348"/>
          <cell r="J1348"/>
          <cell r="K1348"/>
          <cell r="L1348"/>
          <cell r="M1348"/>
          <cell r="N1348"/>
        </row>
        <row r="1349">
          <cell r="A1349">
            <v>20231346</v>
          </cell>
          <cell r="B1349"/>
          <cell r="C1349"/>
          <cell r="D1349"/>
          <cell r="E1349"/>
          <cell r="F1349"/>
          <cell r="G1349"/>
          <cell r="H1349"/>
          <cell r="I1349"/>
          <cell r="J1349"/>
          <cell r="K1349"/>
          <cell r="L1349"/>
          <cell r="M1349"/>
          <cell r="N1349"/>
        </row>
        <row r="1350">
          <cell r="A1350">
            <v>20231347</v>
          </cell>
          <cell r="B1350"/>
          <cell r="C1350"/>
          <cell r="D1350"/>
          <cell r="E1350"/>
          <cell r="F1350"/>
          <cell r="G1350"/>
          <cell r="H1350"/>
          <cell r="I1350"/>
          <cell r="J1350"/>
          <cell r="K1350"/>
          <cell r="L1350"/>
          <cell r="M1350"/>
          <cell r="N1350"/>
        </row>
        <row r="1351">
          <cell r="A1351">
            <v>20231348</v>
          </cell>
          <cell r="B1351"/>
          <cell r="C1351"/>
          <cell r="D1351"/>
          <cell r="E1351"/>
          <cell r="F1351"/>
          <cell r="G1351"/>
          <cell r="H1351"/>
          <cell r="I1351"/>
          <cell r="J1351"/>
          <cell r="K1351"/>
          <cell r="L1351"/>
          <cell r="M1351"/>
          <cell r="N1351"/>
        </row>
        <row r="1352">
          <cell r="A1352">
            <v>20231349</v>
          </cell>
          <cell r="B1352"/>
          <cell r="C1352"/>
          <cell r="D1352"/>
          <cell r="E1352"/>
          <cell r="F1352"/>
          <cell r="G1352"/>
          <cell r="H1352"/>
          <cell r="I1352"/>
          <cell r="J1352"/>
          <cell r="K1352"/>
          <cell r="L1352"/>
          <cell r="M1352"/>
          <cell r="N1352"/>
        </row>
        <row r="1353">
          <cell r="A1353">
            <v>20231350</v>
          </cell>
          <cell r="B1353"/>
          <cell r="C1353"/>
          <cell r="D1353"/>
          <cell r="E1353"/>
          <cell r="F1353"/>
          <cell r="G1353"/>
          <cell r="H1353"/>
          <cell r="I1353"/>
          <cell r="J1353"/>
          <cell r="K1353"/>
          <cell r="L1353"/>
          <cell r="M1353"/>
          <cell r="N1353"/>
        </row>
        <row r="1354">
          <cell r="A1354">
            <v>20231351</v>
          </cell>
          <cell r="B1354"/>
          <cell r="C1354"/>
          <cell r="D1354"/>
          <cell r="E1354"/>
          <cell r="F1354"/>
          <cell r="G1354"/>
          <cell r="H1354"/>
          <cell r="I1354"/>
          <cell r="J1354"/>
          <cell r="K1354"/>
          <cell r="L1354"/>
          <cell r="M1354"/>
          <cell r="N1354"/>
        </row>
        <row r="1355">
          <cell r="A1355">
            <v>20231352</v>
          </cell>
          <cell r="B1355"/>
          <cell r="C1355"/>
          <cell r="D1355"/>
          <cell r="E1355"/>
          <cell r="F1355"/>
          <cell r="G1355"/>
          <cell r="H1355"/>
          <cell r="I1355"/>
          <cell r="J1355"/>
          <cell r="K1355"/>
          <cell r="L1355"/>
          <cell r="M1355"/>
          <cell r="N1355"/>
        </row>
        <row r="1356">
          <cell r="A1356">
            <v>20231353</v>
          </cell>
          <cell r="B1356"/>
          <cell r="C1356"/>
          <cell r="D1356"/>
          <cell r="E1356"/>
          <cell r="F1356"/>
          <cell r="G1356"/>
          <cell r="H1356"/>
          <cell r="I1356"/>
          <cell r="J1356"/>
          <cell r="K1356"/>
          <cell r="L1356"/>
          <cell r="M1356"/>
          <cell r="N1356"/>
        </row>
        <row r="1357">
          <cell r="A1357">
            <v>20231354</v>
          </cell>
          <cell r="B1357"/>
          <cell r="C1357"/>
          <cell r="D1357"/>
          <cell r="E1357"/>
          <cell r="F1357"/>
          <cell r="G1357"/>
          <cell r="H1357"/>
          <cell r="I1357"/>
          <cell r="J1357"/>
          <cell r="K1357"/>
          <cell r="L1357"/>
          <cell r="M1357"/>
          <cell r="N1357"/>
        </row>
        <row r="1358">
          <cell r="A1358">
            <v>20231355</v>
          </cell>
          <cell r="B1358"/>
          <cell r="C1358"/>
          <cell r="D1358"/>
          <cell r="E1358"/>
          <cell r="F1358"/>
          <cell r="G1358"/>
          <cell r="H1358"/>
          <cell r="I1358"/>
          <cell r="J1358"/>
          <cell r="K1358"/>
          <cell r="L1358"/>
          <cell r="M1358"/>
          <cell r="N1358"/>
        </row>
        <row r="1359">
          <cell r="A1359">
            <v>20231356</v>
          </cell>
          <cell r="B1359"/>
          <cell r="C1359"/>
          <cell r="D1359"/>
          <cell r="E1359"/>
          <cell r="F1359"/>
          <cell r="G1359"/>
          <cell r="H1359"/>
          <cell r="I1359"/>
          <cell r="J1359"/>
          <cell r="K1359"/>
          <cell r="L1359"/>
          <cell r="M1359"/>
          <cell r="N1359"/>
        </row>
        <row r="1360">
          <cell r="A1360">
            <v>20231357</v>
          </cell>
          <cell r="B1360"/>
          <cell r="C1360"/>
          <cell r="D1360"/>
          <cell r="E1360"/>
          <cell r="F1360"/>
          <cell r="G1360"/>
          <cell r="H1360"/>
          <cell r="I1360"/>
          <cell r="J1360"/>
          <cell r="K1360"/>
          <cell r="L1360"/>
          <cell r="M1360"/>
          <cell r="N1360"/>
        </row>
        <row r="1361">
          <cell r="A1361">
            <v>20231358</v>
          </cell>
          <cell r="B1361"/>
          <cell r="C1361"/>
          <cell r="D1361"/>
          <cell r="E1361"/>
          <cell r="F1361"/>
          <cell r="G1361"/>
          <cell r="H1361"/>
          <cell r="I1361"/>
          <cell r="J1361"/>
          <cell r="K1361"/>
          <cell r="L1361"/>
          <cell r="M1361"/>
          <cell r="N1361"/>
        </row>
        <row r="1362">
          <cell r="A1362">
            <v>20231359</v>
          </cell>
          <cell r="B1362"/>
          <cell r="C1362"/>
          <cell r="D1362"/>
          <cell r="E1362"/>
          <cell r="F1362"/>
          <cell r="G1362"/>
          <cell r="H1362"/>
          <cell r="I1362"/>
          <cell r="J1362"/>
          <cell r="K1362"/>
          <cell r="L1362"/>
          <cell r="M1362"/>
          <cell r="N1362"/>
        </row>
        <row r="1363">
          <cell r="A1363">
            <v>20231360</v>
          </cell>
          <cell r="B1363"/>
          <cell r="C1363"/>
          <cell r="D1363"/>
          <cell r="E1363"/>
          <cell r="F1363"/>
          <cell r="G1363"/>
          <cell r="H1363"/>
          <cell r="I1363"/>
          <cell r="J1363"/>
          <cell r="K1363"/>
          <cell r="L1363"/>
          <cell r="M1363"/>
          <cell r="N1363"/>
        </row>
        <row r="1364">
          <cell r="A1364">
            <v>20231361</v>
          </cell>
          <cell r="B1364"/>
          <cell r="C1364"/>
          <cell r="D1364"/>
          <cell r="E1364"/>
          <cell r="F1364"/>
          <cell r="G1364"/>
          <cell r="H1364"/>
          <cell r="I1364"/>
          <cell r="J1364"/>
          <cell r="K1364"/>
          <cell r="L1364"/>
          <cell r="M1364"/>
          <cell r="N1364"/>
        </row>
        <row r="1365">
          <cell r="A1365">
            <v>20231362</v>
          </cell>
          <cell r="B1365"/>
          <cell r="C1365"/>
          <cell r="D1365"/>
          <cell r="E1365"/>
          <cell r="F1365"/>
          <cell r="G1365"/>
          <cell r="H1365"/>
          <cell r="I1365"/>
          <cell r="J1365"/>
          <cell r="K1365"/>
          <cell r="L1365"/>
          <cell r="M1365"/>
          <cell r="N1365"/>
        </row>
        <row r="1366">
          <cell r="A1366">
            <v>20231363</v>
          </cell>
          <cell r="B1366"/>
          <cell r="C1366"/>
          <cell r="D1366"/>
          <cell r="E1366"/>
          <cell r="F1366"/>
          <cell r="G1366"/>
          <cell r="H1366"/>
          <cell r="I1366"/>
          <cell r="J1366"/>
          <cell r="K1366"/>
          <cell r="L1366"/>
          <cell r="M1366"/>
          <cell r="N1366"/>
        </row>
        <row r="1367">
          <cell r="A1367">
            <v>20231364</v>
          </cell>
          <cell r="B1367"/>
          <cell r="C1367"/>
          <cell r="D1367"/>
          <cell r="E1367"/>
          <cell r="F1367"/>
          <cell r="G1367"/>
          <cell r="H1367"/>
          <cell r="I1367"/>
          <cell r="J1367"/>
          <cell r="K1367"/>
          <cell r="L1367"/>
          <cell r="M1367"/>
          <cell r="N1367"/>
        </row>
        <row r="1368">
          <cell r="A1368">
            <v>20231365</v>
          </cell>
          <cell r="B1368"/>
          <cell r="C1368"/>
          <cell r="D1368"/>
          <cell r="E1368"/>
          <cell r="F1368"/>
          <cell r="G1368"/>
          <cell r="H1368"/>
          <cell r="I1368"/>
          <cell r="J1368"/>
          <cell r="K1368"/>
          <cell r="L1368"/>
          <cell r="M1368"/>
          <cell r="N1368"/>
        </row>
        <row r="1369">
          <cell r="A1369">
            <v>20231366</v>
          </cell>
          <cell r="B1369"/>
          <cell r="C1369"/>
          <cell r="D1369"/>
          <cell r="E1369"/>
          <cell r="F1369"/>
          <cell r="G1369"/>
          <cell r="H1369"/>
          <cell r="I1369"/>
          <cell r="J1369"/>
          <cell r="K1369"/>
          <cell r="L1369"/>
          <cell r="M1369"/>
          <cell r="N1369"/>
        </row>
        <row r="1370">
          <cell r="A1370">
            <v>20231367</v>
          </cell>
          <cell r="B1370"/>
          <cell r="C1370"/>
          <cell r="D1370"/>
          <cell r="E1370"/>
          <cell r="F1370"/>
          <cell r="G1370"/>
          <cell r="H1370"/>
          <cell r="I1370"/>
          <cell r="J1370"/>
          <cell r="K1370"/>
          <cell r="L1370"/>
          <cell r="M1370"/>
          <cell r="N1370"/>
        </row>
        <row r="1371">
          <cell r="A1371">
            <v>20231368</v>
          </cell>
          <cell r="B1371"/>
          <cell r="C1371"/>
          <cell r="D1371"/>
          <cell r="E1371"/>
          <cell r="F1371"/>
          <cell r="G1371"/>
          <cell r="H1371"/>
          <cell r="I1371"/>
          <cell r="J1371"/>
          <cell r="K1371"/>
          <cell r="L1371"/>
          <cell r="M1371"/>
          <cell r="N1371"/>
        </row>
        <row r="1372">
          <cell r="A1372">
            <v>20231369</v>
          </cell>
          <cell r="B1372"/>
          <cell r="C1372"/>
          <cell r="D1372"/>
          <cell r="E1372"/>
          <cell r="F1372"/>
          <cell r="G1372"/>
          <cell r="H1372"/>
          <cell r="I1372"/>
          <cell r="J1372"/>
          <cell r="K1372"/>
          <cell r="L1372"/>
          <cell r="M1372"/>
          <cell r="N1372"/>
        </row>
        <row r="1373">
          <cell r="A1373">
            <v>20231370</v>
          </cell>
          <cell r="B1373"/>
          <cell r="C1373"/>
          <cell r="D1373"/>
          <cell r="E1373"/>
          <cell r="F1373"/>
          <cell r="G1373"/>
          <cell r="H1373"/>
          <cell r="I1373"/>
          <cell r="J1373"/>
          <cell r="K1373"/>
          <cell r="L1373"/>
          <cell r="M1373"/>
          <cell r="N1373"/>
        </row>
        <row r="1374">
          <cell r="A1374">
            <v>20231371</v>
          </cell>
          <cell r="B1374"/>
          <cell r="C1374"/>
          <cell r="D1374"/>
          <cell r="E1374"/>
          <cell r="F1374"/>
          <cell r="G1374"/>
          <cell r="H1374"/>
          <cell r="I1374"/>
          <cell r="J1374"/>
          <cell r="K1374"/>
          <cell r="L1374"/>
          <cell r="M1374"/>
          <cell r="N1374"/>
        </row>
        <row r="1375">
          <cell r="A1375">
            <v>20231372</v>
          </cell>
          <cell r="B1375"/>
          <cell r="C1375"/>
          <cell r="D1375"/>
          <cell r="E1375"/>
          <cell r="F1375"/>
          <cell r="G1375"/>
          <cell r="H1375"/>
          <cell r="I1375"/>
          <cell r="J1375"/>
          <cell r="K1375"/>
          <cell r="L1375"/>
          <cell r="M1375"/>
          <cell r="N1375"/>
        </row>
        <row r="1376">
          <cell r="A1376">
            <v>20231373</v>
          </cell>
          <cell r="B1376"/>
          <cell r="C1376"/>
          <cell r="D1376"/>
          <cell r="E1376"/>
          <cell r="F1376"/>
          <cell r="G1376"/>
          <cell r="H1376"/>
          <cell r="I1376"/>
          <cell r="J1376"/>
          <cell r="K1376"/>
          <cell r="L1376"/>
          <cell r="M1376"/>
          <cell r="N1376"/>
        </row>
        <row r="1377">
          <cell r="A1377">
            <v>20231374</v>
          </cell>
          <cell r="B1377"/>
          <cell r="C1377"/>
          <cell r="D1377"/>
          <cell r="E1377"/>
          <cell r="F1377"/>
          <cell r="G1377"/>
          <cell r="H1377"/>
          <cell r="I1377"/>
          <cell r="J1377"/>
          <cell r="K1377"/>
          <cell r="L1377"/>
          <cell r="M1377"/>
          <cell r="N1377"/>
        </row>
        <row r="1378">
          <cell r="A1378">
            <v>20231375</v>
          </cell>
          <cell r="B1378"/>
          <cell r="C1378"/>
          <cell r="D1378"/>
          <cell r="E1378"/>
          <cell r="F1378"/>
          <cell r="G1378"/>
          <cell r="H1378"/>
          <cell r="I1378"/>
          <cell r="J1378"/>
          <cell r="K1378"/>
          <cell r="L1378"/>
          <cell r="M1378"/>
          <cell r="N1378"/>
        </row>
        <row r="1379">
          <cell r="A1379">
            <v>20231376</v>
          </cell>
          <cell r="B1379"/>
          <cell r="C1379"/>
          <cell r="D1379"/>
          <cell r="E1379"/>
          <cell r="F1379"/>
          <cell r="G1379"/>
          <cell r="H1379"/>
          <cell r="I1379"/>
          <cell r="J1379"/>
          <cell r="K1379"/>
          <cell r="L1379"/>
          <cell r="M1379"/>
          <cell r="N1379"/>
        </row>
        <row r="1380">
          <cell r="A1380">
            <v>20231377</v>
          </cell>
          <cell r="B1380"/>
          <cell r="C1380"/>
          <cell r="D1380"/>
          <cell r="E1380"/>
          <cell r="F1380"/>
          <cell r="G1380"/>
          <cell r="H1380"/>
          <cell r="I1380"/>
          <cell r="J1380"/>
          <cell r="K1380"/>
          <cell r="L1380"/>
          <cell r="M1380"/>
          <cell r="N1380"/>
        </row>
        <row r="1381">
          <cell r="A1381">
            <v>20231378</v>
          </cell>
          <cell r="B1381"/>
          <cell r="C1381"/>
          <cell r="D1381"/>
          <cell r="E1381"/>
          <cell r="F1381"/>
          <cell r="G1381"/>
          <cell r="H1381"/>
          <cell r="I1381"/>
          <cell r="J1381"/>
          <cell r="K1381"/>
          <cell r="L1381"/>
          <cell r="M1381"/>
          <cell r="N1381"/>
        </row>
        <row r="1382">
          <cell r="A1382">
            <v>20231379</v>
          </cell>
          <cell r="B1382"/>
          <cell r="C1382"/>
          <cell r="D1382"/>
          <cell r="E1382"/>
          <cell r="F1382"/>
          <cell r="G1382"/>
          <cell r="H1382"/>
          <cell r="I1382"/>
          <cell r="J1382"/>
          <cell r="K1382"/>
          <cell r="L1382"/>
          <cell r="M1382"/>
          <cell r="N1382"/>
        </row>
        <row r="1383">
          <cell r="A1383">
            <v>20231380</v>
          </cell>
          <cell r="B1383"/>
          <cell r="C1383"/>
          <cell r="D1383"/>
          <cell r="E1383"/>
          <cell r="F1383"/>
          <cell r="G1383"/>
          <cell r="H1383"/>
          <cell r="I1383"/>
          <cell r="J1383"/>
          <cell r="K1383"/>
          <cell r="L1383"/>
          <cell r="M1383"/>
          <cell r="N1383"/>
        </row>
        <row r="1384">
          <cell r="A1384">
            <v>20231381</v>
          </cell>
          <cell r="B1384"/>
          <cell r="C1384"/>
          <cell r="D1384"/>
          <cell r="E1384"/>
          <cell r="F1384"/>
          <cell r="G1384"/>
          <cell r="H1384"/>
          <cell r="I1384"/>
          <cell r="J1384"/>
          <cell r="K1384"/>
          <cell r="L1384"/>
          <cell r="M1384"/>
          <cell r="N1384"/>
        </row>
        <row r="1385">
          <cell r="A1385">
            <v>20231382</v>
          </cell>
          <cell r="B1385"/>
          <cell r="C1385"/>
          <cell r="D1385"/>
          <cell r="E1385"/>
          <cell r="F1385"/>
          <cell r="G1385"/>
          <cell r="H1385"/>
          <cell r="I1385"/>
          <cell r="J1385"/>
          <cell r="K1385"/>
          <cell r="L1385"/>
          <cell r="M1385"/>
          <cell r="N1385"/>
        </row>
        <row r="1386">
          <cell r="A1386">
            <v>20231383</v>
          </cell>
          <cell r="B1386"/>
          <cell r="C1386"/>
          <cell r="D1386"/>
          <cell r="E1386"/>
          <cell r="F1386"/>
          <cell r="G1386"/>
          <cell r="H1386"/>
          <cell r="I1386"/>
          <cell r="J1386"/>
          <cell r="K1386"/>
          <cell r="L1386"/>
          <cell r="M1386"/>
          <cell r="N1386"/>
        </row>
        <row r="1387">
          <cell r="A1387">
            <v>20231384</v>
          </cell>
          <cell r="B1387"/>
          <cell r="C1387"/>
          <cell r="D1387"/>
          <cell r="E1387"/>
          <cell r="F1387"/>
          <cell r="G1387"/>
          <cell r="H1387"/>
          <cell r="I1387"/>
          <cell r="J1387"/>
          <cell r="K1387"/>
          <cell r="L1387"/>
          <cell r="M1387"/>
          <cell r="N1387"/>
        </row>
        <row r="1388">
          <cell r="A1388">
            <v>20231385</v>
          </cell>
          <cell r="B1388"/>
          <cell r="C1388"/>
          <cell r="D1388"/>
          <cell r="E1388"/>
          <cell r="F1388"/>
          <cell r="G1388"/>
          <cell r="H1388"/>
          <cell r="I1388"/>
          <cell r="J1388"/>
          <cell r="K1388"/>
          <cell r="L1388"/>
          <cell r="M1388"/>
          <cell r="N1388"/>
        </row>
        <row r="1389">
          <cell r="A1389">
            <v>20231386</v>
          </cell>
          <cell r="B1389"/>
          <cell r="C1389"/>
          <cell r="D1389"/>
          <cell r="E1389"/>
          <cell r="F1389"/>
          <cell r="G1389"/>
          <cell r="H1389"/>
          <cell r="I1389"/>
          <cell r="J1389"/>
          <cell r="K1389"/>
          <cell r="L1389"/>
          <cell r="M1389"/>
          <cell r="N1389"/>
        </row>
        <row r="1390">
          <cell r="A1390">
            <v>20231387</v>
          </cell>
          <cell r="B1390"/>
          <cell r="C1390"/>
          <cell r="D1390"/>
          <cell r="E1390"/>
          <cell r="F1390"/>
          <cell r="G1390"/>
          <cell r="H1390"/>
          <cell r="I1390"/>
          <cell r="J1390"/>
          <cell r="K1390"/>
          <cell r="L1390"/>
          <cell r="M1390"/>
          <cell r="N1390"/>
        </row>
        <row r="1391">
          <cell r="A1391">
            <v>20231388</v>
          </cell>
          <cell r="B1391"/>
          <cell r="C1391"/>
          <cell r="D1391"/>
          <cell r="E1391"/>
          <cell r="F1391"/>
          <cell r="G1391"/>
          <cell r="H1391"/>
          <cell r="I1391"/>
          <cell r="J1391"/>
          <cell r="K1391"/>
          <cell r="L1391"/>
          <cell r="M1391"/>
          <cell r="N1391"/>
        </row>
        <row r="1392">
          <cell r="A1392">
            <v>20231389</v>
          </cell>
          <cell r="B1392"/>
          <cell r="C1392"/>
          <cell r="D1392"/>
          <cell r="E1392"/>
          <cell r="F1392"/>
          <cell r="G1392"/>
          <cell r="H1392"/>
          <cell r="I1392"/>
          <cell r="J1392"/>
          <cell r="K1392"/>
          <cell r="L1392"/>
          <cell r="M1392"/>
          <cell r="N1392"/>
        </row>
        <row r="1393">
          <cell r="A1393">
            <v>20231390</v>
          </cell>
          <cell r="B1393"/>
          <cell r="C1393"/>
          <cell r="D1393"/>
          <cell r="E1393"/>
          <cell r="F1393"/>
          <cell r="G1393"/>
          <cell r="H1393"/>
          <cell r="I1393"/>
          <cell r="J1393"/>
          <cell r="K1393"/>
          <cell r="L1393"/>
          <cell r="M1393"/>
          <cell r="N1393"/>
        </row>
        <row r="1394">
          <cell r="A1394">
            <v>20231391</v>
          </cell>
          <cell r="B1394"/>
          <cell r="C1394"/>
          <cell r="D1394"/>
          <cell r="E1394"/>
          <cell r="F1394"/>
          <cell r="G1394"/>
          <cell r="H1394"/>
          <cell r="I1394"/>
          <cell r="J1394"/>
          <cell r="K1394"/>
          <cell r="L1394"/>
          <cell r="M1394"/>
          <cell r="N1394"/>
        </row>
        <row r="1395">
          <cell r="A1395">
            <v>20231392</v>
          </cell>
          <cell r="B1395"/>
          <cell r="C1395"/>
          <cell r="D1395"/>
          <cell r="E1395"/>
          <cell r="F1395"/>
          <cell r="G1395"/>
          <cell r="H1395"/>
          <cell r="I1395"/>
          <cell r="J1395"/>
          <cell r="K1395"/>
          <cell r="L1395"/>
          <cell r="M1395"/>
          <cell r="N1395"/>
        </row>
        <row r="1396">
          <cell r="A1396">
            <v>20231393</v>
          </cell>
          <cell r="B1396"/>
          <cell r="C1396"/>
          <cell r="D1396"/>
          <cell r="E1396"/>
          <cell r="F1396"/>
          <cell r="G1396"/>
          <cell r="H1396"/>
          <cell r="I1396"/>
          <cell r="J1396"/>
          <cell r="K1396"/>
          <cell r="L1396"/>
          <cell r="M1396"/>
          <cell r="N1396"/>
        </row>
        <row r="1397">
          <cell r="A1397">
            <v>20231394</v>
          </cell>
          <cell r="B1397"/>
          <cell r="C1397"/>
          <cell r="D1397"/>
          <cell r="E1397"/>
          <cell r="F1397"/>
          <cell r="G1397"/>
          <cell r="H1397"/>
          <cell r="I1397"/>
          <cell r="J1397"/>
          <cell r="K1397"/>
          <cell r="L1397"/>
          <cell r="M1397"/>
          <cell r="N1397"/>
        </row>
        <row r="1398">
          <cell r="A1398">
            <v>20231395</v>
          </cell>
          <cell r="B1398"/>
          <cell r="C1398"/>
          <cell r="D1398"/>
          <cell r="E1398"/>
          <cell r="F1398"/>
          <cell r="G1398"/>
          <cell r="H1398"/>
          <cell r="I1398"/>
          <cell r="J1398"/>
          <cell r="K1398"/>
          <cell r="L1398"/>
          <cell r="M1398"/>
          <cell r="N1398"/>
        </row>
        <row r="1399">
          <cell r="A1399">
            <v>20231396</v>
          </cell>
          <cell r="B1399"/>
          <cell r="C1399"/>
          <cell r="D1399"/>
          <cell r="E1399"/>
          <cell r="F1399"/>
          <cell r="G1399"/>
          <cell r="H1399"/>
          <cell r="I1399"/>
          <cell r="J1399"/>
          <cell r="K1399"/>
          <cell r="L1399"/>
          <cell r="M1399"/>
          <cell r="N1399"/>
        </row>
        <row r="1400">
          <cell r="A1400">
            <v>20231397</v>
          </cell>
          <cell r="B1400"/>
          <cell r="C1400"/>
          <cell r="D1400"/>
          <cell r="E1400"/>
          <cell r="F1400"/>
          <cell r="G1400"/>
          <cell r="H1400"/>
          <cell r="I1400"/>
          <cell r="J1400"/>
          <cell r="K1400"/>
          <cell r="L1400"/>
          <cell r="M1400"/>
          <cell r="N1400"/>
        </row>
        <row r="1401">
          <cell r="A1401">
            <v>20231398</v>
          </cell>
          <cell r="B1401"/>
          <cell r="C1401"/>
          <cell r="D1401"/>
          <cell r="E1401"/>
          <cell r="F1401"/>
          <cell r="G1401"/>
          <cell r="H1401"/>
          <cell r="I1401"/>
          <cell r="J1401"/>
          <cell r="K1401"/>
          <cell r="L1401"/>
          <cell r="M1401"/>
          <cell r="N1401"/>
        </row>
        <row r="1402">
          <cell r="A1402">
            <v>20231399</v>
          </cell>
          <cell r="B1402"/>
          <cell r="C1402"/>
          <cell r="D1402"/>
          <cell r="E1402"/>
          <cell r="F1402"/>
          <cell r="G1402"/>
          <cell r="H1402"/>
          <cell r="I1402"/>
          <cell r="J1402"/>
          <cell r="K1402"/>
          <cell r="L1402"/>
          <cell r="M1402"/>
          <cell r="N1402"/>
        </row>
        <row r="1403">
          <cell r="A1403">
            <v>20231400</v>
          </cell>
          <cell r="B1403"/>
          <cell r="C1403"/>
          <cell r="D1403"/>
          <cell r="E1403"/>
          <cell r="F1403"/>
          <cell r="G1403"/>
          <cell r="H1403"/>
          <cell r="I1403"/>
          <cell r="J1403"/>
          <cell r="K1403"/>
          <cell r="L1403"/>
          <cell r="M1403"/>
          <cell r="N1403"/>
        </row>
        <row r="1404">
          <cell r="A1404">
            <v>20231401</v>
          </cell>
          <cell r="B1404"/>
          <cell r="C1404"/>
          <cell r="D1404"/>
          <cell r="E1404"/>
          <cell r="F1404"/>
          <cell r="G1404"/>
          <cell r="H1404"/>
          <cell r="I1404"/>
          <cell r="J1404"/>
          <cell r="K1404"/>
          <cell r="L1404"/>
          <cell r="M1404"/>
          <cell r="N1404"/>
        </row>
        <row r="1405">
          <cell r="A1405">
            <v>20231402</v>
          </cell>
          <cell r="B1405"/>
          <cell r="C1405"/>
          <cell r="D1405"/>
          <cell r="E1405"/>
          <cell r="F1405"/>
          <cell r="G1405"/>
          <cell r="H1405"/>
          <cell r="I1405"/>
          <cell r="J1405"/>
          <cell r="K1405"/>
          <cell r="L1405"/>
          <cell r="M1405"/>
          <cell r="N1405"/>
        </row>
        <row r="1406">
          <cell r="A1406">
            <v>20231403</v>
          </cell>
          <cell r="B1406"/>
          <cell r="C1406"/>
          <cell r="D1406"/>
          <cell r="E1406"/>
          <cell r="F1406"/>
          <cell r="G1406"/>
          <cell r="H1406"/>
          <cell r="I1406"/>
          <cell r="J1406"/>
          <cell r="K1406"/>
          <cell r="L1406"/>
          <cell r="M1406"/>
          <cell r="N1406"/>
        </row>
        <row r="1407">
          <cell r="A1407">
            <v>20231404</v>
          </cell>
          <cell r="B1407"/>
          <cell r="C1407"/>
          <cell r="D1407"/>
          <cell r="E1407"/>
          <cell r="F1407"/>
          <cell r="G1407"/>
          <cell r="H1407"/>
          <cell r="I1407"/>
          <cell r="J1407"/>
          <cell r="K1407"/>
          <cell r="L1407"/>
          <cell r="M1407"/>
          <cell r="N1407"/>
        </row>
        <row r="1408">
          <cell r="A1408">
            <v>20231405</v>
          </cell>
          <cell r="B1408"/>
          <cell r="C1408"/>
          <cell r="D1408"/>
          <cell r="E1408"/>
          <cell r="F1408"/>
          <cell r="G1408"/>
          <cell r="H1408"/>
          <cell r="I1408"/>
          <cell r="J1408"/>
          <cell r="K1408"/>
          <cell r="L1408"/>
          <cell r="M1408"/>
          <cell r="N1408"/>
        </row>
        <row r="1409">
          <cell r="A1409">
            <v>20231406</v>
          </cell>
          <cell r="B1409"/>
          <cell r="C1409"/>
          <cell r="D1409"/>
          <cell r="E1409"/>
          <cell r="F1409"/>
          <cell r="G1409"/>
          <cell r="H1409"/>
          <cell r="I1409"/>
          <cell r="J1409"/>
          <cell r="K1409"/>
          <cell r="L1409"/>
          <cell r="M1409"/>
          <cell r="N1409"/>
        </row>
        <row r="1410">
          <cell r="A1410">
            <v>20231407</v>
          </cell>
          <cell r="B1410"/>
          <cell r="C1410"/>
          <cell r="D1410"/>
          <cell r="E1410"/>
          <cell r="F1410"/>
          <cell r="G1410"/>
          <cell r="H1410"/>
          <cell r="I1410"/>
          <cell r="J1410"/>
          <cell r="K1410"/>
          <cell r="L1410"/>
          <cell r="M1410"/>
          <cell r="N1410"/>
        </row>
        <row r="1411">
          <cell r="A1411">
            <v>20231408</v>
          </cell>
          <cell r="B1411"/>
          <cell r="C1411"/>
          <cell r="D1411"/>
          <cell r="E1411"/>
          <cell r="F1411"/>
          <cell r="G1411"/>
          <cell r="H1411"/>
          <cell r="I1411"/>
          <cell r="J1411"/>
          <cell r="K1411"/>
          <cell r="L1411"/>
          <cell r="M1411"/>
          <cell r="N1411"/>
        </row>
        <row r="1412">
          <cell r="A1412">
            <v>20231409</v>
          </cell>
          <cell r="B1412"/>
          <cell r="C1412"/>
          <cell r="D1412"/>
          <cell r="E1412"/>
          <cell r="F1412"/>
          <cell r="G1412"/>
          <cell r="H1412"/>
          <cell r="I1412"/>
          <cell r="J1412"/>
          <cell r="K1412"/>
          <cell r="L1412"/>
          <cell r="M1412"/>
          <cell r="N1412"/>
        </row>
        <row r="1413">
          <cell r="A1413">
            <v>20231410</v>
          </cell>
          <cell r="B1413"/>
          <cell r="C1413"/>
          <cell r="D1413"/>
          <cell r="E1413"/>
          <cell r="F1413"/>
          <cell r="G1413"/>
          <cell r="H1413"/>
          <cell r="I1413"/>
          <cell r="J1413"/>
          <cell r="K1413"/>
          <cell r="L1413"/>
          <cell r="M1413"/>
          <cell r="N1413"/>
        </row>
        <row r="1414">
          <cell r="A1414">
            <v>20231411</v>
          </cell>
          <cell r="B1414"/>
          <cell r="C1414"/>
          <cell r="D1414"/>
          <cell r="E1414"/>
          <cell r="F1414"/>
          <cell r="G1414"/>
          <cell r="H1414"/>
          <cell r="I1414"/>
          <cell r="J1414"/>
          <cell r="K1414"/>
          <cell r="L1414"/>
          <cell r="M1414"/>
          <cell r="N1414"/>
        </row>
        <row r="1415">
          <cell r="A1415">
            <v>20231412</v>
          </cell>
          <cell r="B1415"/>
          <cell r="C1415"/>
          <cell r="D1415"/>
          <cell r="E1415"/>
          <cell r="F1415"/>
          <cell r="G1415"/>
          <cell r="H1415"/>
          <cell r="I1415"/>
          <cell r="J1415"/>
          <cell r="K1415"/>
          <cell r="L1415"/>
          <cell r="M1415"/>
          <cell r="N1415"/>
        </row>
        <row r="1416">
          <cell r="A1416">
            <v>20231413</v>
          </cell>
          <cell r="B1416"/>
          <cell r="C1416"/>
          <cell r="D1416"/>
          <cell r="E1416"/>
          <cell r="F1416"/>
          <cell r="G1416"/>
          <cell r="H1416"/>
          <cell r="I1416"/>
          <cell r="J1416"/>
          <cell r="K1416"/>
          <cell r="L1416"/>
          <cell r="M1416"/>
          <cell r="N1416"/>
        </row>
        <row r="1417">
          <cell r="A1417">
            <v>20231414</v>
          </cell>
          <cell r="B1417"/>
          <cell r="C1417"/>
          <cell r="D1417"/>
          <cell r="E1417"/>
          <cell r="F1417"/>
          <cell r="G1417"/>
          <cell r="H1417"/>
          <cell r="I1417"/>
          <cell r="J1417"/>
          <cell r="K1417"/>
          <cell r="L1417"/>
          <cell r="M1417"/>
          <cell r="N1417"/>
        </row>
        <row r="1418">
          <cell r="A1418">
            <v>20231415</v>
          </cell>
          <cell r="B1418"/>
          <cell r="C1418"/>
          <cell r="D1418"/>
          <cell r="E1418"/>
          <cell r="F1418"/>
          <cell r="G1418"/>
          <cell r="H1418"/>
          <cell r="I1418"/>
          <cell r="J1418"/>
          <cell r="K1418"/>
          <cell r="L1418"/>
          <cell r="M1418"/>
          <cell r="N1418"/>
        </row>
        <row r="1419">
          <cell r="A1419">
            <v>20231416</v>
          </cell>
          <cell r="B1419"/>
          <cell r="C1419"/>
          <cell r="D1419"/>
          <cell r="E1419"/>
          <cell r="F1419"/>
          <cell r="G1419"/>
          <cell r="H1419"/>
          <cell r="I1419"/>
          <cell r="J1419"/>
          <cell r="K1419"/>
          <cell r="L1419"/>
          <cell r="M1419"/>
          <cell r="N1419"/>
        </row>
        <row r="1420">
          <cell r="A1420">
            <v>20231417</v>
          </cell>
          <cell r="B1420"/>
          <cell r="C1420"/>
          <cell r="D1420"/>
          <cell r="E1420"/>
          <cell r="F1420"/>
          <cell r="G1420"/>
          <cell r="H1420"/>
          <cell r="I1420"/>
          <cell r="J1420"/>
          <cell r="K1420"/>
          <cell r="L1420"/>
          <cell r="M1420"/>
          <cell r="N1420"/>
        </row>
        <row r="1421">
          <cell r="A1421">
            <v>20231418</v>
          </cell>
          <cell r="B1421"/>
          <cell r="C1421"/>
          <cell r="D1421"/>
          <cell r="E1421"/>
          <cell r="F1421"/>
          <cell r="G1421"/>
          <cell r="H1421"/>
          <cell r="I1421"/>
          <cell r="J1421"/>
          <cell r="K1421"/>
          <cell r="L1421"/>
          <cell r="M1421"/>
          <cell r="N1421"/>
        </row>
        <row r="1422">
          <cell r="A1422">
            <v>20231419</v>
          </cell>
          <cell r="B1422"/>
          <cell r="C1422"/>
          <cell r="D1422"/>
          <cell r="E1422"/>
          <cell r="F1422"/>
          <cell r="G1422"/>
          <cell r="H1422"/>
          <cell r="I1422"/>
          <cell r="J1422"/>
          <cell r="K1422"/>
          <cell r="L1422"/>
          <cell r="M1422"/>
          <cell r="N1422"/>
        </row>
        <row r="1423">
          <cell r="A1423">
            <v>20231420</v>
          </cell>
          <cell r="B1423"/>
          <cell r="C1423"/>
          <cell r="D1423"/>
          <cell r="E1423"/>
          <cell r="F1423"/>
          <cell r="G1423"/>
          <cell r="H1423"/>
          <cell r="I1423"/>
          <cell r="J1423"/>
          <cell r="K1423"/>
          <cell r="L1423"/>
          <cell r="M1423"/>
          <cell r="N1423"/>
        </row>
        <row r="1424">
          <cell r="A1424">
            <v>20231421</v>
          </cell>
          <cell r="B1424"/>
          <cell r="C1424"/>
          <cell r="D1424"/>
          <cell r="E1424"/>
          <cell r="F1424"/>
          <cell r="G1424"/>
          <cell r="H1424"/>
          <cell r="I1424"/>
          <cell r="J1424"/>
          <cell r="K1424"/>
          <cell r="L1424"/>
          <cell r="M1424"/>
          <cell r="N1424"/>
        </row>
        <row r="1425">
          <cell r="A1425">
            <v>20231422</v>
          </cell>
          <cell r="B1425"/>
          <cell r="C1425"/>
          <cell r="D1425"/>
          <cell r="E1425"/>
          <cell r="F1425"/>
          <cell r="G1425"/>
          <cell r="H1425"/>
          <cell r="I1425"/>
          <cell r="J1425"/>
          <cell r="K1425"/>
          <cell r="L1425"/>
          <cell r="M1425"/>
          <cell r="N1425"/>
        </row>
        <row r="1426">
          <cell r="A1426">
            <v>20231423</v>
          </cell>
          <cell r="B1426"/>
          <cell r="C1426"/>
          <cell r="D1426"/>
          <cell r="E1426"/>
          <cell r="F1426"/>
          <cell r="G1426"/>
          <cell r="H1426"/>
          <cell r="I1426"/>
          <cell r="J1426"/>
          <cell r="K1426"/>
          <cell r="L1426"/>
          <cell r="M1426"/>
          <cell r="N1426"/>
        </row>
        <row r="1427">
          <cell r="A1427">
            <v>20231424</v>
          </cell>
          <cell r="B1427"/>
          <cell r="C1427"/>
          <cell r="D1427"/>
          <cell r="E1427"/>
          <cell r="F1427"/>
          <cell r="G1427"/>
          <cell r="H1427"/>
          <cell r="I1427"/>
          <cell r="J1427"/>
          <cell r="K1427"/>
          <cell r="L1427"/>
          <cell r="M1427"/>
          <cell r="N1427"/>
        </row>
        <row r="1428">
          <cell r="A1428">
            <v>20231425</v>
          </cell>
          <cell r="B1428"/>
          <cell r="C1428"/>
          <cell r="D1428"/>
          <cell r="E1428"/>
          <cell r="F1428"/>
          <cell r="G1428"/>
          <cell r="H1428"/>
          <cell r="I1428"/>
          <cell r="J1428"/>
          <cell r="K1428"/>
          <cell r="L1428"/>
          <cell r="M1428"/>
          <cell r="N1428"/>
        </row>
        <row r="1429">
          <cell r="A1429">
            <v>20231426</v>
          </cell>
          <cell r="B1429"/>
          <cell r="C1429"/>
          <cell r="D1429"/>
          <cell r="E1429"/>
          <cell r="F1429"/>
          <cell r="G1429"/>
          <cell r="H1429"/>
          <cell r="I1429"/>
          <cell r="J1429"/>
          <cell r="K1429"/>
          <cell r="L1429"/>
          <cell r="M1429"/>
          <cell r="N1429"/>
        </row>
        <row r="1430">
          <cell r="A1430">
            <v>20231427</v>
          </cell>
          <cell r="B1430"/>
          <cell r="C1430"/>
          <cell r="D1430"/>
          <cell r="E1430"/>
          <cell r="F1430"/>
          <cell r="G1430"/>
          <cell r="H1430"/>
          <cell r="I1430"/>
          <cell r="J1430"/>
          <cell r="K1430"/>
          <cell r="L1430"/>
          <cell r="M1430"/>
          <cell r="N1430"/>
        </row>
        <row r="1431">
          <cell r="A1431">
            <v>20231428</v>
          </cell>
          <cell r="B1431"/>
          <cell r="C1431"/>
          <cell r="D1431"/>
          <cell r="E1431"/>
          <cell r="F1431"/>
          <cell r="G1431"/>
          <cell r="H1431"/>
          <cell r="I1431"/>
          <cell r="J1431"/>
          <cell r="K1431"/>
          <cell r="L1431"/>
          <cell r="M1431"/>
          <cell r="N1431"/>
        </row>
        <row r="1432">
          <cell r="A1432">
            <v>20231429</v>
          </cell>
          <cell r="B1432"/>
          <cell r="C1432"/>
          <cell r="D1432"/>
          <cell r="E1432"/>
          <cell r="F1432"/>
          <cell r="G1432"/>
          <cell r="H1432"/>
          <cell r="I1432"/>
          <cell r="J1432"/>
          <cell r="K1432"/>
          <cell r="L1432"/>
          <cell r="M1432"/>
          <cell r="N1432"/>
        </row>
        <row r="1433">
          <cell r="A1433">
            <v>20231430</v>
          </cell>
          <cell r="B1433"/>
          <cell r="C1433"/>
          <cell r="D1433"/>
          <cell r="E1433"/>
          <cell r="F1433"/>
          <cell r="G1433"/>
          <cell r="H1433"/>
          <cell r="I1433"/>
          <cell r="J1433"/>
          <cell r="K1433"/>
          <cell r="L1433"/>
          <cell r="M1433"/>
          <cell r="N1433"/>
        </row>
        <row r="1434">
          <cell r="A1434">
            <v>20231431</v>
          </cell>
          <cell r="B1434"/>
          <cell r="C1434"/>
          <cell r="D1434"/>
          <cell r="E1434"/>
          <cell r="F1434"/>
          <cell r="G1434"/>
          <cell r="H1434"/>
          <cell r="I1434"/>
          <cell r="J1434"/>
          <cell r="K1434"/>
          <cell r="L1434"/>
          <cell r="M1434"/>
          <cell r="N1434"/>
        </row>
        <row r="1435">
          <cell r="A1435">
            <v>20231432</v>
          </cell>
          <cell r="B1435"/>
          <cell r="C1435"/>
          <cell r="D1435"/>
          <cell r="E1435"/>
          <cell r="F1435"/>
          <cell r="G1435"/>
          <cell r="H1435"/>
          <cell r="I1435"/>
          <cell r="J1435"/>
          <cell r="K1435"/>
          <cell r="L1435"/>
          <cell r="M1435"/>
          <cell r="N1435"/>
        </row>
        <row r="1436">
          <cell r="A1436">
            <v>20231433</v>
          </cell>
          <cell r="B1436"/>
          <cell r="C1436"/>
          <cell r="D1436"/>
          <cell r="E1436"/>
          <cell r="F1436"/>
          <cell r="G1436"/>
          <cell r="H1436"/>
          <cell r="I1436"/>
          <cell r="J1436"/>
          <cell r="K1436"/>
          <cell r="L1436"/>
          <cell r="M1436"/>
          <cell r="N1436"/>
        </row>
        <row r="1437">
          <cell r="A1437">
            <v>20231434</v>
          </cell>
          <cell r="B1437"/>
          <cell r="C1437"/>
          <cell r="D1437"/>
          <cell r="E1437"/>
          <cell r="F1437"/>
          <cell r="G1437"/>
          <cell r="H1437"/>
          <cell r="I1437"/>
          <cell r="J1437"/>
          <cell r="K1437"/>
          <cell r="L1437"/>
          <cell r="M1437"/>
          <cell r="N1437"/>
        </row>
        <row r="1438">
          <cell r="A1438">
            <v>20231435</v>
          </cell>
          <cell r="B1438"/>
          <cell r="C1438"/>
          <cell r="D1438"/>
          <cell r="E1438"/>
          <cell r="F1438"/>
          <cell r="G1438"/>
          <cell r="H1438"/>
          <cell r="I1438"/>
          <cell r="J1438"/>
          <cell r="K1438"/>
          <cell r="L1438"/>
          <cell r="M1438"/>
          <cell r="N1438"/>
        </row>
        <row r="1439">
          <cell r="A1439">
            <v>20231436</v>
          </cell>
          <cell r="B1439"/>
          <cell r="C1439"/>
          <cell r="D1439"/>
          <cell r="E1439"/>
          <cell r="F1439"/>
          <cell r="G1439"/>
          <cell r="H1439"/>
          <cell r="I1439"/>
          <cell r="J1439"/>
          <cell r="K1439"/>
          <cell r="L1439"/>
          <cell r="M1439"/>
          <cell r="N1439"/>
        </row>
        <row r="1440">
          <cell r="A1440">
            <v>20231437</v>
          </cell>
          <cell r="B1440"/>
          <cell r="C1440"/>
          <cell r="D1440"/>
          <cell r="E1440"/>
          <cell r="F1440"/>
          <cell r="G1440"/>
          <cell r="H1440"/>
          <cell r="I1440"/>
          <cell r="J1440"/>
          <cell r="K1440"/>
          <cell r="L1440"/>
          <cell r="M1440"/>
          <cell r="N1440"/>
        </row>
        <row r="1441">
          <cell r="A1441">
            <v>20231438</v>
          </cell>
          <cell r="B1441"/>
          <cell r="C1441"/>
          <cell r="D1441"/>
          <cell r="E1441"/>
          <cell r="F1441"/>
          <cell r="G1441"/>
          <cell r="H1441"/>
          <cell r="I1441"/>
          <cell r="J1441"/>
          <cell r="K1441"/>
          <cell r="L1441"/>
          <cell r="M1441"/>
          <cell r="N1441"/>
        </row>
        <row r="1442">
          <cell r="A1442">
            <v>20231439</v>
          </cell>
          <cell r="B1442"/>
          <cell r="C1442"/>
          <cell r="D1442"/>
          <cell r="E1442"/>
          <cell r="F1442"/>
          <cell r="G1442"/>
          <cell r="H1442"/>
          <cell r="I1442"/>
          <cell r="J1442"/>
          <cell r="K1442"/>
          <cell r="L1442"/>
          <cell r="M1442"/>
          <cell r="N1442"/>
        </row>
        <row r="1443">
          <cell r="A1443">
            <v>20231440</v>
          </cell>
          <cell r="B1443"/>
          <cell r="C1443"/>
          <cell r="D1443"/>
          <cell r="E1443"/>
          <cell r="F1443"/>
          <cell r="G1443"/>
          <cell r="H1443"/>
          <cell r="I1443"/>
          <cell r="J1443"/>
          <cell r="K1443"/>
          <cell r="L1443"/>
          <cell r="M1443"/>
          <cell r="N1443"/>
        </row>
        <row r="1444">
          <cell r="A1444">
            <v>20231441</v>
          </cell>
          <cell r="B1444"/>
          <cell r="C1444"/>
          <cell r="D1444"/>
          <cell r="E1444"/>
          <cell r="F1444"/>
          <cell r="G1444"/>
          <cell r="H1444"/>
          <cell r="I1444"/>
          <cell r="J1444"/>
          <cell r="K1444"/>
          <cell r="L1444"/>
          <cell r="M1444"/>
          <cell r="N1444"/>
        </row>
        <row r="1445">
          <cell r="A1445">
            <v>20231442</v>
          </cell>
          <cell r="B1445"/>
          <cell r="C1445"/>
          <cell r="D1445"/>
          <cell r="E1445"/>
          <cell r="F1445"/>
          <cell r="G1445"/>
          <cell r="H1445"/>
          <cell r="I1445"/>
          <cell r="J1445"/>
          <cell r="K1445"/>
          <cell r="L1445"/>
          <cell r="M1445"/>
          <cell r="N1445"/>
        </row>
        <row r="1446">
          <cell r="A1446">
            <v>20231443</v>
          </cell>
          <cell r="B1446"/>
          <cell r="C1446"/>
          <cell r="D1446"/>
          <cell r="E1446"/>
          <cell r="F1446"/>
          <cell r="G1446"/>
          <cell r="H1446"/>
          <cell r="I1446"/>
          <cell r="J1446"/>
          <cell r="K1446"/>
          <cell r="L1446"/>
          <cell r="M1446"/>
          <cell r="N1446"/>
        </row>
        <row r="1447">
          <cell r="A1447">
            <v>20231444</v>
          </cell>
          <cell r="B1447"/>
          <cell r="C1447"/>
          <cell r="D1447"/>
          <cell r="E1447"/>
          <cell r="F1447"/>
          <cell r="G1447"/>
          <cell r="H1447"/>
          <cell r="I1447"/>
          <cell r="J1447"/>
          <cell r="K1447"/>
          <cell r="L1447"/>
          <cell r="M1447"/>
          <cell r="N1447"/>
        </row>
        <row r="1448">
          <cell r="A1448">
            <v>20231445</v>
          </cell>
          <cell r="B1448"/>
          <cell r="C1448"/>
          <cell r="D1448"/>
          <cell r="E1448"/>
          <cell r="F1448"/>
          <cell r="G1448"/>
          <cell r="H1448"/>
          <cell r="I1448"/>
          <cell r="J1448"/>
          <cell r="K1448"/>
          <cell r="L1448"/>
          <cell r="M1448"/>
          <cell r="N1448"/>
        </row>
        <row r="1449">
          <cell r="A1449">
            <v>20231446</v>
          </cell>
          <cell r="B1449"/>
          <cell r="C1449"/>
          <cell r="D1449"/>
          <cell r="E1449"/>
          <cell r="F1449"/>
          <cell r="G1449"/>
          <cell r="H1449"/>
          <cell r="I1449"/>
          <cell r="J1449"/>
          <cell r="K1449"/>
          <cell r="L1449"/>
          <cell r="M1449"/>
          <cell r="N1449"/>
        </row>
        <row r="1450">
          <cell r="A1450">
            <v>20231447</v>
          </cell>
          <cell r="B1450"/>
          <cell r="C1450"/>
          <cell r="D1450"/>
          <cell r="E1450"/>
          <cell r="F1450"/>
          <cell r="G1450"/>
          <cell r="H1450"/>
          <cell r="I1450"/>
          <cell r="J1450"/>
          <cell r="K1450"/>
          <cell r="L1450"/>
          <cell r="M1450"/>
          <cell r="N1450"/>
        </row>
        <row r="1451">
          <cell r="A1451">
            <v>20231448</v>
          </cell>
          <cell r="B1451"/>
          <cell r="C1451"/>
          <cell r="D1451"/>
          <cell r="E1451"/>
          <cell r="F1451"/>
          <cell r="G1451"/>
          <cell r="H1451"/>
          <cell r="I1451"/>
          <cell r="J1451"/>
          <cell r="K1451"/>
          <cell r="L1451"/>
          <cell r="M1451"/>
          <cell r="N1451"/>
        </row>
        <row r="1452">
          <cell r="A1452">
            <v>20231449</v>
          </cell>
          <cell r="B1452"/>
          <cell r="C1452"/>
          <cell r="D1452"/>
          <cell r="E1452"/>
          <cell r="F1452"/>
          <cell r="G1452"/>
          <cell r="H1452"/>
          <cell r="I1452"/>
          <cell r="J1452"/>
          <cell r="K1452"/>
          <cell r="L1452"/>
          <cell r="M1452"/>
          <cell r="N1452"/>
        </row>
        <row r="1453">
          <cell r="A1453">
            <v>20231450</v>
          </cell>
          <cell r="B1453"/>
          <cell r="C1453"/>
          <cell r="D1453"/>
          <cell r="E1453"/>
          <cell r="F1453"/>
          <cell r="G1453"/>
          <cell r="H1453"/>
          <cell r="I1453"/>
          <cell r="J1453"/>
          <cell r="K1453"/>
          <cell r="L1453"/>
          <cell r="M1453"/>
          <cell r="N1453"/>
        </row>
        <row r="1454">
          <cell r="A1454">
            <v>20231451</v>
          </cell>
          <cell r="B1454"/>
          <cell r="C1454"/>
          <cell r="D1454"/>
          <cell r="E1454"/>
          <cell r="F1454"/>
          <cell r="G1454"/>
          <cell r="H1454"/>
          <cell r="I1454"/>
          <cell r="J1454"/>
          <cell r="K1454"/>
          <cell r="L1454"/>
          <cell r="M1454"/>
          <cell r="N1454"/>
        </row>
        <row r="1455">
          <cell r="A1455">
            <v>20231452</v>
          </cell>
          <cell r="B1455"/>
          <cell r="C1455"/>
          <cell r="D1455"/>
          <cell r="E1455"/>
          <cell r="F1455"/>
          <cell r="G1455"/>
          <cell r="H1455"/>
          <cell r="I1455"/>
          <cell r="J1455"/>
          <cell r="K1455"/>
          <cell r="L1455"/>
          <cell r="M1455"/>
          <cell r="N1455"/>
        </row>
        <row r="1456">
          <cell r="A1456">
            <v>20231453</v>
          </cell>
          <cell r="B1456"/>
          <cell r="C1456"/>
          <cell r="D1456"/>
          <cell r="E1456"/>
          <cell r="F1456"/>
          <cell r="G1456"/>
          <cell r="H1456"/>
          <cell r="I1456"/>
          <cell r="J1456"/>
          <cell r="K1456"/>
          <cell r="L1456"/>
          <cell r="M1456"/>
          <cell r="N1456"/>
        </row>
        <row r="1457">
          <cell r="A1457">
            <v>20231454</v>
          </cell>
          <cell r="B1457"/>
          <cell r="C1457"/>
          <cell r="D1457"/>
          <cell r="E1457"/>
          <cell r="F1457"/>
          <cell r="G1457"/>
          <cell r="H1457"/>
          <cell r="I1457"/>
          <cell r="J1457"/>
          <cell r="K1457"/>
          <cell r="L1457"/>
          <cell r="M1457"/>
          <cell r="N1457"/>
        </row>
        <row r="1458">
          <cell r="A1458">
            <v>20231455</v>
          </cell>
          <cell r="B1458"/>
          <cell r="C1458"/>
          <cell r="D1458"/>
          <cell r="E1458"/>
          <cell r="F1458"/>
          <cell r="G1458"/>
          <cell r="H1458"/>
          <cell r="I1458"/>
          <cell r="J1458"/>
          <cell r="K1458"/>
          <cell r="L1458"/>
          <cell r="M1458"/>
          <cell r="N1458"/>
        </row>
        <row r="1459">
          <cell r="A1459">
            <v>20231456</v>
          </cell>
          <cell r="B1459"/>
          <cell r="C1459"/>
          <cell r="D1459"/>
          <cell r="E1459"/>
          <cell r="F1459"/>
          <cell r="G1459"/>
          <cell r="H1459"/>
          <cell r="I1459"/>
          <cell r="J1459"/>
          <cell r="K1459"/>
          <cell r="L1459"/>
          <cell r="M1459"/>
          <cell r="N1459"/>
        </row>
        <row r="1460">
          <cell r="A1460">
            <v>20231457</v>
          </cell>
          <cell r="B1460"/>
          <cell r="C1460"/>
          <cell r="D1460"/>
          <cell r="E1460"/>
          <cell r="F1460"/>
          <cell r="G1460"/>
          <cell r="H1460"/>
          <cell r="I1460"/>
          <cell r="J1460"/>
          <cell r="K1460"/>
          <cell r="L1460"/>
          <cell r="M1460"/>
          <cell r="N1460"/>
        </row>
        <row r="1461">
          <cell r="A1461">
            <v>20231458</v>
          </cell>
          <cell r="B1461"/>
          <cell r="C1461"/>
          <cell r="D1461"/>
          <cell r="E1461"/>
          <cell r="F1461"/>
          <cell r="G1461"/>
          <cell r="H1461"/>
          <cell r="I1461"/>
          <cell r="J1461"/>
          <cell r="K1461"/>
          <cell r="L1461"/>
          <cell r="M1461"/>
          <cell r="N1461"/>
        </row>
        <row r="1462">
          <cell r="A1462">
            <v>20231459</v>
          </cell>
          <cell r="B1462"/>
          <cell r="C1462"/>
          <cell r="D1462"/>
          <cell r="E1462"/>
          <cell r="F1462"/>
          <cell r="G1462"/>
          <cell r="H1462"/>
          <cell r="I1462"/>
          <cell r="J1462"/>
          <cell r="K1462"/>
          <cell r="L1462"/>
          <cell r="M1462"/>
          <cell r="N1462"/>
        </row>
        <row r="1463">
          <cell r="A1463">
            <v>20231460</v>
          </cell>
          <cell r="B1463"/>
          <cell r="C1463"/>
          <cell r="D1463"/>
          <cell r="E1463"/>
          <cell r="F1463"/>
          <cell r="G1463"/>
          <cell r="H1463"/>
          <cell r="I1463"/>
          <cell r="J1463"/>
          <cell r="K1463"/>
          <cell r="L1463"/>
          <cell r="M1463"/>
          <cell r="N1463"/>
        </row>
        <row r="1464">
          <cell r="A1464">
            <v>20231461</v>
          </cell>
          <cell r="B1464"/>
          <cell r="C1464"/>
          <cell r="D1464"/>
          <cell r="E1464"/>
          <cell r="F1464"/>
          <cell r="G1464"/>
          <cell r="H1464"/>
          <cell r="I1464"/>
          <cell r="J1464"/>
          <cell r="K1464"/>
          <cell r="L1464"/>
          <cell r="M1464"/>
          <cell r="N1464"/>
        </row>
        <row r="1465">
          <cell r="A1465">
            <v>20231462</v>
          </cell>
          <cell r="B1465"/>
          <cell r="C1465"/>
          <cell r="D1465"/>
          <cell r="E1465"/>
          <cell r="F1465"/>
          <cell r="G1465"/>
          <cell r="H1465"/>
          <cell r="I1465"/>
          <cell r="J1465"/>
          <cell r="K1465"/>
          <cell r="L1465"/>
          <cell r="M1465"/>
          <cell r="N1465"/>
        </row>
        <row r="1466">
          <cell r="A1466">
            <v>20231463</v>
          </cell>
          <cell r="B1466"/>
          <cell r="C1466"/>
          <cell r="D1466"/>
          <cell r="E1466"/>
          <cell r="F1466"/>
          <cell r="G1466"/>
          <cell r="H1466"/>
          <cell r="I1466"/>
          <cell r="J1466"/>
          <cell r="K1466"/>
          <cell r="L1466"/>
          <cell r="M1466"/>
          <cell r="N1466"/>
        </row>
        <row r="1467">
          <cell r="A1467">
            <v>20231464</v>
          </cell>
          <cell r="B1467"/>
          <cell r="C1467"/>
          <cell r="D1467"/>
          <cell r="E1467"/>
          <cell r="F1467"/>
          <cell r="G1467"/>
          <cell r="H1467"/>
          <cell r="I1467"/>
          <cell r="J1467"/>
          <cell r="K1467"/>
          <cell r="L1467"/>
          <cell r="M1467"/>
          <cell r="N1467"/>
        </row>
        <row r="1468">
          <cell r="A1468">
            <v>20231465</v>
          </cell>
          <cell r="B1468"/>
          <cell r="C1468"/>
          <cell r="D1468"/>
          <cell r="E1468"/>
          <cell r="F1468"/>
          <cell r="G1468"/>
          <cell r="H1468"/>
          <cell r="I1468"/>
          <cell r="J1468"/>
          <cell r="K1468"/>
          <cell r="L1468"/>
          <cell r="M1468"/>
          <cell r="N1468"/>
        </row>
        <row r="1469">
          <cell r="A1469">
            <v>20231466</v>
          </cell>
          <cell r="B1469"/>
          <cell r="C1469"/>
          <cell r="D1469"/>
          <cell r="E1469"/>
          <cell r="F1469"/>
          <cell r="G1469"/>
          <cell r="H1469"/>
          <cell r="I1469"/>
          <cell r="J1469"/>
          <cell r="K1469"/>
          <cell r="L1469"/>
          <cell r="M1469"/>
          <cell r="N1469"/>
        </row>
        <row r="1470">
          <cell r="A1470">
            <v>20231467</v>
          </cell>
          <cell r="B1470"/>
          <cell r="C1470"/>
          <cell r="D1470"/>
          <cell r="E1470"/>
          <cell r="F1470"/>
          <cell r="G1470"/>
          <cell r="H1470"/>
          <cell r="I1470"/>
          <cell r="J1470"/>
          <cell r="K1470"/>
          <cell r="L1470"/>
          <cell r="M1470"/>
          <cell r="N1470"/>
        </row>
        <row r="1471">
          <cell r="A1471">
            <v>20231468</v>
          </cell>
          <cell r="B1471"/>
          <cell r="C1471"/>
          <cell r="D1471"/>
          <cell r="E1471"/>
          <cell r="F1471"/>
          <cell r="G1471"/>
          <cell r="H1471"/>
          <cell r="I1471"/>
          <cell r="J1471"/>
          <cell r="K1471"/>
          <cell r="L1471"/>
          <cell r="M1471"/>
          <cell r="N1471"/>
        </row>
        <row r="1472">
          <cell r="A1472">
            <v>20231469</v>
          </cell>
          <cell r="B1472"/>
          <cell r="C1472"/>
          <cell r="D1472"/>
          <cell r="E1472"/>
          <cell r="F1472"/>
          <cell r="G1472"/>
          <cell r="H1472"/>
          <cell r="I1472"/>
          <cell r="J1472"/>
          <cell r="K1472"/>
          <cell r="L1472"/>
          <cell r="M1472"/>
          <cell r="N1472"/>
        </row>
        <row r="1473">
          <cell r="A1473">
            <v>20231470</v>
          </cell>
          <cell r="B1473"/>
          <cell r="C1473"/>
          <cell r="D1473"/>
          <cell r="E1473"/>
          <cell r="F1473"/>
          <cell r="G1473"/>
          <cell r="H1473"/>
          <cell r="I1473"/>
          <cell r="J1473"/>
          <cell r="K1473"/>
          <cell r="L1473"/>
          <cell r="M1473"/>
          <cell r="N1473"/>
        </row>
        <row r="1474">
          <cell r="A1474">
            <v>20231471</v>
          </cell>
          <cell r="B1474"/>
          <cell r="C1474"/>
          <cell r="D1474"/>
          <cell r="E1474"/>
          <cell r="F1474"/>
          <cell r="G1474"/>
          <cell r="H1474"/>
          <cell r="I1474"/>
          <cell r="J1474"/>
          <cell r="K1474"/>
          <cell r="L1474"/>
          <cell r="M1474"/>
          <cell r="N1474"/>
        </row>
        <row r="1475">
          <cell r="A1475">
            <v>20231472</v>
          </cell>
          <cell r="B1475"/>
          <cell r="C1475"/>
          <cell r="D1475"/>
          <cell r="E1475"/>
          <cell r="F1475"/>
          <cell r="G1475"/>
          <cell r="H1475"/>
          <cell r="I1475"/>
          <cell r="J1475"/>
          <cell r="K1475"/>
          <cell r="L1475"/>
          <cell r="M1475"/>
          <cell r="N1475"/>
        </row>
        <row r="1476">
          <cell r="A1476">
            <v>20231473</v>
          </cell>
          <cell r="B1476"/>
          <cell r="C1476"/>
          <cell r="D1476"/>
          <cell r="E1476"/>
          <cell r="F1476"/>
          <cell r="G1476"/>
          <cell r="H1476"/>
          <cell r="I1476"/>
          <cell r="J1476"/>
          <cell r="K1476"/>
          <cell r="L1476"/>
          <cell r="M1476"/>
          <cell r="N1476"/>
        </row>
        <row r="1477">
          <cell r="A1477">
            <v>20231474</v>
          </cell>
          <cell r="B1477"/>
          <cell r="C1477"/>
          <cell r="D1477"/>
          <cell r="E1477"/>
          <cell r="F1477"/>
          <cell r="G1477"/>
          <cell r="H1477"/>
          <cell r="I1477"/>
          <cell r="J1477"/>
          <cell r="K1477"/>
          <cell r="L1477"/>
          <cell r="M1477"/>
          <cell r="N1477"/>
        </row>
        <row r="1478">
          <cell r="A1478">
            <v>20231475</v>
          </cell>
          <cell r="B1478"/>
          <cell r="C1478"/>
          <cell r="D1478"/>
          <cell r="E1478"/>
          <cell r="F1478"/>
          <cell r="G1478"/>
          <cell r="H1478"/>
          <cell r="I1478"/>
          <cell r="J1478"/>
          <cell r="K1478"/>
          <cell r="L1478"/>
          <cell r="M1478"/>
          <cell r="N1478"/>
        </row>
        <row r="1479">
          <cell r="A1479">
            <v>20231476</v>
          </cell>
          <cell r="B1479"/>
          <cell r="C1479"/>
          <cell r="D1479"/>
          <cell r="E1479"/>
          <cell r="F1479"/>
          <cell r="G1479"/>
          <cell r="H1479"/>
          <cell r="I1479"/>
          <cell r="J1479"/>
          <cell r="K1479"/>
          <cell r="L1479"/>
          <cell r="M1479"/>
          <cell r="N1479"/>
        </row>
        <row r="1480">
          <cell r="A1480">
            <v>20231477</v>
          </cell>
          <cell r="B1480"/>
          <cell r="C1480"/>
          <cell r="D1480"/>
          <cell r="E1480"/>
          <cell r="F1480"/>
          <cell r="G1480"/>
          <cell r="H1480"/>
          <cell r="I1480"/>
          <cell r="J1480"/>
          <cell r="K1480"/>
          <cell r="L1480"/>
          <cell r="M1480"/>
          <cell r="N1480"/>
        </row>
        <row r="1481">
          <cell r="A1481">
            <v>20231478</v>
          </cell>
          <cell r="B1481"/>
          <cell r="C1481"/>
          <cell r="D1481"/>
          <cell r="E1481"/>
          <cell r="F1481"/>
          <cell r="G1481"/>
          <cell r="H1481"/>
          <cell r="I1481"/>
          <cell r="J1481"/>
          <cell r="K1481"/>
          <cell r="L1481"/>
          <cell r="M1481"/>
          <cell r="N1481"/>
        </row>
        <row r="1482">
          <cell r="A1482">
            <v>20231479</v>
          </cell>
          <cell r="B1482"/>
          <cell r="C1482"/>
          <cell r="D1482"/>
          <cell r="E1482"/>
          <cell r="F1482"/>
          <cell r="G1482"/>
          <cell r="H1482"/>
          <cell r="I1482"/>
          <cell r="J1482"/>
          <cell r="K1482"/>
          <cell r="L1482"/>
          <cell r="M1482"/>
          <cell r="N1482"/>
        </row>
        <row r="1483">
          <cell r="A1483">
            <v>20231480</v>
          </cell>
          <cell r="B1483"/>
          <cell r="C1483"/>
          <cell r="D1483"/>
          <cell r="E1483"/>
          <cell r="F1483"/>
          <cell r="G1483"/>
          <cell r="H1483"/>
          <cell r="I1483"/>
          <cell r="J1483"/>
          <cell r="K1483"/>
          <cell r="L1483"/>
          <cell r="M1483"/>
          <cell r="N1483"/>
        </row>
        <row r="1484">
          <cell r="A1484">
            <v>20231481</v>
          </cell>
          <cell r="B1484"/>
          <cell r="C1484"/>
          <cell r="D1484"/>
          <cell r="E1484"/>
          <cell r="F1484"/>
          <cell r="G1484"/>
          <cell r="H1484"/>
          <cell r="I1484"/>
          <cell r="J1484"/>
          <cell r="K1484"/>
          <cell r="L1484"/>
          <cell r="M1484"/>
          <cell r="N1484"/>
        </row>
        <row r="1485">
          <cell r="A1485">
            <v>20231482</v>
          </cell>
          <cell r="B1485"/>
          <cell r="C1485"/>
          <cell r="D1485"/>
          <cell r="E1485"/>
          <cell r="F1485"/>
          <cell r="G1485"/>
          <cell r="H1485"/>
          <cell r="I1485"/>
          <cell r="J1485"/>
          <cell r="K1485"/>
          <cell r="L1485"/>
          <cell r="M1485"/>
          <cell r="N1485"/>
        </row>
        <row r="1486">
          <cell r="A1486">
            <v>20231483</v>
          </cell>
          <cell r="B1486"/>
          <cell r="C1486"/>
          <cell r="D1486"/>
          <cell r="E1486"/>
          <cell r="F1486"/>
          <cell r="G1486"/>
          <cell r="H1486"/>
          <cell r="I1486"/>
          <cell r="J1486"/>
          <cell r="K1486"/>
          <cell r="L1486"/>
          <cell r="M1486"/>
          <cell r="N1486"/>
        </row>
        <row r="1487">
          <cell r="A1487">
            <v>20231484</v>
          </cell>
          <cell r="B1487"/>
          <cell r="C1487"/>
          <cell r="D1487"/>
          <cell r="E1487"/>
          <cell r="F1487"/>
          <cell r="G1487"/>
          <cell r="H1487"/>
          <cell r="I1487"/>
          <cell r="J1487"/>
          <cell r="K1487"/>
          <cell r="L1487"/>
          <cell r="M1487"/>
          <cell r="N1487"/>
        </row>
        <row r="1488">
          <cell r="A1488">
            <v>20231485</v>
          </cell>
          <cell r="B1488"/>
          <cell r="C1488"/>
          <cell r="D1488"/>
          <cell r="E1488"/>
          <cell r="F1488"/>
          <cell r="G1488"/>
          <cell r="H1488"/>
          <cell r="I1488"/>
          <cell r="J1488"/>
          <cell r="K1488"/>
          <cell r="L1488"/>
          <cell r="M1488"/>
          <cell r="N1488"/>
        </row>
        <row r="1489">
          <cell r="A1489">
            <v>20231486</v>
          </cell>
          <cell r="B1489"/>
          <cell r="C1489"/>
          <cell r="D1489"/>
          <cell r="E1489"/>
          <cell r="F1489"/>
          <cell r="G1489"/>
          <cell r="H1489"/>
          <cell r="I1489"/>
          <cell r="J1489"/>
          <cell r="K1489"/>
          <cell r="L1489"/>
          <cell r="M1489"/>
          <cell r="N1489"/>
        </row>
        <row r="1490">
          <cell r="A1490">
            <v>20231487</v>
          </cell>
          <cell r="B1490"/>
          <cell r="C1490"/>
          <cell r="D1490"/>
          <cell r="E1490"/>
          <cell r="F1490"/>
          <cell r="G1490"/>
          <cell r="H1490"/>
          <cell r="I1490"/>
          <cell r="J1490"/>
          <cell r="K1490"/>
          <cell r="L1490"/>
          <cell r="M1490"/>
          <cell r="N1490"/>
        </row>
        <row r="1491">
          <cell r="A1491">
            <v>20231488</v>
          </cell>
          <cell r="B1491"/>
          <cell r="C1491"/>
          <cell r="D1491"/>
          <cell r="E1491"/>
          <cell r="F1491"/>
          <cell r="G1491"/>
          <cell r="H1491"/>
          <cell r="I1491"/>
          <cell r="J1491"/>
          <cell r="K1491"/>
          <cell r="L1491"/>
          <cell r="M1491"/>
          <cell r="N1491"/>
        </row>
        <row r="1492">
          <cell r="A1492">
            <v>20231489</v>
          </cell>
          <cell r="B1492"/>
          <cell r="C1492"/>
          <cell r="D1492"/>
          <cell r="E1492"/>
          <cell r="F1492"/>
          <cell r="G1492"/>
          <cell r="H1492"/>
          <cell r="I1492"/>
          <cell r="J1492"/>
          <cell r="K1492"/>
          <cell r="L1492"/>
          <cell r="M1492"/>
          <cell r="N1492"/>
        </row>
        <row r="1493">
          <cell r="A1493">
            <v>20231490</v>
          </cell>
          <cell r="B1493"/>
          <cell r="C1493"/>
          <cell r="D1493"/>
          <cell r="E1493"/>
          <cell r="F1493"/>
          <cell r="G1493"/>
          <cell r="H1493"/>
          <cell r="I1493"/>
          <cell r="J1493"/>
          <cell r="K1493"/>
          <cell r="L1493"/>
          <cell r="M1493"/>
          <cell r="N1493"/>
        </row>
        <row r="1494">
          <cell r="A1494">
            <v>20231491</v>
          </cell>
          <cell r="B1494"/>
          <cell r="C1494"/>
          <cell r="D1494"/>
          <cell r="E1494"/>
          <cell r="F1494"/>
          <cell r="G1494"/>
          <cell r="H1494"/>
          <cell r="I1494"/>
          <cell r="J1494"/>
          <cell r="K1494"/>
          <cell r="L1494"/>
          <cell r="M1494"/>
          <cell r="N1494"/>
        </row>
        <row r="1495">
          <cell r="A1495">
            <v>20231492</v>
          </cell>
          <cell r="B1495"/>
          <cell r="C1495"/>
          <cell r="D1495"/>
          <cell r="E1495"/>
          <cell r="F1495"/>
          <cell r="G1495"/>
          <cell r="H1495"/>
          <cell r="I1495"/>
          <cell r="J1495"/>
          <cell r="K1495"/>
          <cell r="L1495"/>
          <cell r="M1495"/>
          <cell r="N1495"/>
        </row>
        <row r="1496">
          <cell r="A1496">
            <v>20231493</v>
          </cell>
          <cell r="B1496"/>
          <cell r="C1496"/>
          <cell r="D1496"/>
          <cell r="E1496"/>
          <cell r="F1496"/>
          <cell r="G1496"/>
          <cell r="H1496"/>
          <cell r="I1496"/>
          <cell r="J1496"/>
          <cell r="K1496"/>
          <cell r="L1496"/>
          <cell r="M1496"/>
          <cell r="N1496"/>
        </row>
        <row r="1497">
          <cell r="A1497">
            <v>20231494</v>
          </cell>
          <cell r="B1497"/>
          <cell r="C1497"/>
          <cell r="D1497"/>
          <cell r="E1497"/>
          <cell r="F1497"/>
          <cell r="G1497"/>
          <cell r="H1497"/>
          <cell r="I1497"/>
          <cell r="J1497"/>
          <cell r="K1497"/>
          <cell r="L1497"/>
          <cell r="M1497"/>
          <cell r="N1497"/>
        </row>
        <row r="1498">
          <cell r="A1498">
            <v>20231495</v>
          </cell>
          <cell r="B1498"/>
          <cell r="C1498"/>
          <cell r="D1498"/>
          <cell r="E1498"/>
          <cell r="F1498"/>
          <cell r="G1498"/>
          <cell r="H1498"/>
          <cell r="I1498"/>
          <cell r="J1498"/>
          <cell r="K1498"/>
          <cell r="L1498"/>
          <cell r="M1498"/>
          <cell r="N1498"/>
        </row>
        <row r="1499">
          <cell r="A1499">
            <v>20231496</v>
          </cell>
          <cell r="B1499"/>
          <cell r="C1499"/>
          <cell r="D1499"/>
          <cell r="E1499"/>
          <cell r="F1499"/>
          <cell r="G1499"/>
          <cell r="H1499"/>
          <cell r="I1499"/>
          <cell r="J1499"/>
          <cell r="K1499"/>
          <cell r="L1499"/>
          <cell r="M1499"/>
          <cell r="N1499"/>
        </row>
        <row r="1500">
          <cell r="A1500">
            <v>20231497</v>
          </cell>
          <cell r="B1500"/>
          <cell r="C1500"/>
          <cell r="D1500"/>
          <cell r="E1500"/>
          <cell r="F1500"/>
          <cell r="G1500"/>
          <cell r="H1500"/>
          <cell r="I1500"/>
          <cell r="J1500"/>
          <cell r="K1500"/>
          <cell r="L1500"/>
          <cell r="M1500"/>
          <cell r="N1500"/>
        </row>
        <row r="1501">
          <cell r="A1501">
            <v>20231498</v>
          </cell>
          <cell r="B1501"/>
          <cell r="C1501"/>
          <cell r="D1501"/>
          <cell r="E1501"/>
          <cell r="F1501"/>
          <cell r="G1501"/>
          <cell r="H1501"/>
          <cell r="I1501"/>
          <cell r="J1501"/>
          <cell r="K1501"/>
          <cell r="L1501"/>
          <cell r="M1501"/>
          <cell r="N1501"/>
        </row>
        <row r="1502">
          <cell r="A1502">
            <v>20231499</v>
          </cell>
          <cell r="B1502"/>
          <cell r="C1502"/>
          <cell r="D1502"/>
          <cell r="E1502"/>
          <cell r="F1502"/>
          <cell r="G1502"/>
          <cell r="H1502"/>
          <cell r="I1502"/>
          <cell r="J1502"/>
          <cell r="K1502"/>
          <cell r="L1502"/>
          <cell r="M1502"/>
          <cell r="N1502"/>
        </row>
        <row r="1503">
          <cell r="A1503">
            <v>20231500</v>
          </cell>
          <cell r="B1503"/>
          <cell r="C1503"/>
          <cell r="D1503"/>
          <cell r="E1503"/>
          <cell r="F1503"/>
          <cell r="G1503"/>
          <cell r="H1503"/>
          <cell r="I1503"/>
          <cell r="J1503"/>
          <cell r="K1503"/>
          <cell r="L1503"/>
          <cell r="M1503"/>
          <cell r="N1503"/>
        </row>
        <row r="1504">
          <cell r="A1504">
            <v>20231501</v>
          </cell>
          <cell r="B1504"/>
          <cell r="C1504"/>
          <cell r="D1504"/>
          <cell r="E1504"/>
          <cell r="F1504"/>
          <cell r="G1504"/>
          <cell r="H1504"/>
          <cell r="I1504"/>
          <cell r="J1504"/>
          <cell r="K1504"/>
          <cell r="L1504"/>
          <cell r="M1504"/>
          <cell r="N1504"/>
        </row>
        <row r="1505">
          <cell r="A1505">
            <v>20231502</v>
          </cell>
          <cell r="B1505"/>
          <cell r="C1505"/>
          <cell r="D1505"/>
          <cell r="E1505"/>
          <cell r="F1505"/>
          <cell r="G1505"/>
          <cell r="H1505"/>
          <cell r="I1505"/>
          <cell r="J1505"/>
          <cell r="K1505"/>
          <cell r="L1505"/>
          <cell r="M1505"/>
          <cell r="N1505"/>
        </row>
        <row r="1506">
          <cell r="A1506">
            <v>20231503</v>
          </cell>
          <cell r="B1506"/>
          <cell r="C1506"/>
          <cell r="D1506"/>
          <cell r="E1506"/>
          <cell r="F1506"/>
          <cell r="G1506"/>
          <cell r="H1506"/>
          <cell r="I1506"/>
          <cell r="J1506"/>
          <cell r="K1506"/>
          <cell r="L1506"/>
          <cell r="M1506"/>
          <cell r="N1506"/>
        </row>
        <row r="1507">
          <cell r="A1507">
            <v>20231504</v>
          </cell>
          <cell r="B1507"/>
          <cell r="C1507"/>
          <cell r="D1507"/>
          <cell r="E1507"/>
          <cell r="F1507"/>
          <cell r="G1507"/>
          <cell r="H1507"/>
          <cell r="I1507"/>
          <cell r="J1507"/>
          <cell r="K1507"/>
          <cell r="L1507"/>
          <cell r="M1507"/>
          <cell r="N1507"/>
        </row>
        <row r="1508">
          <cell r="A1508">
            <v>20231505</v>
          </cell>
          <cell r="B1508"/>
          <cell r="C1508"/>
          <cell r="D1508"/>
          <cell r="E1508"/>
          <cell r="F1508"/>
          <cell r="G1508"/>
          <cell r="H1508"/>
          <cell r="I1508"/>
          <cell r="J1508"/>
          <cell r="K1508"/>
          <cell r="L1508"/>
          <cell r="M1508"/>
          <cell r="N1508"/>
        </row>
        <row r="1509">
          <cell r="A1509">
            <v>20231506</v>
          </cell>
          <cell r="B1509"/>
          <cell r="C1509"/>
          <cell r="D1509"/>
          <cell r="E1509"/>
          <cell r="F1509"/>
          <cell r="G1509"/>
          <cell r="H1509"/>
          <cell r="I1509"/>
          <cell r="J1509"/>
          <cell r="K1509"/>
          <cell r="L1509"/>
          <cell r="M1509"/>
          <cell r="N1509"/>
        </row>
        <row r="1510">
          <cell r="A1510">
            <v>20231507</v>
          </cell>
          <cell r="B1510"/>
          <cell r="C1510"/>
          <cell r="D1510"/>
          <cell r="E1510"/>
          <cell r="F1510"/>
          <cell r="G1510"/>
          <cell r="H1510"/>
          <cell r="I1510"/>
          <cell r="J1510"/>
          <cell r="K1510"/>
          <cell r="L1510"/>
          <cell r="M1510"/>
          <cell r="N1510"/>
        </row>
        <row r="1511">
          <cell r="A1511">
            <v>20231508</v>
          </cell>
          <cell r="B1511"/>
          <cell r="C1511"/>
          <cell r="D1511"/>
          <cell r="E1511"/>
          <cell r="F1511"/>
          <cell r="G1511"/>
          <cell r="H1511"/>
          <cell r="I1511"/>
          <cell r="J1511"/>
          <cell r="K1511"/>
          <cell r="L1511"/>
          <cell r="M1511"/>
          <cell r="N1511"/>
        </row>
        <row r="1512">
          <cell r="A1512">
            <v>20231509</v>
          </cell>
          <cell r="B1512"/>
          <cell r="C1512"/>
          <cell r="D1512"/>
          <cell r="E1512"/>
          <cell r="F1512"/>
          <cell r="G1512"/>
          <cell r="H1512"/>
          <cell r="I1512"/>
          <cell r="J1512"/>
          <cell r="K1512"/>
          <cell r="L1512"/>
          <cell r="M1512"/>
          <cell r="N1512"/>
        </row>
        <row r="1513">
          <cell r="A1513">
            <v>20231510</v>
          </cell>
          <cell r="B1513"/>
          <cell r="C1513"/>
          <cell r="D1513"/>
          <cell r="E1513"/>
          <cell r="F1513"/>
          <cell r="G1513"/>
          <cell r="H1513"/>
          <cell r="I1513"/>
          <cell r="J1513"/>
          <cell r="K1513"/>
          <cell r="L1513"/>
          <cell r="M1513"/>
          <cell r="N1513"/>
        </row>
        <row r="1514">
          <cell r="A1514">
            <v>20231511</v>
          </cell>
          <cell r="B1514"/>
          <cell r="C1514"/>
          <cell r="D1514"/>
          <cell r="E1514"/>
          <cell r="F1514"/>
          <cell r="G1514"/>
          <cell r="H1514"/>
          <cell r="I1514"/>
          <cell r="J1514"/>
          <cell r="K1514"/>
          <cell r="L1514"/>
          <cell r="M1514"/>
          <cell r="N1514"/>
        </row>
        <row r="1515">
          <cell r="A1515">
            <v>20231512</v>
          </cell>
          <cell r="B1515"/>
          <cell r="C1515"/>
          <cell r="D1515"/>
          <cell r="E1515"/>
          <cell r="F1515"/>
          <cell r="G1515"/>
          <cell r="H1515"/>
          <cell r="I1515"/>
          <cell r="J1515"/>
          <cell r="K1515"/>
          <cell r="L1515"/>
          <cell r="M1515"/>
          <cell r="N1515"/>
        </row>
        <row r="1516">
          <cell r="A1516">
            <v>20231513</v>
          </cell>
          <cell r="B1516"/>
          <cell r="C1516"/>
          <cell r="D1516"/>
          <cell r="E1516"/>
          <cell r="F1516"/>
          <cell r="G1516"/>
          <cell r="H1516"/>
          <cell r="I1516"/>
          <cell r="J1516"/>
          <cell r="K1516"/>
          <cell r="L1516"/>
          <cell r="M1516"/>
          <cell r="N1516"/>
        </row>
        <row r="1517">
          <cell r="A1517">
            <v>20231514</v>
          </cell>
          <cell r="B1517"/>
          <cell r="C1517"/>
          <cell r="D1517"/>
          <cell r="E1517"/>
          <cell r="F1517"/>
          <cell r="G1517"/>
          <cell r="H1517"/>
          <cell r="I1517"/>
          <cell r="J1517"/>
          <cell r="K1517"/>
          <cell r="L1517"/>
          <cell r="M1517"/>
          <cell r="N1517"/>
        </row>
        <row r="1518">
          <cell r="A1518">
            <v>20231515</v>
          </cell>
          <cell r="B1518"/>
          <cell r="C1518"/>
          <cell r="D1518"/>
          <cell r="E1518"/>
          <cell r="F1518"/>
          <cell r="G1518"/>
          <cell r="H1518"/>
          <cell r="I1518"/>
          <cell r="J1518"/>
          <cell r="K1518"/>
          <cell r="L1518"/>
          <cell r="M1518"/>
          <cell r="N1518"/>
        </row>
        <row r="1519">
          <cell r="A1519">
            <v>20231516</v>
          </cell>
          <cell r="B1519"/>
          <cell r="C1519"/>
          <cell r="D1519"/>
          <cell r="E1519"/>
          <cell r="F1519"/>
          <cell r="G1519"/>
          <cell r="H1519"/>
          <cell r="I1519"/>
          <cell r="J1519"/>
          <cell r="K1519"/>
          <cell r="L1519"/>
          <cell r="M1519"/>
          <cell r="N1519"/>
        </row>
        <row r="1520">
          <cell r="A1520">
            <v>20231517</v>
          </cell>
          <cell r="B1520"/>
          <cell r="C1520"/>
          <cell r="D1520"/>
          <cell r="E1520"/>
          <cell r="F1520"/>
          <cell r="G1520"/>
          <cell r="H1520"/>
          <cell r="I1520"/>
          <cell r="J1520"/>
          <cell r="K1520"/>
          <cell r="L1520"/>
          <cell r="M1520"/>
          <cell r="N1520"/>
        </row>
        <row r="1521">
          <cell r="A1521">
            <v>20231518</v>
          </cell>
          <cell r="B1521"/>
          <cell r="C1521"/>
          <cell r="D1521"/>
          <cell r="E1521"/>
          <cell r="F1521"/>
          <cell r="G1521"/>
          <cell r="H1521"/>
          <cell r="I1521"/>
          <cell r="J1521"/>
          <cell r="K1521"/>
          <cell r="L1521"/>
          <cell r="M1521"/>
          <cell r="N1521"/>
        </row>
        <row r="1522">
          <cell r="A1522">
            <v>20231519</v>
          </cell>
          <cell r="B1522"/>
          <cell r="C1522"/>
          <cell r="D1522"/>
          <cell r="E1522"/>
          <cell r="F1522"/>
          <cell r="G1522"/>
          <cell r="H1522"/>
          <cell r="I1522"/>
          <cell r="J1522"/>
          <cell r="K1522"/>
          <cell r="L1522"/>
          <cell r="M1522"/>
          <cell r="N1522"/>
        </row>
        <row r="1523">
          <cell r="A1523">
            <v>20231520</v>
          </cell>
          <cell r="B1523"/>
          <cell r="C1523"/>
          <cell r="D1523"/>
          <cell r="E1523"/>
          <cell r="F1523"/>
          <cell r="G1523"/>
          <cell r="H1523"/>
          <cell r="I1523"/>
          <cell r="J1523"/>
          <cell r="K1523"/>
          <cell r="L1523"/>
          <cell r="M1523"/>
          <cell r="N1523"/>
        </row>
        <row r="1524">
          <cell r="A1524">
            <v>20231521</v>
          </cell>
          <cell r="B1524"/>
          <cell r="C1524"/>
          <cell r="D1524"/>
          <cell r="E1524"/>
          <cell r="F1524"/>
          <cell r="G1524"/>
          <cell r="H1524"/>
          <cell r="I1524"/>
          <cell r="J1524"/>
          <cell r="K1524"/>
          <cell r="L1524"/>
          <cell r="M1524"/>
          <cell r="N1524"/>
        </row>
        <row r="1525">
          <cell r="A1525">
            <v>20231522</v>
          </cell>
          <cell r="B1525"/>
          <cell r="C1525"/>
          <cell r="D1525"/>
          <cell r="E1525"/>
          <cell r="F1525"/>
          <cell r="G1525"/>
          <cell r="H1525"/>
          <cell r="I1525"/>
          <cell r="J1525"/>
          <cell r="K1525"/>
          <cell r="L1525"/>
          <cell r="M1525"/>
          <cell r="N1525"/>
        </row>
        <row r="1526">
          <cell r="A1526">
            <v>20231523</v>
          </cell>
          <cell r="B1526"/>
          <cell r="C1526"/>
          <cell r="D1526"/>
          <cell r="E1526"/>
          <cell r="F1526"/>
          <cell r="G1526"/>
          <cell r="H1526"/>
          <cell r="I1526"/>
          <cell r="J1526"/>
          <cell r="K1526"/>
          <cell r="L1526"/>
          <cell r="M1526"/>
          <cell r="N1526"/>
        </row>
        <row r="1527">
          <cell r="A1527">
            <v>20231524</v>
          </cell>
          <cell r="B1527"/>
          <cell r="C1527"/>
          <cell r="D1527"/>
          <cell r="E1527"/>
          <cell r="F1527"/>
          <cell r="G1527"/>
          <cell r="H1527"/>
          <cell r="I1527"/>
          <cell r="J1527"/>
          <cell r="K1527"/>
          <cell r="L1527"/>
          <cell r="M1527"/>
          <cell r="N1527"/>
        </row>
        <row r="1528">
          <cell r="A1528">
            <v>20231525</v>
          </cell>
          <cell r="B1528"/>
          <cell r="C1528"/>
          <cell r="D1528"/>
          <cell r="E1528"/>
          <cell r="F1528"/>
          <cell r="G1528"/>
          <cell r="H1528"/>
          <cell r="I1528"/>
          <cell r="J1528"/>
          <cell r="K1528"/>
          <cell r="L1528"/>
          <cell r="M1528"/>
          <cell r="N1528"/>
        </row>
        <row r="1529">
          <cell r="A1529">
            <v>20231526</v>
          </cell>
          <cell r="B1529"/>
          <cell r="C1529"/>
          <cell r="D1529"/>
          <cell r="E1529"/>
          <cell r="F1529"/>
          <cell r="G1529"/>
          <cell r="H1529"/>
          <cell r="I1529"/>
          <cell r="J1529"/>
          <cell r="K1529"/>
          <cell r="L1529"/>
          <cell r="M1529"/>
          <cell r="N1529"/>
        </row>
        <row r="1530">
          <cell r="A1530">
            <v>20231527</v>
          </cell>
          <cell r="B1530"/>
          <cell r="C1530"/>
          <cell r="D1530"/>
          <cell r="E1530"/>
          <cell r="F1530"/>
          <cell r="G1530"/>
          <cell r="H1530"/>
          <cell r="I1530"/>
          <cell r="J1530"/>
          <cell r="K1530"/>
          <cell r="L1530"/>
          <cell r="M1530"/>
          <cell r="N1530"/>
        </row>
        <row r="1531">
          <cell r="A1531">
            <v>20231528</v>
          </cell>
          <cell r="B1531"/>
          <cell r="C1531"/>
          <cell r="D1531"/>
          <cell r="E1531"/>
          <cell r="F1531"/>
          <cell r="G1531"/>
          <cell r="H1531"/>
          <cell r="I1531"/>
          <cell r="J1531"/>
          <cell r="K1531"/>
          <cell r="L1531"/>
          <cell r="M1531"/>
          <cell r="N1531"/>
        </row>
        <row r="1532">
          <cell r="A1532">
            <v>20231529</v>
          </cell>
          <cell r="B1532"/>
          <cell r="C1532"/>
          <cell r="D1532"/>
          <cell r="E1532"/>
          <cell r="F1532"/>
          <cell r="G1532"/>
          <cell r="H1532"/>
          <cell r="I1532"/>
          <cell r="J1532"/>
          <cell r="K1532"/>
          <cell r="L1532"/>
          <cell r="M1532"/>
          <cell r="N1532"/>
        </row>
        <row r="1533">
          <cell r="A1533">
            <v>20231530</v>
          </cell>
          <cell r="B1533"/>
          <cell r="C1533"/>
          <cell r="D1533"/>
          <cell r="E1533"/>
          <cell r="F1533"/>
          <cell r="G1533"/>
          <cell r="H1533"/>
          <cell r="I1533"/>
          <cell r="J1533"/>
          <cell r="K1533"/>
          <cell r="L1533"/>
          <cell r="M1533"/>
          <cell r="N1533"/>
        </row>
        <row r="1534">
          <cell r="A1534">
            <v>20231531</v>
          </cell>
          <cell r="B1534"/>
          <cell r="C1534"/>
          <cell r="D1534"/>
          <cell r="E1534"/>
          <cell r="F1534"/>
          <cell r="G1534"/>
          <cell r="H1534"/>
          <cell r="I1534"/>
          <cell r="J1534"/>
          <cell r="K1534"/>
          <cell r="L1534"/>
          <cell r="M1534"/>
          <cell r="N1534"/>
        </row>
        <row r="1535">
          <cell r="A1535">
            <v>20231532</v>
          </cell>
          <cell r="B1535"/>
          <cell r="C1535"/>
          <cell r="D1535"/>
          <cell r="E1535"/>
          <cell r="F1535"/>
          <cell r="G1535"/>
          <cell r="H1535"/>
          <cell r="I1535"/>
          <cell r="J1535"/>
          <cell r="K1535"/>
          <cell r="L1535"/>
          <cell r="M1535"/>
          <cell r="N1535"/>
        </row>
        <row r="1536">
          <cell r="A1536">
            <v>20231533</v>
          </cell>
          <cell r="B1536"/>
          <cell r="C1536"/>
          <cell r="D1536"/>
          <cell r="E1536"/>
          <cell r="F1536"/>
          <cell r="G1536"/>
          <cell r="H1536"/>
          <cell r="I1536"/>
          <cell r="J1536"/>
          <cell r="K1536"/>
          <cell r="L1536"/>
          <cell r="M1536"/>
          <cell r="N1536"/>
        </row>
        <row r="1537">
          <cell r="A1537">
            <v>20231534</v>
          </cell>
          <cell r="B1537"/>
          <cell r="C1537"/>
          <cell r="D1537"/>
          <cell r="E1537"/>
          <cell r="F1537"/>
          <cell r="G1537"/>
          <cell r="H1537"/>
          <cell r="I1537"/>
          <cell r="J1537"/>
          <cell r="K1537"/>
          <cell r="L1537"/>
          <cell r="M1537"/>
          <cell r="N1537"/>
        </row>
        <row r="1538">
          <cell r="A1538">
            <v>20231535</v>
          </cell>
          <cell r="B1538"/>
          <cell r="C1538"/>
          <cell r="D1538"/>
          <cell r="E1538"/>
          <cell r="F1538"/>
          <cell r="G1538"/>
          <cell r="H1538"/>
          <cell r="I1538"/>
          <cell r="J1538"/>
          <cell r="K1538"/>
          <cell r="L1538"/>
          <cell r="M1538"/>
          <cell r="N1538"/>
        </row>
        <row r="1539">
          <cell r="A1539">
            <v>20231536</v>
          </cell>
          <cell r="B1539"/>
          <cell r="C1539"/>
          <cell r="D1539"/>
          <cell r="E1539"/>
          <cell r="F1539"/>
          <cell r="G1539"/>
          <cell r="H1539"/>
          <cell r="I1539"/>
          <cell r="J1539"/>
          <cell r="K1539"/>
          <cell r="L1539"/>
          <cell r="M1539"/>
          <cell r="N1539"/>
        </row>
        <row r="1540">
          <cell r="A1540">
            <v>20231537</v>
          </cell>
          <cell r="B1540"/>
          <cell r="C1540"/>
          <cell r="D1540"/>
          <cell r="E1540"/>
          <cell r="F1540"/>
          <cell r="G1540"/>
          <cell r="H1540"/>
          <cell r="I1540"/>
          <cell r="J1540"/>
          <cell r="K1540"/>
          <cell r="L1540"/>
          <cell r="M1540"/>
          <cell r="N1540"/>
        </row>
        <row r="1541">
          <cell r="A1541">
            <v>20231538</v>
          </cell>
          <cell r="B1541"/>
          <cell r="C1541"/>
          <cell r="D1541"/>
          <cell r="E1541"/>
          <cell r="F1541"/>
          <cell r="G1541"/>
          <cell r="H1541"/>
          <cell r="I1541"/>
          <cell r="J1541"/>
          <cell r="K1541"/>
          <cell r="L1541"/>
          <cell r="M1541"/>
          <cell r="N1541"/>
        </row>
        <row r="1542">
          <cell r="A1542">
            <v>20231539</v>
          </cell>
          <cell r="B1542"/>
          <cell r="C1542"/>
          <cell r="D1542"/>
          <cell r="E1542"/>
          <cell r="F1542"/>
          <cell r="G1542"/>
          <cell r="H1542"/>
          <cell r="I1542"/>
          <cell r="J1542"/>
          <cell r="K1542"/>
          <cell r="L1542"/>
          <cell r="M1542"/>
          <cell r="N1542"/>
        </row>
        <row r="1543">
          <cell r="A1543">
            <v>20231540</v>
          </cell>
          <cell r="B1543"/>
          <cell r="C1543"/>
          <cell r="D1543"/>
          <cell r="E1543"/>
          <cell r="F1543"/>
          <cell r="G1543"/>
          <cell r="H1543"/>
          <cell r="I1543"/>
          <cell r="J1543"/>
          <cell r="K1543"/>
          <cell r="L1543"/>
          <cell r="M1543"/>
          <cell r="N1543"/>
        </row>
        <row r="1544">
          <cell r="A1544">
            <v>20231541</v>
          </cell>
          <cell r="B1544"/>
          <cell r="C1544"/>
          <cell r="D1544"/>
          <cell r="E1544"/>
          <cell r="F1544"/>
          <cell r="G1544"/>
          <cell r="H1544"/>
          <cell r="I1544"/>
          <cell r="J1544"/>
          <cell r="K1544"/>
          <cell r="L1544"/>
          <cell r="M1544"/>
          <cell r="N1544"/>
        </row>
        <row r="1545">
          <cell r="A1545">
            <v>20231542</v>
          </cell>
          <cell r="B1545"/>
          <cell r="C1545"/>
          <cell r="D1545"/>
          <cell r="E1545"/>
          <cell r="F1545"/>
          <cell r="G1545"/>
          <cell r="H1545"/>
          <cell r="I1545"/>
          <cell r="J1545"/>
          <cell r="K1545"/>
          <cell r="L1545"/>
          <cell r="M1545"/>
          <cell r="N1545"/>
        </row>
        <row r="1546">
          <cell r="A1546">
            <v>20231543</v>
          </cell>
          <cell r="B1546"/>
          <cell r="C1546"/>
          <cell r="D1546"/>
          <cell r="E1546"/>
          <cell r="F1546"/>
          <cell r="G1546"/>
          <cell r="H1546"/>
          <cell r="I1546"/>
          <cell r="J1546"/>
          <cell r="K1546"/>
          <cell r="L1546"/>
          <cell r="M1546"/>
          <cell r="N1546"/>
        </row>
        <row r="1547">
          <cell r="A1547">
            <v>20231544</v>
          </cell>
          <cell r="B1547"/>
          <cell r="C1547"/>
          <cell r="D1547"/>
          <cell r="E1547"/>
          <cell r="F1547"/>
          <cell r="G1547"/>
          <cell r="H1547"/>
          <cell r="I1547"/>
          <cell r="J1547"/>
          <cell r="K1547"/>
          <cell r="L1547"/>
          <cell r="M1547"/>
          <cell r="N1547"/>
        </row>
        <row r="1548">
          <cell r="A1548">
            <v>20231545</v>
          </cell>
          <cell r="B1548"/>
          <cell r="C1548"/>
          <cell r="D1548"/>
          <cell r="E1548"/>
          <cell r="F1548"/>
          <cell r="G1548"/>
          <cell r="H1548"/>
          <cell r="I1548"/>
          <cell r="J1548"/>
          <cell r="K1548"/>
          <cell r="L1548"/>
          <cell r="M1548"/>
          <cell r="N1548"/>
        </row>
        <row r="1549">
          <cell r="A1549">
            <v>20231546</v>
          </cell>
          <cell r="B1549"/>
          <cell r="C1549"/>
          <cell r="D1549"/>
          <cell r="E1549"/>
          <cell r="F1549"/>
          <cell r="G1549"/>
          <cell r="H1549"/>
          <cell r="I1549"/>
          <cell r="J1549"/>
          <cell r="K1549"/>
          <cell r="L1549"/>
          <cell r="M1549"/>
          <cell r="N1549"/>
        </row>
        <row r="1550">
          <cell r="A1550">
            <v>20231547</v>
          </cell>
          <cell r="B1550"/>
          <cell r="C1550"/>
          <cell r="D1550"/>
          <cell r="E1550"/>
          <cell r="F1550"/>
          <cell r="G1550"/>
          <cell r="H1550"/>
          <cell r="I1550"/>
          <cell r="J1550"/>
          <cell r="K1550"/>
          <cell r="L1550"/>
          <cell r="M1550"/>
          <cell r="N1550"/>
        </row>
        <row r="1551">
          <cell r="A1551">
            <v>20231548</v>
          </cell>
          <cell r="B1551"/>
          <cell r="C1551"/>
          <cell r="D1551"/>
          <cell r="E1551"/>
          <cell r="F1551"/>
          <cell r="G1551"/>
          <cell r="H1551"/>
          <cell r="I1551"/>
          <cell r="J1551"/>
          <cell r="K1551"/>
          <cell r="L1551"/>
          <cell r="M1551"/>
          <cell r="N1551"/>
        </row>
        <row r="1552">
          <cell r="A1552">
            <v>20231549</v>
          </cell>
          <cell r="B1552"/>
          <cell r="C1552"/>
          <cell r="D1552"/>
          <cell r="E1552"/>
          <cell r="F1552"/>
          <cell r="G1552"/>
          <cell r="H1552"/>
          <cell r="I1552"/>
          <cell r="J1552"/>
          <cell r="K1552"/>
          <cell r="L1552"/>
          <cell r="M1552"/>
          <cell r="N1552"/>
        </row>
        <row r="1553">
          <cell r="A1553">
            <v>20231550</v>
          </cell>
          <cell r="B1553"/>
          <cell r="C1553"/>
          <cell r="D1553"/>
          <cell r="E1553"/>
          <cell r="F1553"/>
          <cell r="G1553"/>
          <cell r="H1553"/>
          <cell r="I1553"/>
          <cell r="J1553"/>
          <cell r="K1553"/>
          <cell r="L1553"/>
          <cell r="M1553"/>
          <cell r="N1553"/>
        </row>
        <row r="1554">
          <cell r="A1554">
            <v>20231551</v>
          </cell>
          <cell r="B1554"/>
          <cell r="C1554"/>
          <cell r="D1554"/>
          <cell r="E1554"/>
          <cell r="F1554"/>
          <cell r="G1554"/>
          <cell r="H1554"/>
          <cell r="I1554"/>
          <cell r="J1554"/>
          <cell r="K1554"/>
          <cell r="L1554"/>
          <cell r="M1554"/>
          <cell r="N1554"/>
        </row>
        <row r="1555">
          <cell r="A1555">
            <v>20231552</v>
          </cell>
          <cell r="B1555"/>
          <cell r="C1555"/>
          <cell r="D1555"/>
          <cell r="E1555"/>
          <cell r="F1555"/>
          <cell r="G1555"/>
          <cell r="H1555"/>
          <cell r="I1555"/>
          <cell r="J1555"/>
          <cell r="K1555"/>
          <cell r="L1555"/>
          <cell r="M1555"/>
          <cell r="N1555"/>
        </row>
        <row r="1556">
          <cell r="A1556">
            <v>20231553</v>
          </cell>
          <cell r="B1556"/>
          <cell r="C1556"/>
          <cell r="D1556"/>
          <cell r="E1556"/>
          <cell r="F1556"/>
          <cell r="G1556"/>
          <cell r="H1556"/>
          <cell r="I1556"/>
          <cell r="J1556"/>
          <cell r="K1556"/>
          <cell r="L1556"/>
          <cell r="M1556"/>
          <cell r="N1556"/>
        </row>
        <row r="1557">
          <cell r="A1557">
            <v>20231554</v>
          </cell>
          <cell r="B1557"/>
          <cell r="C1557"/>
          <cell r="D1557"/>
          <cell r="E1557"/>
          <cell r="F1557"/>
          <cell r="G1557"/>
          <cell r="H1557"/>
          <cell r="I1557"/>
          <cell r="J1557"/>
          <cell r="K1557"/>
          <cell r="L1557"/>
          <cell r="M1557"/>
          <cell r="N1557"/>
        </row>
        <row r="1558">
          <cell r="A1558">
            <v>20231555</v>
          </cell>
          <cell r="B1558"/>
          <cell r="C1558"/>
          <cell r="D1558"/>
          <cell r="E1558"/>
          <cell r="F1558"/>
          <cell r="G1558"/>
          <cell r="H1558"/>
          <cell r="I1558"/>
          <cell r="J1558"/>
          <cell r="K1558"/>
          <cell r="L1558"/>
          <cell r="M1558"/>
          <cell r="N1558"/>
        </row>
        <row r="1559">
          <cell r="A1559">
            <v>20231556</v>
          </cell>
          <cell r="B1559"/>
          <cell r="C1559"/>
          <cell r="D1559"/>
          <cell r="E1559"/>
          <cell r="F1559"/>
          <cell r="G1559"/>
          <cell r="H1559"/>
          <cell r="I1559"/>
          <cell r="J1559"/>
          <cell r="K1559"/>
          <cell r="L1559"/>
          <cell r="M1559"/>
          <cell r="N1559"/>
        </row>
        <row r="1560">
          <cell r="A1560">
            <v>20231557</v>
          </cell>
          <cell r="B1560"/>
          <cell r="C1560"/>
          <cell r="D1560"/>
          <cell r="E1560"/>
          <cell r="F1560"/>
          <cell r="G1560"/>
          <cell r="H1560"/>
          <cell r="I1560"/>
          <cell r="J1560"/>
          <cell r="K1560"/>
          <cell r="L1560"/>
          <cell r="M1560"/>
          <cell r="N1560"/>
        </row>
        <row r="1561">
          <cell r="A1561">
            <v>20231558</v>
          </cell>
          <cell r="B1561"/>
          <cell r="C1561"/>
          <cell r="D1561"/>
          <cell r="E1561"/>
          <cell r="F1561"/>
          <cell r="G1561"/>
          <cell r="H1561"/>
          <cell r="I1561"/>
          <cell r="J1561"/>
          <cell r="K1561"/>
          <cell r="L1561"/>
          <cell r="M1561"/>
          <cell r="N1561"/>
        </row>
        <row r="1562">
          <cell r="A1562">
            <v>20231559</v>
          </cell>
          <cell r="B1562"/>
          <cell r="C1562"/>
          <cell r="D1562"/>
          <cell r="E1562"/>
          <cell r="F1562"/>
          <cell r="G1562"/>
          <cell r="H1562"/>
          <cell r="I1562"/>
          <cell r="J1562"/>
          <cell r="K1562"/>
          <cell r="L1562"/>
          <cell r="M1562"/>
          <cell r="N1562"/>
        </row>
        <row r="1563">
          <cell r="A1563">
            <v>20231560</v>
          </cell>
          <cell r="B1563"/>
          <cell r="C1563"/>
          <cell r="D1563"/>
          <cell r="E1563"/>
          <cell r="F1563"/>
          <cell r="G1563"/>
          <cell r="H1563"/>
          <cell r="I1563"/>
          <cell r="J1563"/>
          <cell r="K1563"/>
          <cell r="L1563"/>
          <cell r="M1563"/>
          <cell r="N1563"/>
        </row>
        <row r="1564">
          <cell r="A1564">
            <v>20231561</v>
          </cell>
          <cell r="B1564"/>
          <cell r="C1564"/>
          <cell r="D1564"/>
          <cell r="E1564"/>
          <cell r="F1564"/>
          <cell r="G1564"/>
          <cell r="H1564"/>
          <cell r="I1564"/>
          <cell r="J1564"/>
          <cell r="K1564"/>
          <cell r="L1564"/>
          <cell r="M1564"/>
          <cell r="N1564"/>
        </row>
        <row r="1565">
          <cell r="A1565">
            <v>20231562</v>
          </cell>
          <cell r="B1565"/>
          <cell r="C1565"/>
          <cell r="D1565"/>
          <cell r="E1565"/>
          <cell r="F1565"/>
          <cell r="G1565"/>
          <cell r="H1565"/>
          <cell r="I1565"/>
          <cell r="J1565"/>
          <cell r="K1565"/>
          <cell r="L1565"/>
          <cell r="M1565"/>
          <cell r="N1565"/>
        </row>
        <row r="1566">
          <cell r="A1566">
            <v>20231563</v>
          </cell>
          <cell r="B1566"/>
          <cell r="C1566"/>
          <cell r="D1566"/>
          <cell r="E1566"/>
          <cell r="F1566"/>
          <cell r="G1566"/>
          <cell r="H1566"/>
          <cell r="I1566"/>
          <cell r="J1566"/>
          <cell r="K1566"/>
          <cell r="L1566"/>
          <cell r="M1566"/>
          <cell r="N1566"/>
        </row>
        <row r="1567">
          <cell r="A1567">
            <v>20231564</v>
          </cell>
          <cell r="B1567"/>
          <cell r="C1567"/>
          <cell r="D1567"/>
          <cell r="E1567"/>
          <cell r="F1567"/>
          <cell r="G1567"/>
          <cell r="H1567"/>
          <cell r="I1567"/>
          <cell r="J1567"/>
          <cell r="K1567"/>
          <cell r="L1567"/>
          <cell r="M1567"/>
          <cell r="N1567"/>
        </row>
        <row r="1568">
          <cell r="A1568">
            <v>20231565</v>
          </cell>
          <cell r="B1568"/>
          <cell r="C1568"/>
          <cell r="D1568"/>
          <cell r="E1568"/>
          <cell r="F1568"/>
          <cell r="G1568"/>
          <cell r="H1568"/>
          <cell r="I1568"/>
          <cell r="J1568"/>
          <cell r="K1568"/>
          <cell r="L1568"/>
          <cell r="M1568"/>
          <cell r="N1568"/>
        </row>
        <row r="1569">
          <cell r="A1569">
            <v>20231566</v>
          </cell>
          <cell r="B1569"/>
          <cell r="C1569"/>
          <cell r="D1569"/>
          <cell r="E1569"/>
          <cell r="F1569"/>
          <cell r="G1569"/>
          <cell r="H1569"/>
          <cell r="I1569"/>
          <cell r="J1569"/>
          <cell r="K1569"/>
          <cell r="L1569"/>
          <cell r="M1569"/>
          <cell r="N1569"/>
        </row>
        <row r="1570">
          <cell r="A1570">
            <v>20231567</v>
          </cell>
          <cell r="B1570"/>
          <cell r="C1570"/>
          <cell r="D1570"/>
          <cell r="E1570"/>
          <cell r="F1570"/>
          <cell r="G1570"/>
          <cell r="H1570"/>
          <cell r="I1570"/>
          <cell r="J1570"/>
          <cell r="K1570"/>
          <cell r="L1570"/>
          <cell r="M1570"/>
          <cell r="N1570"/>
        </row>
        <row r="1571">
          <cell r="A1571">
            <v>20231568</v>
          </cell>
          <cell r="B1571"/>
          <cell r="C1571"/>
          <cell r="D1571"/>
          <cell r="E1571"/>
          <cell r="F1571"/>
          <cell r="G1571"/>
          <cell r="H1571"/>
          <cell r="I1571"/>
          <cell r="J1571"/>
          <cell r="K1571"/>
          <cell r="L1571"/>
          <cell r="M1571"/>
          <cell r="N1571"/>
        </row>
        <row r="1572">
          <cell r="A1572">
            <v>20231569</v>
          </cell>
          <cell r="B1572"/>
          <cell r="C1572"/>
          <cell r="D1572"/>
          <cell r="E1572"/>
          <cell r="F1572"/>
          <cell r="G1572"/>
          <cell r="H1572"/>
          <cell r="I1572"/>
          <cell r="J1572"/>
          <cell r="K1572"/>
          <cell r="L1572"/>
          <cell r="M1572"/>
          <cell r="N1572"/>
        </row>
        <row r="1573">
          <cell r="A1573">
            <v>20231570</v>
          </cell>
          <cell r="B1573"/>
          <cell r="C1573"/>
          <cell r="D1573"/>
          <cell r="E1573"/>
          <cell r="F1573"/>
          <cell r="G1573"/>
          <cell r="H1573"/>
          <cell r="I1573"/>
          <cell r="J1573"/>
          <cell r="K1573"/>
          <cell r="L1573"/>
          <cell r="M1573"/>
          <cell r="N1573"/>
        </row>
        <row r="1574">
          <cell r="A1574">
            <v>20231571</v>
          </cell>
          <cell r="B1574"/>
          <cell r="C1574"/>
          <cell r="D1574"/>
          <cell r="E1574"/>
          <cell r="F1574"/>
          <cell r="G1574"/>
          <cell r="H1574"/>
          <cell r="I1574"/>
          <cell r="J1574"/>
          <cell r="K1574"/>
          <cell r="L1574"/>
          <cell r="M1574"/>
          <cell r="N1574"/>
        </row>
        <row r="1575">
          <cell r="A1575">
            <v>20231572</v>
          </cell>
          <cell r="B1575"/>
          <cell r="C1575"/>
          <cell r="D1575"/>
          <cell r="E1575"/>
          <cell r="F1575"/>
          <cell r="G1575"/>
          <cell r="H1575"/>
          <cell r="I1575"/>
          <cell r="J1575"/>
          <cell r="K1575"/>
          <cell r="L1575"/>
          <cell r="M1575"/>
          <cell r="N1575"/>
        </row>
        <row r="1576">
          <cell r="A1576">
            <v>20231573</v>
          </cell>
          <cell r="B1576"/>
          <cell r="C1576"/>
          <cell r="D1576"/>
          <cell r="E1576"/>
          <cell r="F1576"/>
          <cell r="G1576"/>
          <cell r="H1576"/>
          <cell r="I1576"/>
          <cell r="J1576"/>
          <cell r="K1576"/>
          <cell r="L1576"/>
          <cell r="M1576"/>
          <cell r="N1576"/>
        </row>
        <row r="1577">
          <cell r="A1577">
            <v>20231574</v>
          </cell>
          <cell r="B1577"/>
          <cell r="C1577"/>
          <cell r="D1577"/>
          <cell r="E1577"/>
          <cell r="F1577"/>
          <cell r="G1577"/>
          <cell r="H1577"/>
          <cell r="I1577"/>
          <cell r="J1577"/>
          <cell r="K1577"/>
          <cell r="L1577"/>
          <cell r="M1577"/>
          <cell r="N1577"/>
        </row>
        <row r="1578">
          <cell r="A1578">
            <v>20231575</v>
          </cell>
          <cell r="B1578"/>
          <cell r="C1578"/>
          <cell r="D1578"/>
          <cell r="E1578"/>
          <cell r="F1578"/>
          <cell r="G1578"/>
          <cell r="H1578"/>
          <cell r="I1578"/>
          <cell r="J1578"/>
          <cell r="K1578"/>
          <cell r="L1578"/>
          <cell r="M1578"/>
          <cell r="N1578"/>
        </row>
        <row r="1579">
          <cell r="A1579">
            <v>20231576</v>
          </cell>
          <cell r="B1579"/>
          <cell r="C1579"/>
          <cell r="D1579"/>
          <cell r="E1579"/>
          <cell r="F1579"/>
          <cell r="G1579"/>
          <cell r="H1579"/>
          <cell r="I1579"/>
          <cell r="J1579"/>
          <cell r="K1579"/>
          <cell r="L1579"/>
          <cell r="M1579"/>
          <cell r="N1579"/>
        </row>
        <row r="1580">
          <cell r="A1580">
            <v>20231577</v>
          </cell>
          <cell r="B1580"/>
          <cell r="C1580"/>
          <cell r="D1580"/>
          <cell r="E1580"/>
          <cell r="F1580"/>
          <cell r="G1580"/>
          <cell r="H1580"/>
          <cell r="I1580"/>
          <cell r="J1580"/>
          <cell r="K1580"/>
          <cell r="L1580"/>
          <cell r="M1580"/>
          <cell r="N1580"/>
        </row>
        <row r="1581">
          <cell r="A1581">
            <v>20231578</v>
          </cell>
          <cell r="B1581"/>
          <cell r="C1581"/>
          <cell r="D1581"/>
          <cell r="E1581"/>
          <cell r="F1581"/>
          <cell r="G1581"/>
          <cell r="H1581"/>
          <cell r="I1581"/>
          <cell r="J1581"/>
          <cell r="K1581"/>
          <cell r="L1581"/>
          <cell r="M1581"/>
          <cell r="N1581"/>
        </row>
        <row r="1582">
          <cell r="A1582">
            <v>20231579</v>
          </cell>
          <cell r="B1582"/>
          <cell r="C1582"/>
          <cell r="D1582"/>
          <cell r="E1582"/>
          <cell r="F1582"/>
          <cell r="G1582"/>
          <cell r="H1582"/>
          <cell r="I1582"/>
          <cell r="J1582"/>
          <cell r="K1582"/>
          <cell r="L1582"/>
          <cell r="M1582"/>
          <cell r="N1582"/>
        </row>
        <row r="1583">
          <cell r="A1583">
            <v>20231580</v>
          </cell>
          <cell r="B1583"/>
          <cell r="C1583"/>
          <cell r="D1583"/>
          <cell r="E1583"/>
          <cell r="F1583"/>
          <cell r="G1583"/>
          <cell r="H1583"/>
          <cell r="I1583"/>
          <cell r="J1583"/>
          <cell r="K1583"/>
          <cell r="L1583"/>
          <cell r="M1583"/>
          <cell r="N1583"/>
        </row>
        <row r="1584">
          <cell r="A1584">
            <v>20231581</v>
          </cell>
          <cell r="B1584"/>
          <cell r="C1584"/>
          <cell r="D1584"/>
          <cell r="E1584"/>
          <cell r="F1584"/>
          <cell r="G1584"/>
          <cell r="H1584"/>
          <cell r="I1584"/>
          <cell r="J1584"/>
          <cell r="K1584"/>
          <cell r="L1584"/>
          <cell r="M1584"/>
          <cell r="N1584"/>
        </row>
        <row r="1585">
          <cell r="A1585">
            <v>20231582</v>
          </cell>
          <cell r="B1585"/>
          <cell r="C1585"/>
          <cell r="D1585"/>
          <cell r="E1585"/>
          <cell r="F1585"/>
          <cell r="G1585"/>
          <cell r="H1585"/>
          <cell r="I1585"/>
          <cell r="J1585"/>
          <cell r="K1585"/>
          <cell r="L1585"/>
          <cell r="M1585"/>
          <cell r="N1585"/>
        </row>
        <row r="1586">
          <cell r="A1586">
            <v>20231583</v>
          </cell>
          <cell r="B1586"/>
          <cell r="C1586"/>
          <cell r="D1586"/>
          <cell r="E1586"/>
          <cell r="F1586"/>
          <cell r="G1586"/>
          <cell r="H1586"/>
          <cell r="I1586"/>
          <cell r="J1586"/>
          <cell r="K1586"/>
          <cell r="L1586"/>
          <cell r="M1586"/>
          <cell r="N1586"/>
        </row>
        <row r="1587">
          <cell r="A1587">
            <v>20231584</v>
          </cell>
          <cell r="B1587"/>
          <cell r="C1587"/>
          <cell r="D1587"/>
          <cell r="E1587"/>
          <cell r="F1587"/>
          <cell r="G1587"/>
          <cell r="H1587"/>
          <cell r="I1587"/>
          <cell r="J1587"/>
          <cell r="K1587"/>
          <cell r="L1587"/>
          <cell r="M1587"/>
          <cell r="N1587"/>
        </row>
        <row r="1588">
          <cell r="A1588">
            <v>20231585</v>
          </cell>
          <cell r="B1588"/>
          <cell r="C1588"/>
          <cell r="D1588"/>
          <cell r="E1588"/>
          <cell r="F1588"/>
          <cell r="G1588"/>
          <cell r="H1588"/>
          <cell r="I1588"/>
          <cell r="J1588"/>
          <cell r="K1588"/>
          <cell r="L1588"/>
          <cell r="M1588"/>
          <cell r="N1588"/>
        </row>
        <row r="1589">
          <cell r="A1589">
            <v>20231586</v>
          </cell>
          <cell r="B1589"/>
          <cell r="C1589"/>
          <cell r="D1589"/>
          <cell r="E1589"/>
          <cell r="F1589"/>
          <cell r="G1589"/>
          <cell r="H1589"/>
          <cell r="I1589"/>
          <cell r="J1589"/>
          <cell r="K1589"/>
          <cell r="L1589"/>
          <cell r="M1589"/>
          <cell r="N1589"/>
        </row>
        <row r="1590">
          <cell r="A1590">
            <v>20231587</v>
          </cell>
          <cell r="B1590"/>
          <cell r="C1590"/>
          <cell r="D1590"/>
          <cell r="E1590"/>
          <cell r="F1590"/>
          <cell r="G1590"/>
          <cell r="H1590"/>
          <cell r="I1590"/>
          <cell r="J1590"/>
          <cell r="K1590"/>
          <cell r="L1590"/>
          <cell r="M1590"/>
          <cell r="N1590"/>
        </row>
        <row r="1591">
          <cell r="A1591">
            <v>20231588</v>
          </cell>
          <cell r="B1591"/>
          <cell r="C1591"/>
          <cell r="D1591"/>
          <cell r="E1591"/>
          <cell r="F1591"/>
          <cell r="G1591"/>
          <cell r="H1591"/>
          <cell r="I1591"/>
          <cell r="J1591"/>
          <cell r="K1591"/>
          <cell r="L1591"/>
          <cell r="M1591"/>
          <cell r="N1591"/>
        </row>
        <row r="1592">
          <cell r="A1592">
            <v>20231589</v>
          </cell>
          <cell r="B1592"/>
          <cell r="C1592"/>
          <cell r="D1592"/>
          <cell r="E1592"/>
          <cell r="F1592"/>
          <cell r="G1592"/>
          <cell r="H1592"/>
          <cell r="I1592"/>
          <cell r="J1592"/>
          <cell r="K1592"/>
          <cell r="L1592"/>
          <cell r="M1592"/>
          <cell r="N1592"/>
        </row>
        <row r="1593">
          <cell r="A1593">
            <v>20231590</v>
          </cell>
          <cell r="B1593"/>
          <cell r="C1593"/>
          <cell r="D1593"/>
          <cell r="E1593"/>
          <cell r="F1593"/>
          <cell r="G1593"/>
          <cell r="H1593"/>
          <cell r="I1593"/>
          <cell r="J1593"/>
          <cell r="K1593"/>
          <cell r="L1593"/>
          <cell r="M1593"/>
          <cell r="N1593"/>
        </row>
        <row r="1594">
          <cell r="A1594">
            <v>20231591</v>
          </cell>
          <cell r="B1594"/>
          <cell r="C1594"/>
          <cell r="D1594"/>
          <cell r="E1594"/>
          <cell r="F1594"/>
          <cell r="G1594"/>
          <cell r="H1594"/>
          <cell r="I1594"/>
          <cell r="J1594"/>
          <cell r="K1594"/>
          <cell r="L1594"/>
          <cell r="M1594"/>
          <cell r="N1594"/>
        </row>
        <row r="1595">
          <cell r="A1595">
            <v>20231592</v>
          </cell>
          <cell r="B1595"/>
          <cell r="C1595"/>
          <cell r="D1595"/>
          <cell r="E1595"/>
          <cell r="F1595"/>
          <cell r="G1595"/>
          <cell r="H1595"/>
          <cell r="I1595"/>
          <cell r="J1595"/>
          <cell r="K1595"/>
          <cell r="L1595"/>
          <cell r="M1595"/>
          <cell r="N1595"/>
        </row>
        <row r="1596">
          <cell r="A1596">
            <v>20231593</v>
          </cell>
          <cell r="B1596"/>
          <cell r="C1596"/>
          <cell r="D1596"/>
          <cell r="E1596"/>
          <cell r="F1596"/>
          <cell r="G1596"/>
          <cell r="H1596"/>
          <cell r="I1596"/>
          <cell r="J1596"/>
          <cell r="K1596"/>
          <cell r="L1596"/>
          <cell r="M1596"/>
          <cell r="N1596"/>
        </row>
        <row r="1597">
          <cell r="A1597">
            <v>20231594</v>
          </cell>
          <cell r="B1597"/>
          <cell r="C1597"/>
          <cell r="D1597"/>
          <cell r="E1597"/>
          <cell r="F1597"/>
          <cell r="G1597"/>
          <cell r="H1597"/>
          <cell r="I1597"/>
          <cell r="J1597"/>
          <cell r="K1597"/>
          <cell r="L1597"/>
          <cell r="M1597"/>
          <cell r="N1597"/>
        </row>
        <row r="1598">
          <cell r="A1598">
            <v>20231595</v>
          </cell>
          <cell r="B1598"/>
          <cell r="C1598"/>
          <cell r="D1598"/>
          <cell r="E1598"/>
          <cell r="F1598"/>
          <cell r="G1598"/>
          <cell r="H1598"/>
          <cell r="I1598"/>
          <cell r="J1598"/>
          <cell r="K1598"/>
          <cell r="L1598"/>
          <cell r="M1598"/>
          <cell r="N1598"/>
        </row>
        <row r="1599">
          <cell r="A1599">
            <v>20231596</v>
          </cell>
          <cell r="B1599"/>
          <cell r="C1599"/>
          <cell r="D1599"/>
          <cell r="E1599"/>
          <cell r="F1599"/>
          <cell r="G1599"/>
          <cell r="H1599"/>
          <cell r="I1599"/>
          <cell r="J1599"/>
          <cell r="K1599"/>
          <cell r="L1599"/>
          <cell r="M1599"/>
          <cell r="N1599"/>
        </row>
        <row r="1600">
          <cell r="A1600">
            <v>20231597</v>
          </cell>
          <cell r="B1600"/>
          <cell r="C1600"/>
          <cell r="D1600"/>
          <cell r="E1600"/>
          <cell r="F1600"/>
          <cell r="G1600"/>
          <cell r="H1600"/>
          <cell r="I1600"/>
          <cell r="J1600"/>
          <cell r="K1600"/>
          <cell r="L1600"/>
          <cell r="M1600"/>
          <cell r="N1600"/>
        </row>
        <row r="1601">
          <cell r="A1601">
            <v>20231598</v>
          </cell>
          <cell r="B1601"/>
          <cell r="C1601"/>
          <cell r="D1601"/>
          <cell r="E1601"/>
          <cell r="F1601"/>
          <cell r="G1601"/>
          <cell r="H1601"/>
          <cell r="I1601"/>
          <cell r="J1601"/>
          <cell r="K1601"/>
          <cell r="L1601"/>
          <cell r="M1601"/>
          <cell r="N1601"/>
        </row>
        <row r="1602">
          <cell r="A1602">
            <v>20231599</v>
          </cell>
          <cell r="B1602"/>
          <cell r="C1602"/>
          <cell r="D1602"/>
          <cell r="E1602"/>
          <cell r="F1602"/>
          <cell r="G1602"/>
          <cell r="H1602"/>
          <cell r="I1602"/>
          <cell r="J1602"/>
          <cell r="K1602"/>
          <cell r="L1602"/>
          <cell r="M1602"/>
          <cell r="N1602"/>
        </row>
        <row r="1603">
          <cell r="A1603">
            <v>20231600</v>
          </cell>
          <cell r="B1603"/>
          <cell r="C1603"/>
          <cell r="D1603"/>
          <cell r="E1603"/>
          <cell r="F1603"/>
          <cell r="G1603"/>
          <cell r="H1603"/>
          <cell r="I1603"/>
          <cell r="J1603"/>
          <cell r="K1603"/>
          <cell r="L1603"/>
          <cell r="M1603"/>
          <cell r="N1603"/>
        </row>
        <row r="1604">
          <cell r="A1604">
            <v>20231601</v>
          </cell>
          <cell r="B1604"/>
          <cell r="C1604"/>
          <cell r="D1604"/>
          <cell r="E1604"/>
          <cell r="F1604"/>
          <cell r="G1604"/>
          <cell r="H1604"/>
          <cell r="I1604"/>
          <cell r="J1604"/>
          <cell r="K1604"/>
          <cell r="L1604"/>
          <cell r="M1604"/>
          <cell r="N1604"/>
        </row>
        <row r="1605">
          <cell r="A1605">
            <v>20231602</v>
          </cell>
          <cell r="B1605"/>
          <cell r="C1605"/>
          <cell r="D1605"/>
          <cell r="E1605"/>
          <cell r="F1605"/>
          <cell r="G1605"/>
          <cell r="H1605"/>
          <cell r="I1605"/>
          <cell r="J1605"/>
          <cell r="K1605"/>
          <cell r="L1605"/>
          <cell r="M1605"/>
          <cell r="N1605"/>
        </row>
        <row r="1606">
          <cell r="A1606">
            <v>20231603</v>
          </cell>
          <cell r="B1606"/>
          <cell r="C1606"/>
          <cell r="D1606"/>
          <cell r="E1606"/>
          <cell r="F1606"/>
          <cell r="G1606"/>
          <cell r="H1606"/>
          <cell r="I1606"/>
          <cell r="J1606"/>
          <cell r="K1606"/>
          <cell r="L1606"/>
          <cell r="M1606"/>
          <cell r="N1606"/>
        </row>
        <row r="1607">
          <cell r="A1607">
            <v>20231604</v>
          </cell>
          <cell r="B1607"/>
          <cell r="C1607"/>
          <cell r="D1607"/>
          <cell r="E1607"/>
          <cell r="F1607"/>
          <cell r="G1607"/>
          <cell r="H1607"/>
          <cell r="I1607"/>
          <cell r="J1607"/>
          <cell r="K1607"/>
          <cell r="L1607"/>
          <cell r="M1607"/>
          <cell r="N1607"/>
        </row>
        <row r="1608">
          <cell r="A1608">
            <v>20231605</v>
          </cell>
          <cell r="B1608"/>
          <cell r="C1608"/>
          <cell r="D1608"/>
          <cell r="E1608"/>
          <cell r="F1608"/>
          <cell r="G1608"/>
          <cell r="H1608"/>
          <cell r="I1608"/>
          <cell r="J1608"/>
          <cell r="K1608"/>
          <cell r="L1608"/>
          <cell r="M1608"/>
          <cell r="N1608"/>
        </row>
        <row r="1609">
          <cell r="A1609">
            <v>20231606</v>
          </cell>
          <cell r="B1609"/>
          <cell r="C1609"/>
          <cell r="D1609"/>
          <cell r="E1609"/>
          <cell r="F1609"/>
          <cell r="G1609"/>
          <cell r="H1609"/>
          <cell r="I1609"/>
          <cell r="J1609"/>
          <cell r="K1609"/>
          <cell r="L1609"/>
          <cell r="M1609"/>
          <cell r="N1609"/>
        </row>
        <row r="1610">
          <cell r="A1610">
            <v>20231607</v>
          </cell>
          <cell r="B1610"/>
          <cell r="C1610"/>
          <cell r="D1610"/>
          <cell r="E1610"/>
          <cell r="F1610"/>
          <cell r="G1610"/>
          <cell r="H1610"/>
          <cell r="I1610"/>
          <cell r="J1610"/>
          <cell r="K1610"/>
          <cell r="L1610"/>
          <cell r="M1610"/>
          <cell r="N1610"/>
        </row>
        <row r="1611">
          <cell r="A1611">
            <v>20231608</v>
          </cell>
          <cell r="B1611"/>
          <cell r="C1611"/>
          <cell r="D1611"/>
          <cell r="E1611"/>
          <cell r="F1611"/>
          <cell r="G1611"/>
          <cell r="H1611"/>
          <cell r="I1611"/>
          <cell r="J1611"/>
          <cell r="K1611"/>
          <cell r="L1611"/>
          <cell r="M1611"/>
          <cell r="N1611"/>
        </row>
        <row r="1612">
          <cell r="A1612">
            <v>20231609</v>
          </cell>
          <cell r="B1612"/>
          <cell r="C1612"/>
          <cell r="D1612"/>
          <cell r="E1612"/>
          <cell r="F1612"/>
          <cell r="G1612"/>
          <cell r="H1612"/>
          <cell r="I1612"/>
          <cell r="J1612"/>
          <cell r="K1612"/>
          <cell r="L1612"/>
          <cell r="M1612"/>
          <cell r="N1612"/>
        </row>
        <row r="1613">
          <cell r="A1613">
            <v>20231610</v>
          </cell>
          <cell r="B1613"/>
          <cell r="C1613"/>
          <cell r="D1613"/>
          <cell r="E1613"/>
          <cell r="F1613"/>
          <cell r="G1613"/>
          <cell r="H1613"/>
          <cell r="I1613"/>
          <cell r="J1613"/>
          <cell r="K1613"/>
          <cell r="L1613"/>
          <cell r="M1613"/>
          <cell r="N1613"/>
        </row>
        <row r="1614">
          <cell r="A1614">
            <v>20231611</v>
          </cell>
          <cell r="B1614"/>
          <cell r="C1614"/>
          <cell r="D1614"/>
          <cell r="E1614"/>
          <cell r="F1614"/>
          <cell r="G1614"/>
          <cell r="H1614"/>
          <cell r="I1614"/>
          <cell r="J1614"/>
          <cell r="K1614"/>
          <cell r="L1614"/>
          <cell r="M1614"/>
          <cell r="N1614"/>
        </row>
        <row r="1615">
          <cell r="A1615">
            <v>20231612</v>
          </cell>
          <cell r="B1615"/>
          <cell r="C1615"/>
          <cell r="D1615"/>
          <cell r="E1615"/>
          <cell r="F1615"/>
          <cell r="G1615"/>
          <cell r="H1615"/>
          <cell r="I1615"/>
          <cell r="J1615"/>
          <cell r="K1615"/>
          <cell r="L1615"/>
          <cell r="M1615"/>
          <cell r="N1615"/>
        </row>
        <row r="1616">
          <cell r="A1616">
            <v>20231613</v>
          </cell>
          <cell r="B1616"/>
          <cell r="C1616"/>
          <cell r="D1616"/>
          <cell r="E1616"/>
          <cell r="F1616"/>
          <cell r="G1616"/>
          <cell r="H1616"/>
          <cell r="I1616"/>
          <cell r="J1616"/>
          <cell r="K1616"/>
          <cell r="L1616"/>
          <cell r="M1616"/>
          <cell r="N1616"/>
        </row>
        <row r="1617">
          <cell r="A1617">
            <v>20231614</v>
          </cell>
          <cell r="B1617"/>
          <cell r="C1617"/>
          <cell r="D1617"/>
          <cell r="E1617"/>
          <cell r="F1617"/>
          <cell r="G1617"/>
          <cell r="H1617"/>
          <cell r="I1617"/>
          <cell r="J1617"/>
          <cell r="K1617"/>
          <cell r="L1617"/>
          <cell r="M1617"/>
          <cell r="N1617"/>
        </row>
        <row r="1618">
          <cell r="A1618">
            <v>20231615</v>
          </cell>
          <cell r="B1618"/>
          <cell r="C1618"/>
          <cell r="D1618"/>
          <cell r="E1618"/>
          <cell r="F1618"/>
          <cell r="G1618"/>
          <cell r="H1618"/>
          <cell r="I1618"/>
          <cell r="J1618"/>
          <cell r="K1618"/>
          <cell r="L1618"/>
          <cell r="M1618"/>
          <cell r="N1618"/>
        </row>
        <row r="1619">
          <cell r="A1619">
            <v>20231616</v>
          </cell>
          <cell r="B1619"/>
          <cell r="C1619"/>
          <cell r="D1619"/>
          <cell r="E1619"/>
          <cell r="F1619"/>
          <cell r="G1619"/>
          <cell r="H1619"/>
          <cell r="I1619"/>
          <cell r="J1619"/>
          <cell r="K1619"/>
          <cell r="L1619"/>
          <cell r="M1619"/>
          <cell r="N1619"/>
        </row>
        <row r="1620">
          <cell r="A1620">
            <v>20231617</v>
          </cell>
          <cell r="B1620"/>
          <cell r="C1620"/>
          <cell r="D1620"/>
          <cell r="E1620"/>
          <cell r="F1620"/>
          <cell r="G1620"/>
          <cell r="H1620"/>
          <cell r="I1620"/>
          <cell r="J1620"/>
          <cell r="K1620"/>
          <cell r="L1620"/>
          <cell r="M1620"/>
          <cell r="N1620"/>
        </row>
        <row r="1621">
          <cell r="A1621">
            <v>20231618</v>
          </cell>
          <cell r="B1621"/>
          <cell r="C1621"/>
          <cell r="D1621"/>
          <cell r="E1621"/>
          <cell r="F1621"/>
          <cell r="G1621"/>
          <cell r="H1621"/>
          <cell r="I1621"/>
          <cell r="J1621"/>
          <cell r="K1621"/>
          <cell r="L1621"/>
          <cell r="M1621"/>
          <cell r="N1621"/>
        </row>
        <row r="1622">
          <cell r="A1622">
            <v>20231619</v>
          </cell>
          <cell r="B1622"/>
          <cell r="C1622"/>
          <cell r="D1622"/>
          <cell r="E1622"/>
          <cell r="F1622"/>
          <cell r="G1622"/>
          <cell r="H1622"/>
          <cell r="I1622"/>
          <cell r="J1622"/>
          <cell r="K1622"/>
          <cell r="L1622"/>
          <cell r="M1622"/>
          <cell r="N1622"/>
        </row>
        <row r="1623">
          <cell r="A1623">
            <v>20231620</v>
          </cell>
          <cell r="B1623"/>
          <cell r="C1623"/>
          <cell r="D1623"/>
          <cell r="E1623"/>
          <cell r="F1623"/>
          <cell r="G1623"/>
          <cell r="H1623"/>
          <cell r="I1623"/>
          <cell r="J1623"/>
          <cell r="K1623"/>
          <cell r="L1623"/>
          <cell r="M1623"/>
          <cell r="N1623"/>
        </row>
        <row r="1624">
          <cell r="A1624">
            <v>20231621</v>
          </cell>
          <cell r="B1624"/>
          <cell r="C1624"/>
          <cell r="D1624"/>
          <cell r="E1624"/>
          <cell r="F1624"/>
          <cell r="G1624"/>
          <cell r="H1624"/>
          <cell r="I1624"/>
          <cell r="J1624"/>
          <cell r="K1624"/>
          <cell r="L1624"/>
          <cell r="M1624"/>
          <cell r="N1624"/>
        </row>
        <row r="1625">
          <cell r="A1625">
            <v>20231622</v>
          </cell>
          <cell r="B1625"/>
          <cell r="C1625"/>
          <cell r="D1625"/>
          <cell r="E1625"/>
          <cell r="F1625"/>
          <cell r="G1625"/>
          <cell r="H1625"/>
          <cell r="I1625"/>
          <cell r="J1625"/>
          <cell r="K1625"/>
          <cell r="L1625"/>
          <cell r="M1625"/>
          <cell r="N1625"/>
        </row>
        <row r="1626">
          <cell r="A1626">
            <v>20231623</v>
          </cell>
          <cell r="B1626"/>
          <cell r="C1626"/>
          <cell r="D1626"/>
          <cell r="E1626"/>
          <cell r="F1626"/>
          <cell r="G1626"/>
          <cell r="H1626"/>
          <cell r="I1626"/>
          <cell r="J1626"/>
          <cell r="K1626"/>
          <cell r="L1626"/>
          <cell r="M1626"/>
          <cell r="N1626"/>
        </row>
        <row r="1627">
          <cell r="A1627">
            <v>20231624</v>
          </cell>
          <cell r="B1627"/>
          <cell r="C1627"/>
          <cell r="D1627"/>
          <cell r="E1627"/>
          <cell r="F1627"/>
          <cell r="G1627"/>
          <cell r="H1627"/>
          <cell r="I1627"/>
          <cell r="J1627"/>
          <cell r="K1627"/>
          <cell r="L1627"/>
          <cell r="M1627"/>
          <cell r="N1627"/>
        </row>
        <row r="1628">
          <cell r="A1628">
            <v>20231625</v>
          </cell>
          <cell r="B1628"/>
          <cell r="C1628"/>
          <cell r="D1628"/>
          <cell r="E1628"/>
          <cell r="F1628"/>
          <cell r="G1628"/>
          <cell r="H1628"/>
          <cell r="I1628"/>
          <cell r="J1628"/>
          <cell r="K1628"/>
          <cell r="L1628"/>
          <cell r="M1628"/>
          <cell r="N1628"/>
        </row>
        <row r="1629">
          <cell r="A1629">
            <v>20231626</v>
          </cell>
          <cell r="B1629"/>
          <cell r="C1629"/>
          <cell r="D1629"/>
          <cell r="E1629"/>
          <cell r="F1629"/>
          <cell r="G1629"/>
          <cell r="H1629"/>
          <cell r="I1629"/>
          <cell r="J1629"/>
          <cell r="K1629"/>
          <cell r="L1629"/>
          <cell r="M1629"/>
          <cell r="N1629"/>
        </row>
        <row r="1630">
          <cell r="A1630">
            <v>20231627</v>
          </cell>
          <cell r="B1630"/>
          <cell r="C1630"/>
          <cell r="D1630"/>
          <cell r="E1630"/>
          <cell r="F1630"/>
          <cell r="G1630"/>
          <cell r="H1630"/>
          <cell r="I1630"/>
          <cell r="J1630"/>
          <cell r="K1630"/>
          <cell r="L1630"/>
          <cell r="M1630"/>
          <cell r="N1630"/>
        </row>
        <row r="1631">
          <cell r="A1631">
            <v>20231628</v>
          </cell>
          <cell r="B1631"/>
          <cell r="C1631"/>
          <cell r="D1631"/>
          <cell r="E1631"/>
          <cell r="F1631"/>
          <cell r="G1631"/>
          <cell r="H1631"/>
          <cell r="I1631"/>
          <cell r="J1631"/>
          <cell r="K1631"/>
          <cell r="L1631"/>
          <cell r="M1631"/>
          <cell r="N1631"/>
        </row>
        <row r="1632">
          <cell r="A1632">
            <v>20231629</v>
          </cell>
          <cell r="B1632"/>
          <cell r="C1632"/>
          <cell r="D1632"/>
          <cell r="E1632"/>
          <cell r="F1632"/>
          <cell r="G1632"/>
          <cell r="H1632"/>
          <cell r="I1632"/>
          <cell r="J1632"/>
          <cell r="K1632"/>
          <cell r="L1632"/>
          <cell r="M1632"/>
          <cell r="N1632"/>
        </row>
        <row r="1633">
          <cell r="A1633">
            <v>20231630</v>
          </cell>
          <cell r="B1633"/>
          <cell r="C1633"/>
          <cell r="D1633"/>
          <cell r="E1633"/>
          <cell r="F1633"/>
          <cell r="G1633"/>
          <cell r="H1633"/>
          <cell r="I1633"/>
          <cell r="J1633"/>
          <cell r="K1633"/>
          <cell r="L1633"/>
          <cell r="M1633"/>
          <cell r="N1633"/>
        </row>
        <row r="1634">
          <cell r="A1634">
            <v>20231631</v>
          </cell>
          <cell r="B1634"/>
          <cell r="C1634"/>
          <cell r="D1634"/>
          <cell r="E1634"/>
          <cell r="F1634"/>
          <cell r="G1634"/>
          <cell r="H1634"/>
          <cell r="I1634"/>
          <cell r="J1634"/>
          <cell r="K1634"/>
          <cell r="L1634"/>
          <cell r="M1634"/>
          <cell r="N1634"/>
        </row>
        <row r="1635">
          <cell r="A1635">
            <v>20231632</v>
          </cell>
          <cell r="B1635"/>
          <cell r="C1635"/>
          <cell r="D1635"/>
          <cell r="E1635"/>
          <cell r="F1635"/>
          <cell r="G1635"/>
          <cell r="H1635"/>
          <cell r="I1635"/>
          <cell r="J1635"/>
          <cell r="K1635"/>
          <cell r="L1635"/>
          <cell r="M1635"/>
          <cell r="N1635"/>
        </row>
        <row r="1636">
          <cell r="A1636">
            <v>20231633</v>
          </cell>
          <cell r="B1636"/>
          <cell r="C1636"/>
          <cell r="D1636"/>
          <cell r="E1636"/>
          <cell r="F1636"/>
          <cell r="G1636"/>
          <cell r="H1636"/>
          <cell r="I1636"/>
          <cell r="J1636"/>
          <cell r="K1636"/>
          <cell r="L1636"/>
          <cell r="M1636"/>
          <cell r="N1636"/>
        </row>
        <row r="1637">
          <cell r="A1637">
            <v>20231634</v>
          </cell>
          <cell r="B1637"/>
          <cell r="C1637"/>
          <cell r="D1637"/>
          <cell r="E1637"/>
          <cell r="F1637"/>
          <cell r="G1637"/>
          <cell r="H1637"/>
          <cell r="I1637"/>
          <cell r="J1637"/>
          <cell r="K1637"/>
          <cell r="L1637"/>
          <cell r="M1637"/>
          <cell r="N1637"/>
        </row>
        <row r="1638">
          <cell r="A1638">
            <v>20231635</v>
          </cell>
          <cell r="B1638"/>
          <cell r="C1638"/>
          <cell r="D1638"/>
          <cell r="E1638"/>
          <cell r="F1638"/>
          <cell r="G1638"/>
          <cell r="H1638"/>
          <cell r="I1638"/>
          <cell r="J1638"/>
          <cell r="K1638"/>
          <cell r="L1638"/>
          <cell r="M1638"/>
          <cell r="N1638"/>
        </row>
        <row r="1639">
          <cell r="A1639">
            <v>20231636</v>
          </cell>
          <cell r="B1639"/>
          <cell r="C1639"/>
          <cell r="D1639"/>
          <cell r="E1639"/>
          <cell r="F1639"/>
          <cell r="G1639"/>
          <cell r="H1639"/>
          <cell r="I1639"/>
          <cell r="J1639"/>
          <cell r="K1639"/>
          <cell r="L1639"/>
          <cell r="M1639"/>
          <cell r="N1639"/>
        </row>
        <row r="1640">
          <cell r="A1640">
            <v>20231637</v>
          </cell>
          <cell r="B1640"/>
          <cell r="C1640"/>
          <cell r="D1640"/>
          <cell r="E1640"/>
          <cell r="F1640"/>
          <cell r="G1640"/>
          <cell r="H1640"/>
          <cell r="I1640"/>
          <cell r="J1640"/>
          <cell r="K1640"/>
          <cell r="L1640"/>
          <cell r="M1640"/>
          <cell r="N1640"/>
        </row>
        <row r="1641">
          <cell r="A1641">
            <v>20231638</v>
          </cell>
          <cell r="B1641"/>
          <cell r="C1641"/>
          <cell r="D1641"/>
          <cell r="E1641"/>
          <cell r="F1641"/>
          <cell r="G1641"/>
          <cell r="H1641"/>
          <cell r="I1641"/>
          <cell r="J1641"/>
          <cell r="K1641"/>
          <cell r="L1641"/>
          <cell r="M1641"/>
          <cell r="N1641"/>
        </row>
        <row r="1642">
          <cell r="A1642">
            <v>20231639</v>
          </cell>
          <cell r="B1642"/>
          <cell r="C1642"/>
          <cell r="D1642"/>
          <cell r="E1642"/>
          <cell r="F1642"/>
          <cell r="G1642"/>
          <cell r="H1642"/>
          <cell r="I1642"/>
          <cell r="J1642"/>
          <cell r="K1642"/>
          <cell r="L1642"/>
          <cell r="M1642"/>
          <cell r="N1642"/>
        </row>
        <row r="1643">
          <cell r="A1643">
            <v>20231640</v>
          </cell>
          <cell r="B1643"/>
          <cell r="C1643"/>
          <cell r="D1643"/>
          <cell r="E1643"/>
          <cell r="F1643"/>
          <cell r="G1643"/>
          <cell r="H1643"/>
          <cell r="I1643"/>
          <cell r="J1643"/>
          <cell r="K1643"/>
          <cell r="L1643"/>
          <cell r="M1643"/>
          <cell r="N1643"/>
        </row>
        <row r="1644">
          <cell r="A1644">
            <v>20231641</v>
          </cell>
          <cell r="B1644"/>
          <cell r="C1644"/>
          <cell r="D1644"/>
          <cell r="E1644"/>
          <cell r="F1644"/>
          <cell r="G1644"/>
          <cell r="H1644"/>
          <cell r="I1644"/>
          <cell r="J1644"/>
          <cell r="K1644"/>
          <cell r="L1644"/>
          <cell r="M1644"/>
          <cell r="N1644"/>
        </row>
        <row r="1645">
          <cell r="A1645">
            <v>20231642</v>
          </cell>
          <cell r="B1645"/>
          <cell r="C1645"/>
          <cell r="D1645"/>
          <cell r="E1645"/>
          <cell r="F1645"/>
          <cell r="G1645"/>
          <cell r="H1645"/>
          <cell r="I1645"/>
          <cell r="J1645"/>
          <cell r="K1645"/>
          <cell r="L1645"/>
          <cell r="M1645"/>
          <cell r="N1645"/>
        </row>
        <row r="1646">
          <cell r="A1646">
            <v>20231643</v>
          </cell>
          <cell r="B1646"/>
          <cell r="C1646"/>
          <cell r="D1646"/>
          <cell r="E1646"/>
          <cell r="F1646"/>
          <cell r="G1646"/>
          <cell r="H1646"/>
          <cell r="I1646"/>
          <cell r="J1646"/>
          <cell r="K1646"/>
          <cell r="L1646"/>
          <cell r="M1646"/>
          <cell r="N1646"/>
        </row>
        <row r="1647">
          <cell r="A1647">
            <v>20231644</v>
          </cell>
          <cell r="B1647"/>
          <cell r="C1647"/>
          <cell r="D1647"/>
          <cell r="E1647"/>
          <cell r="F1647"/>
          <cell r="G1647"/>
          <cell r="H1647"/>
          <cell r="I1647"/>
          <cell r="J1647"/>
          <cell r="K1647"/>
          <cell r="L1647"/>
          <cell r="M1647"/>
          <cell r="N1647"/>
        </row>
        <row r="1648">
          <cell r="A1648">
            <v>20231645</v>
          </cell>
          <cell r="B1648"/>
          <cell r="C1648"/>
          <cell r="D1648"/>
          <cell r="E1648"/>
          <cell r="F1648"/>
          <cell r="G1648"/>
          <cell r="H1648"/>
          <cell r="I1648"/>
          <cell r="J1648"/>
          <cell r="K1648"/>
          <cell r="L1648"/>
          <cell r="M1648"/>
          <cell r="N1648"/>
        </row>
        <row r="1649">
          <cell r="A1649">
            <v>20231646</v>
          </cell>
          <cell r="B1649"/>
          <cell r="C1649"/>
          <cell r="D1649"/>
          <cell r="E1649"/>
          <cell r="F1649"/>
          <cell r="G1649"/>
          <cell r="H1649"/>
          <cell r="I1649"/>
          <cell r="J1649"/>
          <cell r="K1649"/>
          <cell r="L1649"/>
          <cell r="M1649"/>
          <cell r="N1649"/>
        </row>
        <row r="1650">
          <cell r="A1650">
            <v>20231647</v>
          </cell>
          <cell r="B1650"/>
          <cell r="C1650"/>
          <cell r="D1650"/>
          <cell r="E1650"/>
          <cell r="F1650"/>
          <cell r="G1650"/>
          <cell r="H1650"/>
          <cell r="I1650"/>
          <cell r="J1650"/>
          <cell r="K1650"/>
          <cell r="L1650"/>
          <cell r="M1650"/>
          <cell r="N1650"/>
        </row>
        <row r="1651">
          <cell r="A1651">
            <v>20231648</v>
          </cell>
          <cell r="B1651"/>
          <cell r="C1651"/>
          <cell r="D1651"/>
          <cell r="E1651"/>
          <cell r="F1651"/>
          <cell r="G1651"/>
          <cell r="H1651"/>
          <cell r="I1651"/>
          <cell r="J1651"/>
          <cell r="K1651"/>
          <cell r="L1651"/>
          <cell r="M1651"/>
          <cell r="N1651"/>
        </row>
        <row r="1652">
          <cell r="A1652">
            <v>20231649</v>
          </cell>
          <cell r="B1652"/>
          <cell r="C1652"/>
          <cell r="D1652"/>
          <cell r="E1652"/>
          <cell r="F1652"/>
          <cell r="G1652"/>
          <cell r="H1652"/>
          <cell r="I1652"/>
          <cell r="J1652"/>
          <cell r="K1652"/>
          <cell r="L1652"/>
          <cell r="M1652"/>
          <cell r="N1652"/>
        </row>
        <row r="1653">
          <cell r="A1653">
            <v>20231650</v>
          </cell>
          <cell r="B1653"/>
          <cell r="C1653"/>
          <cell r="D1653"/>
          <cell r="E1653"/>
          <cell r="F1653"/>
          <cell r="G1653"/>
          <cell r="H1653"/>
          <cell r="I1653"/>
          <cell r="J1653"/>
          <cell r="K1653"/>
          <cell r="L1653"/>
          <cell r="M1653"/>
          <cell r="N1653"/>
        </row>
        <row r="1654">
          <cell r="A1654">
            <v>20231651</v>
          </cell>
          <cell r="B1654"/>
          <cell r="C1654"/>
          <cell r="D1654"/>
          <cell r="E1654"/>
          <cell r="F1654"/>
          <cell r="G1654"/>
          <cell r="H1654"/>
          <cell r="I1654"/>
          <cell r="J1654"/>
          <cell r="K1654"/>
          <cell r="L1654"/>
          <cell r="M1654"/>
          <cell r="N1654"/>
        </row>
        <row r="1655">
          <cell r="A1655">
            <v>20231652</v>
          </cell>
          <cell r="B1655"/>
          <cell r="C1655"/>
          <cell r="D1655"/>
          <cell r="E1655"/>
          <cell r="F1655"/>
          <cell r="G1655"/>
          <cell r="H1655"/>
          <cell r="I1655"/>
          <cell r="J1655"/>
          <cell r="K1655"/>
          <cell r="L1655"/>
          <cell r="M1655"/>
          <cell r="N1655"/>
        </row>
        <row r="1656">
          <cell r="A1656">
            <v>20231653</v>
          </cell>
          <cell r="B1656"/>
          <cell r="C1656"/>
          <cell r="D1656"/>
          <cell r="E1656"/>
          <cell r="F1656"/>
          <cell r="G1656"/>
          <cell r="H1656"/>
          <cell r="I1656"/>
          <cell r="J1656"/>
          <cell r="K1656"/>
          <cell r="L1656"/>
          <cell r="M1656"/>
          <cell r="N1656"/>
        </row>
        <row r="1657">
          <cell r="A1657">
            <v>20231654</v>
          </cell>
          <cell r="B1657"/>
          <cell r="C1657"/>
          <cell r="D1657"/>
          <cell r="E1657"/>
          <cell r="F1657"/>
          <cell r="G1657"/>
          <cell r="H1657"/>
          <cell r="I1657"/>
          <cell r="J1657"/>
          <cell r="K1657"/>
          <cell r="L1657"/>
          <cell r="M1657"/>
          <cell r="N1657"/>
        </row>
        <row r="1658">
          <cell r="A1658">
            <v>20231655</v>
          </cell>
          <cell r="B1658"/>
          <cell r="C1658"/>
          <cell r="D1658"/>
          <cell r="E1658"/>
          <cell r="F1658"/>
          <cell r="G1658"/>
          <cell r="H1658"/>
          <cell r="I1658"/>
          <cell r="J1658"/>
          <cell r="K1658"/>
          <cell r="L1658"/>
          <cell r="M1658"/>
          <cell r="N1658"/>
        </row>
        <row r="1659">
          <cell r="A1659">
            <v>20231656</v>
          </cell>
          <cell r="B1659"/>
          <cell r="C1659"/>
          <cell r="D1659"/>
          <cell r="E1659"/>
          <cell r="F1659"/>
          <cell r="G1659"/>
          <cell r="H1659"/>
          <cell r="I1659"/>
          <cell r="J1659"/>
          <cell r="K1659"/>
          <cell r="L1659"/>
          <cell r="M1659"/>
          <cell r="N1659"/>
        </row>
        <row r="1660">
          <cell r="A1660">
            <v>20231657</v>
          </cell>
          <cell r="B1660"/>
          <cell r="C1660"/>
          <cell r="D1660"/>
          <cell r="E1660"/>
          <cell r="F1660"/>
          <cell r="G1660"/>
          <cell r="H1660"/>
          <cell r="I1660"/>
          <cell r="J1660"/>
          <cell r="K1660"/>
          <cell r="L1660"/>
          <cell r="M1660"/>
          <cell r="N1660"/>
        </row>
        <row r="1661">
          <cell r="A1661">
            <v>20231658</v>
          </cell>
          <cell r="B1661"/>
          <cell r="C1661"/>
          <cell r="D1661"/>
          <cell r="E1661"/>
          <cell r="F1661"/>
          <cell r="G1661"/>
          <cell r="H1661"/>
          <cell r="I1661"/>
          <cell r="J1661"/>
          <cell r="K1661"/>
          <cell r="L1661"/>
          <cell r="M1661"/>
          <cell r="N1661"/>
        </row>
        <row r="1662">
          <cell r="A1662">
            <v>20231659</v>
          </cell>
          <cell r="B1662"/>
          <cell r="C1662"/>
          <cell r="D1662"/>
          <cell r="E1662"/>
          <cell r="F1662"/>
          <cell r="G1662"/>
          <cell r="H1662"/>
          <cell r="I1662"/>
          <cell r="J1662"/>
          <cell r="K1662"/>
          <cell r="L1662"/>
          <cell r="M1662"/>
          <cell r="N1662"/>
        </row>
        <row r="1663">
          <cell r="A1663">
            <v>20231660</v>
          </cell>
          <cell r="B1663"/>
          <cell r="C1663"/>
          <cell r="D1663"/>
          <cell r="E1663"/>
          <cell r="F1663"/>
          <cell r="G1663"/>
          <cell r="H1663"/>
          <cell r="I1663"/>
          <cell r="J1663"/>
          <cell r="K1663"/>
          <cell r="L1663"/>
          <cell r="M1663"/>
          <cell r="N1663"/>
        </row>
        <row r="1664">
          <cell r="A1664">
            <v>20231661</v>
          </cell>
          <cell r="B1664"/>
          <cell r="C1664"/>
          <cell r="D1664"/>
          <cell r="E1664"/>
          <cell r="F1664"/>
          <cell r="G1664"/>
          <cell r="H1664"/>
          <cell r="I1664"/>
          <cell r="J1664"/>
          <cell r="K1664"/>
          <cell r="L1664"/>
          <cell r="M1664"/>
          <cell r="N1664"/>
        </row>
        <row r="1665">
          <cell r="A1665">
            <v>20231662</v>
          </cell>
          <cell r="B1665"/>
          <cell r="C1665"/>
          <cell r="D1665"/>
          <cell r="E1665"/>
          <cell r="F1665"/>
          <cell r="G1665"/>
          <cell r="H1665"/>
          <cell r="I1665"/>
          <cell r="J1665"/>
          <cell r="K1665"/>
          <cell r="L1665"/>
          <cell r="M1665"/>
          <cell r="N1665"/>
        </row>
        <row r="1666">
          <cell r="A1666">
            <v>20231663</v>
          </cell>
          <cell r="B1666"/>
          <cell r="C1666"/>
          <cell r="D1666"/>
          <cell r="E1666"/>
          <cell r="F1666"/>
          <cell r="G1666"/>
          <cell r="H1666"/>
          <cell r="I1666"/>
          <cell r="J1666"/>
          <cell r="K1666"/>
          <cell r="L1666"/>
          <cell r="M1666"/>
          <cell r="N1666"/>
        </row>
        <row r="1667">
          <cell r="A1667">
            <v>20231664</v>
          </cell>
          <cell r="B1667"/>
          <cell r="C1667"/>
          <cell r="D1667"/>
          <cell r="E1667"/>
          <cell r="F1667"/>
          <cell r="G1667"/>
          <cell r="H1667"/>
          <cell r="I1667"/>
          <cell r="J1667"/>
          <cell r="K1667"/>
          <cell r="L1667"/>
          <cell r="M1667"/>
          <cell r="N1667"/>
        </row>
        <row r="1668">
          <cell r="A1668">
            <v>20231665</v>
          </cell>
          <cell r="B1668"/>
          <cell r="C1668"/>
          <cell r="D1668"/>
          <cell r="E1668"/>
          <cell r="F1668"/>
          <cell r="G1668"/>
          <cell r="H1668"/>
          <cell r="I1668"/>
          <cell r="J1668"/>
          <cell r="K1668"/>
          <cell r="L1668"/>
          <cell r="M1668"/>
          <cell r="N1668"/>
        </row>
        <row r="1669">
          <cell r="A1669">
            <v>20231666</v>
          </cell>
          <cell r="B1669"/>
          <cell r="C1669"/>
          <cell r="D1669"/>
          <cell r="E1669"/>
          <cell r="F1669"/>
          <cell r="G1669"/>
          <cell r="H1669"/>
          <cell r="I1669"/>
          <cell r="J1669"/>
          <cell r="K1669"/>
          <cell r="L1669"/>
          <cell r="M1669"/>
          <cell r="N1669"/>
        </row>
        <row r="1670">
          <cell r="A1670">
            <v>20231667</v>
          </cell>
          <cell r="B1670"/>
          <cell r="C1670"/>
          <cell r="D1670"/>
          <cell r="E1670"/>
          <cell r="F1670"/>
          <cell r="G1670"/>
          <cell r="H1670"/>
          <cell r="I1670"/>
          <cell r="J1670"/>
          <cell r="K1670"/>
          <cell r="L1670"/>
          <cell r="M1670"/>
          <cell r="N1670"/>
        </row>
        <row r="1671">
          <cell r="A1671">
            <v>20231668</v>
          </cell>
          <cell r="B1671"/>
          <cell r="C1671"/>
          <cell r="D1671"/>
          <cell r="E1671"/>
          <cell r="F1671"/>
          <cell r="G1671"/>
          <cell r="H1671"/>
          <cell r="I1671"/>
          <cell r="J1671"/>
          <cell r="K1671"/>
          <cell r="L1671"/>
          <cell r="M1671"/>
          <cell r="N1671"/>
        </row>
        <row r="1672">
          <cell r="A1672">
            <v>20231669</v>
          </cell>
          <cell r="B1672"/>
          <cell r="C1672"/>
          <cell r="D1672"/>
          <cell r="E1672"/>
          <cell r="F1672"/>
          <cell r="G1672"/>
          <cell r="H1672"/>
          <cell r="I1672"/>
          <cell r="J1672"/>
          <cell r="K1672"/>
          <cell r="L1672"/>
          <cell r="M1672"/>
          <cell r="N1672"/>
        </row>
        <row r="1673">
          <cell r="A1673">
            <v>20231670</v>
          </cell>
          <cell r="B1673"/>
          <cell r="C1673"/>
          <cell r="D1673"/>
          <cell r="E1673"/>
          <cell r="F1673"/>
          <cell r="G1673"/>
          <cell r="H1673"/>
          <cell r="I1673"/>
          <cell r="J1673"/>
          <cell r="K1673"/>
          <cell r="L1673"/>
          <cell r="M1673"/>
          <cell r="N1673"/>
        </row>
        <row r="1674">
          <cell r="A1674">
            <v>20231671</v>
          </cell>
          <cell r="B1674"/>
          <cell r="C1674"/>
          <cell r="D1674"/>
          <cell r="E1674"/>
          <cell r="F1674"/>
          <cell r="G1674"/>
          <cell r="H1674"/>
          <cell r="I1674"/>
          <cell r="J1674"/>
          <cell r="K1674"/>
          <cell r="L1674"/>
          <cell r="M1674"/>
          <cell r="N1674"/>
        </row>
        <row r="1675">
          <cell r="A1675">
            <v>20231672</v>
          </cell>
          <cell r="B1675"/>
          <cell r="C1675"/>
          <cell r="D1675"/>
          <cell r="E1675"/>
          <cell r="F1675"/>
          <cell r="G1675"/>
          <cell r="H1675"/>
          <cell r="I1675"/>
          <cell r="J1675"/>
          <cell r="K1675"/>
          <cell r="L1675"/>
          <cell r="M1675"/>
          <cell r="N1675"/>
        </row>
        <row r="1676">
          <cell r="A1676">
            <v>20231673</v>
          </cell>
          <cell r="B1676"/>
          <cell r="C1676"/>
          <cell r="D1676"/>
          <cell r="E1676"/>
          <cell r="F1676"/>
          <cell r="G1676"/>
          <cell r="H1676"/>
          <cell r="I1676"/>
          <cell r="J1676"/>
          <cell r="K1676"/>
          <cell r="L1676"/>
          <cell r="M1676"/>
          <cell r="N1676"/>
        </row>
        <row r="1677">
          <cell r="A1677">
            <v>20231674</v>
          </cell>
          <cell r="B1677"/>
          <cell r="C1677"/>
          <cell r="D1677"/>
          <cell r="E1677"/>
          <cell r="F1677"/>
          <cell r="G1677"/>
          <cell r="H1677"/>
          <cell r="I1677"/>
          <cell r="J1677"/>
          <cell r="K1677"/>
          <cell r="L1677"/>
          <cell r="M1677"/>
          <cell r="N1677"/>
        </row>
        <row r="1678">
          <cell r="A1678">
            <v>20231675</v>
          </cell>
          <cell r="B1678"/>
          <cell r="C1678"/>
          <cell r="D1678"/>
          <cell r="E1678"/>
          <cell r="F1678"/>
          <cell r="G1678"/>
          <cell r="H1678"/>
          <cell r="I1678"/>
          <cell r="J1678"/>
          <cell r="K1678"/>
          <cell r="L1678"/>
          <cell r="M1678"/>
          <cell r="N1678"/>
        </row>
        <row r="1679">
          <cell r="A1679">
            <v>20231676</v>
          </cell>
          <cell r="B1679"/>
          <cell r="C1679"/>
          <cell r="D1679"/>
          <cell r="E1679"/>
          <cell r="F1679"/>
          <cell r="G1679"/>
          <cell r="H1679"/>
          <cell r="I1679"/>
          <cell r="J1679"/>
          <cell r="K1679"/>
          <cell r="L1679"/>
          <cell r="M1679"/>
          <cell r="N1679"/>
        </row>
        <row r="1680">
          <cell r="A1680">
            <v>20231677</v>
          </cell>
          <cell r="B1680"/>
          <cell r="C1680"/>
          <cell r="D1680"/>
          <cell r="E1680"/>
          <cell r="F1680"/>
          <cell r="G1680"/>
          <cell r="H1680"/>
          <cell r="I1680"/>
          <cell r="J1680"/>
          <cell r="K1680"/>
          <cell r="L1680"/>
          <cell r="M1680"/>
          <cell r="N1680"/>
        </row>
        <row r="1681">
          <cell r="A1681">
            <v>20231678</v>
          </cell>
          <cell r="B1681"/>
          <cell r="C1681"/>
          <cell r="D1681"/>
          <cell r="E1681"/>
          <cell r="F1681"/>
          <cell r="G1681"/>
          <cell r="H1681"/>
          <cell r="I1681"/>
          <cell r="J1681"/>
          <cell r="K1681"/>
          <cell r="L1681"/>
          <cell r="M1681"/>
          <cell r="N1681"/>
        </row>
        <row r="1682">
          <cell r="A1682">
            <v>20231679</v>
          </cell>
          <cell r="B1682"/>
          <cell r="C1682"/>
          <cell r="D1682"/>
          <cell r="E1682"/>
          <cell r="F1682"/>
          <cell r="G1682"/>
          <cell r="H1682"/>
          <cell r="I1682"/>
          <cell r="J1682"/>
          <cell r="K1682"/>
          <cell r="L1682"/>
          <cell r="M1682"/>
          <cell r="N1682"/>
        </row>
        <row r="1683">
          <cell r="A1683">
            <v>20231680</v>
          </cell>
          <cell r="B1683"/>
          <cell r="C1683"/>
          <cell r="D1683"/>
          <cell r="E1683"/>
          <cell r="F1683"/>
          <cell r="G1683"/>
          <cell r="H1683"/>
          <cell r="I1683"/>
          <cell r="J1683"/>
          <cell r="K1683"/>
          <cell r="L1683"/>
          <cell r="M1683"/>
          <cell r="N1683"/>
        </row>
        <row r="1684">
          <cell r="A1684">
            <v>20231681</v>
          </cell>
          <cell r="B1684"/>
          <cell r="C1684"/>
          <cell r="D1684"/>
          <cell r="E1684"/>
          <cell r="F1684"/>
          <cell r="G1684"/>
          <cell r="H1684"/>
          <cell r="I1684"/>
          <cell r="J1684"/>
          <cell r="K1684"/>
          <cell r="L1684"/>
          <cell r="M1684"/>
          <cell r="N1684"/>
        </row>
        <row r="1685">
          <cell r="A1685">
            <v>20231682</v>
          </cell>
          <cell r="B1685"/>
          <cell r="C1685"/>
          <cell r="D1685"/>
          <cell r="E1685"/>
          <cell r="F1685"/>
          <cell r="G1685"/>
          <cell r="H1685"/>
          <cell r="I1685"/>
          <cell r="J1685"/>
          <cell r="K1685"/>
          <cell r="L1685"/>
          <cell r="M1685"/>
          <cell r="N1685"/>
        </row>
        <row r="1686">
          <cell r="A1686">
            <v>20231683</v>
          </cell>
          <cell r="B1686"/>
          <cell r="C1686"/>
          <cell r="D1686"/>
          <cell r="E1686"/>
          <cell r="F1686"/>
          <cell r="G1686"/>
          <cell r="H1686"/>
          <cell r="I1686"/>
          <cell r="J1686"/>
          <cell r="K1686"/>
          <cell r="L1686"/>
          <cell r="M1686"/>
          <cell r="N1686"/>
        </row>
        <row r="1687">
          <cell r="A1687">
            <v>20231684</v>
          </cell>
          <cell r="B1687"/>
          <cell r="C1687"/>
          <cell r="D1687"/>
          <cell r="E1687"/>
          <cell r="F1687"/>
          <cell r="G1687"/>
          <cell r="H1687"/>
          <cell r="I1687"/>
          <cell r="J1687"/>
          <cell r="K1687"/>
          <cell r="L1687"/>
          <cell r="M1687"/>
          <cell r="N1687"/>
        </row>
        <row r="1688">
          <cell r="A1688">
            <v>20231685</v>
          </cell>
          <cell r="B1688"/>
          <cell r="C1688"/>
          <cell r="D1688"/>
          <cell r="E1688"/>
          <cell r="F1688"/>
          <cell r="G1688"/>
          <cell r="H1688"/>
          <cell r="I1688"/>
          <cell r="J1688"/>
          <cell r="K1688"/>
          <cell r="L1688"/>
          <cell r="M1688"/>
          <cell r="N1688"/>
        </row>
        <row r="1689">
          <cell r="A1689">
            <v>20231686</v>
          </cell>
          <cell r="B1689"/>
          <cell r="C1689"/>
          <cell r="D1689"/>
          <cell r="E1689"/>
          <cell r="F1689"/>
          <cell r="G1689"/>
          <cell r="H1689"/>
          <cell r="I1689"/>
          <cell r="J1689"/>
          <cell r="K1689"/>
          <cell r="L1689"/>
          <cell r="M1689"/>
          <cell r="N1689"/>
        </row>
        <row r="1690">
          <cell r="A1690">
            <v>20231687</v>
          </cell>
          <cell r="B1690"/>
          <cell r="C1690"/>
          <cell r="D1690"/>
          <cell r="E1690"/>
          <cell r="F1690"/>
          <cell r="G1690"/>
          <cell r="H1690"/>
          <cell r="I1690"/>
          <cell r="J1690"/>
          <cell r="K1690"/>
          <cell r="L1690"/>
          <cell r="M1690"/>
          <cell r="N1690"/>
        </row>
        <row r="1691">
          <cell r="A1691">
            <v>20231688</v>
          </cell>
          <cell r="B1691"/>
          <cell r="C1691"/>
          <cell r="D1691"/>
          <cell r="E1691"/>
          <cell r="F1691"/>
          <cell r="G1691"/>
          <cell r="H1691"/>
          <cell r="I1691"/>
          <cell r="J1691"/>
          <cell r="K1691"/>
          <cell r="L1691"/>
          <cell r="M1691"/>
          <cell r="N1691"/>
        </row>
        <row r="1692">
          <cell r="A1692">
            <v>20231689</v>
          </cell>
          <cell r="B1692"/>
          <cell r="C1692"/>
          <cell r="D1692"/>
          <cell r="E1692"/>
          <cell r="F1692"/>
          <cell r="G1692"/>
          <cell r="H1692"/>
          <cell r="I1692"/>
          <cell r="J1692"/>
          <cell r="K1692"/>
          <cell r="L1692"/>
          <cell r="M1692"/>
          <cell r="N1692"/>
        </row>
        <row r="1693">
          <cell r="A1693">
            <v>20231690</v>
          </cell>
          <cell r="B1693"/>
          <cell r="C1693"/>
          <cell r="D1693"/>
          <cell r="E1693"/>
          <cell r="F1693"/>
          <cell r="G1693"/>
          <cell r="H1693"/>
          <cell r="I1693"/>
          <cell r="J1693"/>
          <cell r="K1693"/>
          <cell r="L1693"/>
          <cell r="M1693"/>
          <cell r="N1693"/>
        </row>
        <row r="1694">
          <cell r="A1694">
            <v>20231691</v>
          </cell>
          <cell r="B1694"/>
          <cell r="C1694"/>
          <cell r="D1694"/>
          <cell r="E1694"/>
          <cell r="F1694"/>
          <cell r="G1694"/>
          <cell r="H1694"/>
          <cell r="I1694"/>
          <cell r="J1694"/>
          <cell r="K1694"/>
          <cell r="L1694"/>
          <cell r="M1694"/>
          <cell r="N1694"/>
        </row>
        <row r="1695">
          <cell r="A1695">
            <v>20231692</v>
          </cell>
          <cell r="B1695"/>
          <cell r="C1695"/>
          <cell r="D1695"/>
          <cell r="E1695"/>
          <cell r="F1695"/>
          <cell r="G1695"/>
          <cell r="H1695"/>
          <cell r="I1695"/>
          <cell r="J1695"/>
          <cell r="K1695"/>
          <cell r="L1695"/>
          <cell r="M1695"/>
          <cell r="N1695"/>
        </row>
        <row r="1696">
          <cell r="A1696">
            <v>20231693</v>
          </cell>
          <cell r="B1696"/>
          <cell r="C1696"/>
          <cell r="D1696"/>
          <cell r="E1696"/>
          <cell r="F1696"/>
          <cell r="G1696"/>
          <cell r="H1696"/>
          <cell r="I1696"/>
          <cell r="J1696"/>
          <cell r="K1696"/>
          <cell r="L1696"/>
          <cell r="M1696"/>
          <cell r="N1696"/>
        </row>
        <row r="1697">
          <cell r="A1697">
            <v>20231694</v>
          </cell>
          <cell r="B1697"/>
          <cell r="C1697"/>
          <cell r="D1697"/>
          <cell r="E1697"/>
          <cell r="F1697"/>
          <cell r="G1697"/>
          <cell r="H1697"/>
          <cell r="I1697"/>
          <cell r="J1697"/>
          <cell r="K1697"/>
          <cell r="L1697"/>
          <cell r="M1697"/>
          <cell r="N1697"/>
        </row>
        <row r="1698">
          <cell r="A1698">
            <v>20231695</v>
          </cell>
          <cell r="B1698"/>
          <cell r="C1698"/>
          <cell r="D1698"/>
          <cell r="E1698"/>
          <cell r="F1698"/>
          <cell r="G1698"/>
          <cell r="H1698"/>
          <cell r="I1698"/>
          <cell r="J1698"/>
          <cell r="K1698"/>
          <cell r="L1698"/>
          <cell r="M1698"/>
          <cell r="N1698"/>
        </row>
        <row r="1699">
          <cell r="A1699">
            <v>20231696</v>
          </cell>
          <cell r="B1699"/>
          <cell r="C1699"/>
          <cell r="D1699"/>
          <cell r="E1699"/>
          <cell r="F1699"/>
          <cell r="G1699"/>
          <cell r="H1699"/>
          <cell r="I1699"/>
          <cell r="J1699"/>
          <cell r="K1699"/>
          <cell r="L1699"/>
          <cell r="M1699"/>
          <cell r="N1699"/>
        </row>
        <row r="1700">
          <cell r="A1700">
            <v>20231697</v>
          </cell>
          <cell r="B1700"/>
          <cell r="C1700"/>
          <cell r="D1700"/>
          <cell r="E1700"/>
          <cell r="F1700"/>
          <cell r="G1700"/>
          <cell r="H1700"/>
          <cell r="I1700"/>
          <cell r="J1700"/>
          <cell r="K1700"/>
          <cell r="L1700"/>
          <cell r="M1700"/>
          <cell r="N1700"/>
        </row>
        <row r="1701">
          <cell r="A1701">
            <v>20231698</v>
          </cell>
          <cell r="B1701"/>
          <cell r="C1701"/>
          <cell r="D1701"/>
          <cell r="E1701"/>
          <cell r="F1701"/>
          <cell r="G1701"/>
          <cell r="H1701"/>
          <cell r="I1701"/>
          <cell r="J1701"/>
          <cell r="K1701"/>
          <cell r="L1701"/>
          <cell r="M1701"/>
          <cell r="N1701"/>
        </row>
        <row r="1702">
          <cell r="A1702">
            <v>20231699</v>
          </cell>
          <cell r="B1702"/>
          <cell r="C1702"/>
          <cell r="D1702"/>
          <cell r="E1702"/>
          <cell r="F1702"/>
          <cell r="G1702"/>
          <cell r="H1702"/>
          <cell r="I1702"/>
          <cell r="J1702"/>
          <cell r="K1702"/>
          <cell r="L1702"/>
          <cell r="M1702"/>
          <cell r="N1702"/>
        </row>
        <row r="1703">
          <cell r="A1703">
            <v>20231700</v>
          </cell>
          <cell r="B1703"/>
          <cell r="C1703"/>
          <cell r="D1703"/>
          <cell r="E1703"/>
          <cell r="F1703"/>
          <cell r="G1703"/>
          <cell r="H1703"/>
          <cell r="I1703"/>
          <cell r="J1703"/>
          <cell r="K1703"/>
          <cell r="L1703"/>
          <cell r="M1703"/>
          <cell r="N1703"/>
        </row>
        <row r="1704">
          <cell r="A1704">
            <v>20231701</v>
          </cell>
          <cell r="B1704"/>
          <cell r="C1704"/>
          <cell r="D1704"/>
          <cell r="E1704"/>
          <cell r="F1704"/>
          <cell r="G1704"/>
          <cell r="H1704"/>
          <cell r="I1704"/>
          <cell r="J1704"/>
          <cell r="K1704"/>
          <cell r="L1704"/>
          <cell r="M1704"/>
          <cell r="N1704"/>
        </row>
        <row r="1705">
          <cell r="A1705">
            <v>20231702</v>
          </cell>
          <cell r="B1705"/>
          <cell r="C1705"/>
          <cell r="D1705"/>
          <cell r="E1705"/>
          <cell r="F1705"/>
          <cell r="G1705"/>
          <cell r="H1705"/>
          <cell r="I1705"/>
          <cell r="J1705"/>
          <cell r="K1705"/>
          <cell r="L1705"/>
          <cell r="M1705"/>
          <cell r="N1705"/>
        </row>
        <row r="1706">
          <cell r="A1706">
            <v>20231703</v>
          </cell>
          <cell r="B1706"/>
          <cell r="C1706"/>
          <cell r="D1706"/>
          <cell r="E1706"/>
          <cell r="F1706"/>
          <cell r="G1706"/>
          <cell r="H1706"/>
          <cell r="I1706"/>
          <cell r="J1706"/>
          <cell r="K1706"/>
          <cell r="L1706"/>
          <cell r="M1706"/>
          <cell r="N1706"/>
        </row>
        <row r="1707">
          <cell r="A1707">
            <v>20231704</v>
          </cell>
          <cell r="B1707"/>
          <cell r="C1707"/>
          <cell r="D1707"/>
          <cell r="E1707"/>
          <cell r="F1707"/>
          <cell r="G1707"/>
          <cell r="H1707"/>
          <cell r="I1707"/>
          <cell r="J1707"/>
          <cell r="K1707"/>
          <cell r="L1707"/>
          <cell r="M1707"/>
          <cell r="N1707"/>
        </row>
        <row r="1708">
          <cell r="A1708">
            <v>20231705</v>
          </cell>
          <cell r="B1708"/>
          <cell r="C1708"/>
          <cell r="D1708"/>
          <cell r="E1708"/>
          <cell r="F1708"/>
          <cell r="G1708"/>
          <cell r="H1708"/>
          <cell r="I1708"/>
          <cell r="J1708"/>
          <cell r="K1708"/>
          <cell r="L1708"/>
          <cell r="M1708"/>
          <cell r="N1708"/>
        </row>
        <row r="1709">
          <cell r="A1709">
            <v>20231706</v>
          </cell>
          <cell r="B1709"/>
          <cell r="C1709"/>
          <cell r="D1709"/>
          <cell r="E1709"/>
          <cell r="F1709"/>
          <cell r="G1709"/>
          <cell r="H1709"/>
          <cell r="I1709"/>
          <cell r="J1709"/>
          <cell r="K1709"/>
          <cell r="L1709"/>
          <cell r="M1709"/>
          <cell r="N1709"/>
        </row>
        <row r="1710">
          <cell r="A1710">
            <v>20231707</v>
          </cell>
          <cell r="B1710"/>
          <cell r="C1710"/>
          <cell r="D1710"/>
          <cell r="E1710"/>
          <cell r="F1710"/>
          <cell r="G1710"/>
          <cell r="H1710"/>
          <cell r="I1710"/>
          <cell r="J1710"/>
          <cell r="K1710"/>
          <cell r="L1710"/>
          <cell r="M1710"/>
          <cell r="N1710"/>
        </row>
        <row r="1711">
          <cell r="A1711">
            <v>20231708</v>
          </cell>
          <cell r="B1711"/>
          <cell r="C1711"/>
          <cell r="D1711"/>
          <cell r="E1711"/>
          <cell r="F1711"/>
          <cell r="G1711"/>
          <cell r="H1711"/>
          <cell r="I1711"/>
          <cell r="J1711"/>
          <cell r="K1711"/>
          <cell r="L1711"/>
          <cell r="M1711"/>
          <cell r="N1711"/>
        </row>
        <row r="1712">
          <cell r="A1712">
            <v>20231709</v>
          </cell>
          <cell r="B1712"/>
          <cell r="C1712"/>
          <cell r="D1712"/>
          <cell r="E1712"/>
          <cell r="F1712"/>
          <cell r="G1712"/>
          <cell r="H1712"/>
          <cell r="I1712"/>
          <cell r="J1712"/>
          <cell r="K1712"/>
          <cell r="L1712"/>
          <cell r="M1712"/>
          <cell r="N1712"/>
        </row>
        <row r="1713">
          <cell r="A1713">
            <v>20231710</v>
          </cell>
          <cell r="B1713"/>
          <cell r="C1713"/>
          <cell r="D1713"/>
          <cell r="E1713"/>
          <cell r="F1713"/>
          <cell r="G1713"/>
          <cell r="H1713"/>
          <cell r="I1713"/>
          <cell r="J1713"/>
          <cell r="K1713"/>
          <cell r="L1713"/>
          <cell r="M1713"/>
          <cell r="N1713"/>
        </row>
        <row r="1714">
          <cell r="A1714">
            <v>20231711</v>
          </cell>
          <cell r="B1714"/>
          <cell r="C1714"/>
          <cell r="D1714"/>
          <cell r="E1714"/>
          <cell r="F1714"/>
          <cell r="G1714"/>
          <cell r="H1714"/>
          <cell r="I1714"/>
          <cell r="J1714"/>
          <cell r="K1714"/>
          <cell r="L1714"/>
          <cell r="M1714"/>
          <cell r="N1714"/>
        </row>
        <row r="1715">
          <cell r="A1715">
            <v>20231712</v>
          </cell>
          <cell r="B1715"/>
          <cell r="C1715"/>
          <cell r="D1715"/>
          <cell r="E1715"/>
          <cell r="F1715"/>
          <cell r="G1715"/>
          <cell r="H1715"/>
          <cell r="I1715"/>
          <cell r="J1715"/>
          <cell r="K1715"/>
          <cell r="L1715"/>
          <cell r="M1715"/>
          <cell r="N1715"/>
        </row>
        <row r="1716">
          <cell r="A1716">
            <v>20231713</v>
          </cell>
          <cell r="B1716"/>
          <cell r="C1716"/>
          <cell r="D1716"/>
          <cell r="E1716"/>
          <cell r="F1716"/>
          <cell r="G1716"/>
          <cell r="H1716"/>
          <cell r="I1716"/>
          <cell r="J1716"/>
          <cell r="K1716"/>
          <cell r="L1716"/>
          <cell r="M1716"/>
          <cell r="N1716"/>
        </row>
        <row r="1717">
          <cell r="A1717">
            <v>20231714</v>
          </cell>
          <cell r="B1717"/>
          <cell r="C1717"/>
          <cell r="D1717"/>
          <cell r="E1717"/>
          <cell r="F1717"/>
          <cell r="G1717"/>
          <cell r="H1717"/>
          <cell r="I1717"/>
          <cell r="J1717"/>
          <cell r="K1717"/>
          <cell r="L1717"/>
          <cell r="M1717"/>
          <cell r="N1717"/>
        </row>
        <row r="1718">
          <cell r="A1718">
            <v>20231715</v>
          </cell>
          <cell r="B1718"/>
          <cell r="C1718"/>
          <cell r="D1718"/>
          <cell r="E1718"/>
          <cell r="F1718"/>
          <cell r="G1718"/>
          <cell r="H1718"/>
          <cell r="I1718"/>
          <cell r="J1718"/>
          <cell r="K1718"/>
          <cell r="L1718"/>
          <cell r="M1718"/>
          <cell r="N1718"/>
        </row>
        <row r="1719">
          <cell r="A1719">
            <v>20231716</v>
          </cell>
          <cell r="B1719"/>
          <cell r="C1719"/>
          <cell r="D1719"/>
          <cell r="E1719"/>
          <cell r="F1719"/>
          <cell r="G1719"/>
          <cell r="H1719"/>
          <cell r="I1719"/>
          <cell r="J1719"/>
          <cell r="K1719"/>
          <cell r="L1719"/>
          <cell r="M1719"/>
          <cell r="N1719"/>
        </row>
        <row r="1720">
          <cell r="A1720">
            <v>20231717</v>
          </cell>
          <cell r="B1720"/>
          <cell r="C1720"/>
          <cell r="D1720"/>
          <cell r="E1720"/>
          <cell r="F1720"/>
          <cell r="G1720"/>
          <cell r="H1720"/>
          <cell r="I1720"/>
          <cell r="J1720"/>
          <cell r="K1720"/>
          <cell r="L1720"/>
          <cell r="M1720"/>
          <cell r="N1720"/>
        </row>
        <row r="1721">
          <cell r="A1721">
            <v>20231718</v>
          </cell>
          <cell r="B1721"/>
          <cell r="C1721"/>
          <cell r="D1721"/>
          <cell r="E1721"/>
          <cell r="F1721"/>
          <cell r="G1721"/>
          <cell r="H1721"/>
          <cell r="I1721"/>
          <cell r="J1721"/>
          <cell r="K1721"/>
          <cell r="L1721"/>
          <cell r="M1721"/>
          <cell r="N1721"/>
        </row>
        <row r="1722">
          <cell r="A1722">
            <v>20231719</v>
          </cell>
          <cell r="B1722"/>
          <cell r="C1722"/>
          <cell r="D1722"/>
          <cell r="E1722"/>
          <cell r="F1722"/>
          <cell r="G1722"/>
          <cell r="H1722"/>
          <cell r="I1722"/>
          <cell r="J1722"/>
          <cell r="K1722"/>
          <cell r="L1722"/>
          <cell r="M1722"/>
          <cell r="N1722"/>
        </row>
        <row r="1723">
          <cell r="A1723">
            <v>20231720</v>
          </cell>
          <cell r="B1723"/>
          <cell r="C1723"/>
          <cell r="D1723"/>
          <cell r="E1723"/>
          <cell r="F1723"/>
          <cell r="G1723"/>
          <cell r="H1723"/>
          <cell r="I1723"/>
          <cell r="J1723"/>
          <cell r="K1723"/>
          <cell r="L1723"/>
          <cell r="M1723"/>
          <cell r="N1723"/>
        </row>
        <row r="1724">
          <cell r="A1724">
            <v>20231721</v>
          </cell>
          <cell r="B1724"/>
          <cell r="C1724"/>
          <cell r="D1724"/>
          <cell r="E1724"/>
          <cell r="F1724"/>
          <cell r="G1724"/>
          <cell r="H1724"/>
          <cell r="I1724"/>
          <cell r="J1724"/>
          <cell r="K1724"/>
          <cell r="L1724"/>
          <cell r="M1724"/>
          <cell r="N1724"/>
        </row>
        <row r="1725">
          <cell r="A1725">
            <v>20231722</v>
          </cell>
          <cell r="B1725"/>
          <cell r="C1725"/>
          <cell r="D1725"/>
          <cell r="E1725"/>
          <cell r="F1725"/>
          <cell r="G1725"/>
          <cell r="H1725"/>
          <cell r="I1725"/>
          <cell r="J1725"/>
          <cell r="K1725"/>
          <cell r="L1725"/>
          <cell r="M1725"/>
          <cell r="N1725"/>
        </row>
        <row r="1726">
          <cell r="A1726">
            <v>20231723</v>
          </cell>
          <cell r="B1726"/>
          <cell r="C1726"/>
          <cell r="D1726"/>
          <cell r="E1726"/>
          <cell r="F1726"/>
          <cell r="G1726"/>
          <cell r="H1726"/>
          <cell r="I1726"/>
          <cell r="J1726"/>
          <cell r="K1726"/>
          <cell r="L1726"/>
          <cell r="M1726"/>
          <cell r="N1726"/>
        </row>
        <row r="1727">
          <cell r="A1727">
            <v>20231724</v>
          </cell>
          <cell r="B1727"/>
          <cell r="C1727"/>
          <cell r="D1727"/>
          <cell r="E1727"/>
          <cell r="F1727"/>
          <cell r="G1727"/>
          <cell r="H1727"/>
          <cell r="I1727"/>
          <cell r="J1727"/>
          <cell r="K1727"/>
          <cell r="L1727"/>
          <cell r="M1727"/>
          <cell r="N1727"/>
        </row>
        <row r="1728">
          <cell r="A1728">
            <v>20231725</v>
          </cell>
          <cell r="B1728"/>
          <cell r="C1728"/>
          <cell r="D1728"/>
          <cell r="E1728"/>
          <cell r="F1728"/>
          <cell r="G1728"/>
          <cell r="H1728"/>
          <cell r="I1728"/>
          <cell r="J1728"/>
          <cell r="K1728"/>
          <cell r="L1728"/>
          <cell r="M1728"/>
          <cell r="N1728"/>
        </row>
        <row r="1729">
          <cell r="A1729">
            <v>20231726</v>
          </cell>
          <cell r="B1729"/>
          <cell r="C1729"/>
          <cell r="D1729"/>
          <cell r="E1729"/>
          <cell r="F1729"/>
          <cell r="G1729"/>
          <cell r="H1729"/>
          <cell r="I1729"/>
          <cell r="J1729"/>
          <cell r="K1729"/>
          <cell r="L1729"/>
          <cell r="M1729"/>
          <cell r="N1729"/>
        </row>
        <row r="1730">
          <cell r="A1730">
            <v>20231727</v>
          </cell>
          <cell r="B1730"/>
          <cell r="C1730"/>
          <cell r="D1730"/>
          <cell r="E1730"/>
          <cell r="F1730"/>
          <cell r="G1730"/>
          <cell r="H1730"/>
          <cell r="I1730"/>
          <cell r="J1730"/>
          <cell r="K1730"/>
          <cell r="L1730"/>
          <cell r="M1730"/>
          <cell r="N1730"/>
        </row>
        <row r="1731">
          <cell r="A1731">
            <v>20231728</v>
          </cell>
          <cell r="B1731"/>
          <cell r="C1731"/>
          <cell r="D1731"/>
          <cell r="E1731"/>
          <cell r="F1731"/>
          <cell r="G1731"/>
          <cell r="H1731"/>
          <cell r="I1731"/>
          <cell r="J1731"/>
          <cell r="K1731"/>
          <cell r="L1731"/>
          <cell r="M1731"/>
          <cell r="N1731"/>
        </row>
        <row r="1732">
          <cell r="A1732">
            <v>20231729</v>
          </cell>
          <cell r="B1732"/>
          <cell r="C1732"/>
          <cell r="D1732"/>
          <cell r="E1732"/>
          <cell r="F1732"/>
          <cell r="G1732"/>
          <cell r="H1732"/>
          <cell r="I1732"/>
          <cell r="J1732"/>
          <cell r="K1732"/>
          <cell r="L1732"/>
          <cell r="M1732"/>
          <cell r="N1732"/>
        </row>
        <row r="1733">
          <cell r="A1733">
            <v>20231730</v>
          </cell>
          <cell r="B1733"/>
          <cell r="C1733"/>
          <cell r="D1733"/>
          <cell r="E1733"/>
          <cell r="F1733"/>
          <cell r="G1733"/>
          <cell r="H1733"/>
          <cell r="I1733"/>
          <cell r="J1733"/>
          <cell r="K1733"/>
          <cell r="L1733"/>
          <cell r="M1733"/>
          <cell r="N1733"/>
        </row>
        <row r="1734">
          <cell r="A1734">
            <v>20231731</v>
          </cell>
          <cell r="B1734"/>
          <cell r="C1734"/>
          <cell r="D1734"/>
          <cell r="E1734"/>
          <cell r="F1734"/>
          <cell r="G1734"/>
          <cell r="H1734"/>
          <cell r="I1734"/>
          <cell r="J1734"/>
          <cell r="K1734"/>
          <cell r="L1734"/>
          <cell r="M1734"/>
          <cell r="N1734"/>
        </row>
        <row r="1735">
          <cell r="A1735">
            <v>20231732</v>
          </cell>
          <cell r="B1735"/>
          <cell r="C1735"/>
          <cell r="D1735"/>
          <cell r="E1735"/>
          <cell r="F1735"/>
          <cell r="G1735"/>
          <cell r="H1735"/>
          <cell r="I1735"/>
          <cell r="J1735"/>
          <cell r="K1735"/>
          <cell r="L1735"/>
          <cell r="M1735"/>
          <cell r="N1735"/>
        </row>
        <row r="1736">
          <cell r="A1736">
            <v>20231733</v>
          </cell>
          <cell r="B1736"/>
          <cell r="C1736"/>
          <cell r="D1736"/>
          <cell r="E1736"/>
          <cell r="F1736"/>
          <cell r="G1736"/>
          <cell r="H1736"/>
          <cell r="I1736"/>
          <cell r="J1736"/>
          <cell r="K1736"/>
          <cell r="L1736"/>
          <cell r="M1736"/>
          <cell r="N1736"/>
        </row>
        <row r="1737">
          <cell r="A1737">
            <v>20231734</v>
          </cell>
          <cell r="B1737"/>
          <cell r="C1737"/>
          <cell r="D1737"/>
          <cell r="E1737"/>
          <cell r="F1737"/>
          <cell r="G1737"/>
          <cell r="H1737"/>
          <cell r="I1737"/>
          <cell r="J1737"/>
          <cell r="K1737"/>
          <cell r="L1737"/>
          <cell r="M1737"/>
          <cell r="N1737"/>
        </row>
        <row r="1738">
          <cell r="A1738">
            <v>20231735</v>
          </cell>
          <cell r="B1738"/>
          <cell r="C1738"/>
          <cell r="D1738"/>
          <cell r="E1738"/>
          <cell r="F1738"/>
          <cell r="G1738"/>
          <cell r="H1738"/>
          <cell r="I1738"/>
          <cell r="J1738"/>
          <cell r="K1738"/>
          <cell r="L1738"/>
          <cell r="M1738"/>
          <cell r="N1738"/>
        </row>
        <row r="1739">
          <cell r="A1739">
            <v>20231736</v>
          </cell>
          <cell r="B1739"/>
          <cell r="C1739"/>
          <cell r="D1739"/>
          <cell r="E1739"/>
          <cell r="F1739"/>
          <cell r="G1739"/>
          <cell r="H1739"/>
          <cell r="I1739"/>
          <cell r="J1739"/>
          <cell r="K1739"/>
          <cell r="L1739"/>
          <cell r="M1739"/>
          <cell r="N1739"/>
        </row>
        <row r="1740">
          <cell r="A1740">
            <v>20231737</v>
          </cell>
          <cell r="B1740"/>
          <cell r="C1740"/>
          <cell r="D1740"/>
          <cell r="E1740"/>
          <cell r="F1740"/>
          <cell r="G1740"/>
          <cell r="H1740"/>
          <cell r="I1740"/>
          <cell r="J1740"/>
          <cell r="K1740"/>
          <cell r="L1740"/>
          <cell r="M1740"/>
          <cell r="N1740"/>
        </row>
        <row r="1741">
          <cell r="A1741">
            <v>20231738</v>
          </cell>
          <cell r="B1741"/>
          <cell r="C1741"/>
          <cell r="D1741"/>
          <cell r="E1741"/>
          <cell r="F1741"/>
          <cell r="G1741"/>
          <cell r="H1741"/>
          <cell r="I1741"/>
          <cell r="J1741"/>
          <cell r="K1741"/>
          <cell r="L1741"/>
          <cell r="M1741"/>
          <cell r="N1741"/>
        </row>
        <row r="1742">
          <cell r="A1742">
            <v>20231739</v>
          </cell>
          <cell r="B1742"/>
          <cell r="C1742"/>
          <cell r="D1742"/>
          <cell r="E1742"/>
          <cell r="F1742"/>
          <cell r="G1742"/>
          <cell r="H1742"/>
          <cell r="I1742"/>
          <cell r="J1742"/>
          <cell r="K1742"/>
          <cell r="L1742"/>
          <cell r="M1742"/>
          <cell r="N1742"/>
        </row>
        <row r="1743">
          <cell r="A1743">
            <v>20231740</v>
          </cell>
          <cell r="B1743"/>
          <cell r="C1743"/>
          <cell r="D1743"/>
          <cell r="E1743"/>
          <cell r="F1743"/>
          <cell r="G1743"/>
          <cell r="H1743"/>
          <cell r="I1743"/>
          <cell r="J1743"/>
          <cell r="K1743"/>
          <cell r="L1743"/>
          <cell r="M1743"/>
          <cell r="N1743"/>
        </row>
        <row r="1744">
          <cell r="A1744">
            <v>20231741</v>
          </cell>
          <cell r="B1744"/>
          <cell r="C1744"/>
          <cell r="D1744"/>
          <cell r="E1744"/>
          <cell r="F1744"/>
          <cell r="G1744"/>
          <cell r="H1744"/>
          <cell r="I1744"/>
          <cell r="J1744"/>
          <cell r="K1744"/>
          <cell r="L1744"/>
          <cell r="M1744"/>
          <cell r="N1744"/>
        </row>
        <row r="1745">
          <cell r="A1745">
            <v>20231742</v>
          </cell>
          <cell r="B1745"/>
          <cell r="C1745"/>
          <cell r="D1745"/>
          <cell r="E1745"/>
          <cell r="F1745"/>
          <cell r="G1745"/>
          <cell r="H1745"/>
          <cell r="I1745"/>
          <cell r="J1745"/>
          <cell r="K1745"/>
          <cell r="L1745"/>
          <cell r="M1745"/>
          <cell r="N1745"/>
        </row>
        <row r="1746">
          <cell r="A1746">
            <v>20231743</v>
          </cell>
          <cell r="B1746"/>
          <cell r="C1746"/>
          <cell r="D1746"/>
          <cell r="E1746"/>
          <cell r="F1746"/>
          <cell r="G1746"/>
          <cell r="H1746"/>
          <cell r="I1746"/>
          <cell r="J1746"/>
          <cell r="K1746"/>
          <cell r="L1746"/>
          <cell r="M1746"/>
          <cell r="N1746"/>
        </row>
        <row r="1747">
          <cell r="A1747">
            <v>20231744</v>
          </cell>
          <cell r="B1747"/>
          <cell r="C1747"/>
          <cell r="D1747"/>
          <cell r="E1747"/>
          <cell r="F1747"/>
          <cell r="G1747"/>
          <cell r="H1747"/>
          <cell r="I1747"/>
          <cell r="J1747"/>
          <cell r="K1747"/>
          <cell r="L1747"/>
          <cell r="M1747"/>
          <cell r="N1747"/>
        </row>
        <row r="1748">
          <cell r="A1748">
            <v>20231745</v>
          </cell>
          <cell r="B1748"/>
          <cell r="C1748"/>
          <cell r="D1748"/>
          <cell r="E1748"/>
          <cell r="F1748"/>
          <cell r="G1748"/>
          <cell r="H1748"/>
          <cell r="I1748"/>
          <cell r="J1748"/>
          <cell r="K1748"/>
          <cell r="L1748"/>
          <cell r="M1748"/>
          <cell r="N1748"/>
        </row>
        <row r="1749">
          <cell r="A1749">
            <v>20231746</v>
          </cell>
          <cell r="B1749"/>
          <cell r="C1749"/>
          <cell r="D1749"/>
          <cell r="E1749"/>
          <cell r="F1749"/>
          <cell r="G1749"/>
          <cell r="H1749"/>
          <cell r="I1749"/>
          <cell r="J1749"/>
          <cell r="K1749"/>
          <cell r="L1749"/>
          <cell r="M1749"/>
          <cell r="N1749"/>
        </row>
        <row r="1750">
          <cell r="A1750">
            <v>20231747</v>
          </cell>
          <cell r="B1750"/>
          <cell r="C1750"/>
          <cell r="D1750"/>
          <cell r="E1750"/>
          <cell r="F1750"/>
          <cell r="G1750"/>
          <cell r="H1750"/>
          <cell r="I1750"/>
          <cell r="J1750"/>
          <cell r="K1750"/>
          <cell r="L1750"/>
          <cell r="M1750"/>
          <cell r="N1750"/>
        </row>
        <row r="1751">
          <cell r="A1751">
            <v>20231748</v>
          </cell>
          <cell r="B1751"/>
          <cell r="C1751"/>
          <cell r="D1751"/>
          <cell r="E1751"/>
          <cell r="F1751"/>
          <cell r="G1751"/>
          <cell r="H1751"/>
          <cell r="I1751"/>
          <cell r="J1751"/>
          <cell r="K1751"/>
          <cell r="L1751"/>
          <cell r="M1751"/>
          <cell r="N1751"/>
        </row>
        <row r="1752">
          <cell r="A1752">
            <v>20231749</v>
          </cell>
          <cell r="B1752"/>
          <cell r="C1752"/>
          <cell r="D1752"/>
          <cell r="E1752"/>
          <cell r="F1752"/>
          <cell r="G1752"/>
          <cell r="H1752"/>
          <cell r="I1752"/>
          <cell r="J1752"/>
          <cell r="K1752"/>
          <cell r="L1752"/>
          <cell r="M1752"/>
          <cell r="N1752"/>
        </row>
        <row r="1753">
          <cell r="A1753">
            <v>20231750</v>
          </cell>
          <cell r="B1753"/>
          <cell r="C1753"/>
          <cell r="D1753"/>
          <cell r="E1753"/>
          <cell r="F1753"/>
          <cell r="G1753"/>
          <cell r="H1753"/>
          <cell r="I1753"/>
          <cell r="J1753"/>
          <cell r="K1753"/>
          <cell r="L1753"/>
          <cell r="M1753"/>
          <cell r="N1753"/>
        </row>
        <row r="1754">
          <cell r="A1754">
            <v>20231751</v>
          </cell>
          <cell r="B1754"/>
          <cell r="C1754"/>
          <cell r="D1754"/>
          <cell r="E1754"/>
          <cell r="F1754"/>
          <cell r="G1754"/>
          <cell r="H1754"/>
          <cell r="I1754"/>
          <cell r="J1754"/>
          <cell r="K1754"/>
          <cell r="L1754"/>
          <cell r="M1754"/>
          <cell r="N1754"/>
        </row>
        <row r="1755">
          <cell r="A1755">
            <v>20231752</v>
          </cell>
          <cell r="B1755"/>
          <cell r="C1755"/>
          <cell r="D1755"/>
          <cell r="E1755"/>
          <cell r="F1755"/>
          <cell r="G1755"/>
          <cell r="H1755"/>
          <cell r="I1755"/>
          <cell r="J1755"/>
          <cell r="K1755"/>
          <cell r="L1755"/>
          <cell r="M1755"/>
          <cell r="N1755"/>
        </row>
        <row r="1756">
          <cell r="A1756">
            <v>20231753</v>
          </cell>
          <cell r="B1756"/>
          <cell r="C1756"/>
          <cell r="D1756"/>
          <cell r="E1756"/>
          <cell r="F1756"/>
          <cell r="G1756"/>
          <cell r="H1756"/>
          <cell r="I1756"/>
          <cell r="J1756"/>
          <cell r="K1756"/>
          <cell r="L1756"/>
          <cell r="M1756"/>
          <cell r="N1756"/>
        </row>
        <row r="1757">
          <cell r="A1757">
            <v>20231754</v>
          </cell>
          <cell r="B1757"/>
          <cell r="C1757"/>
          <cell r="D1757"/>
          <cell r="E1757"/>
          <cell r="F1757"/>
          <cell r="G1757"/>
          <cell r="H1757"/>
          <cell r="I1757"/>
          <cell r="J1757"/>
          <cell r="K1757"/>
          <cell r="L1757"/>
          <cell r="M1757"/>
          <cell r="N1757"/>
        </row>
        <row r="1758">
          <cell r="A1758">
            <v>20231755</v>
          </cell>
          <cell r="B1758"/>
          <cell r="C1758"/>
          <cell r="D1758"/>
          <cell r="E1758"/>
          <cell r="F1758"/>
          <cell r="G1758"/>
          <cell r="H1758"/>
          <cell r="I1758"/>
          <cell r="J1758"/>
          <cell r="K1758"/>
          <cell r="L1758"/>
          <cell r="M1758"/>
          <cell r="N1758"/>
        </row>
        <row r="1759">
          <cell r="A1759">
            <v>20231756</v>
          </cell>
          <cell r="B1759"/>
          <cell r="C1759"/>
          <cell r="D1759"/>
          <cell r="E1759"/>
          <cell r="F1759"/>
          <cell r="G1759"/>
          <cell r="H1759"/>
          <cell r="I1759"/>
          <cell r="J1759"/>
          <cell r="K1759"/>
          <cell r="L1759"/>
          <cell r="M1759"/>
          <cell r="N1759"/>
        </row>
        <row r="1760">
          <cell r="A1760">
            <v>20231757</v>
          </cell>
          <cell r="B1760"/>
          <cell r="C1760"/>
          <cell r="D1760"/>
          <cell r="E1760"/>
          <cell r="F1760"/>
          <cell r="G1760"/>
          <cell r="H1760"/>
          <cell r="I1760"/>
          <cell r="J1760"/>
          <cell r="K1760"/>
          <cell r="L1760"/>
          <cell r="M1760"/>
          <cell r="N1760"/>
        </row>
        <row r="1761">
          <cell r="A1761">
            <v>20231758</v>
          </cell>
          <cell r="B1761"/>
          <cell r="C1761"/>
          <cell r="D1761"/>
          <cell r="E1761"/>
          <cell r="F1761"/>
          <cell r="G1761"/>
          <cell r="H1761"/>
          <cell r="I1761"/>
          <cell r="J1761"/>
          <cell r="K1761"/>
          <cell r="L1761"/>
          <cell r="M1761"/>
          <cell r="N1761"/>
        </row>
        <row r="1762">
          <cell r="A1762">
            <v>20231759</v>
          </cell>
          <cell r="B1762"/>
          <cell r="C1762"/>
          <cell r="D1762"/>
          <cell r="E1762"/>
          <cell r="F1762"/>
          <cell r="G1762"/>
          <cell r="H1762"/>
          <cell r="I1762"/>
          <cell r="J1762"/>
          <cell r="K1762"/>
          <cell r="L1762"/>
          <cell r="M1762"/>
          <cell r="N1762"/>
        </row>
        <row r="1763">
          <cell r="A1763">
            <v>20231760</v>
          </cell>
          <cell r="B1763"/>
          <cell r="C1763"/>
          <cell r="D1763"/>
          <cell r="E1763"/>
          <cell r="F1763"/>
          <cell r="G1763"/>
          <cell r="H1763"/>
          <cell r="I1763"/>
          <cell r="J1763"/>
          <cell r="K1763"/>
          <cell r="L1763"/>
          <cell r="M1763"/>
          <cell r="N1763"/>
        </row>
        <row r="1764">
          <cell r="A1764">
            <v>20231761</v>
          </cell>
          <cell r="B1764"/>
          <cell r="C1764"/>
          <cell r="D1764"/>
          <cell r="E1764"/>
          <cell r="F1764"/>
          <cell r="G1764"/>
          <cell r="H1764"/>
          <cell r="I1764"/>
          <cell r="J1764"/>
          <cell r="K1764"/>
          <cell r="L1764"/>
          <cell r="M1764"/>
          <cell r="N1764"/>
        </row>
        <row r="1765">
          <cell r="A1765">
            <v>20231762</v>
          </cell>
          <cell r="B1765"/>
          <cell r="C1765"/>
          <cell r="D1765"/>
          <cell r="E1765"/>
          <cell r="F1765"/>
          <cell r="G1765"/>
          <cell r="H1765"/>
          <cell r="I1765"/>
          <cell r="J1765"/>
          <cell r="K1765"/>
          <cell r="L1765"/>
          <cell r="M1765"/>
          <cell r="N1765"/>
        </row>
        <row r="1766">
          <cell r="A1766">
            <v>20231763</v>
          </cell>
          <cell r="B1766"/>
          <cell r="C1766"/>
          <cell r="D1766"/>
          <cell r="E1766"/>
          <cell r="F1766"/>
          <cell r="G1766"/>
          <cell r="H1766"/>
          <cell r="I1766"/>
          <cell r="J1766"/>
          <cell r="K1766"/>
          <cell r="L1766"/>
          <cell r="M1766"/>
          <cell r="N1766"/>
        </row>
        <row r="1767">
          <cell r="A1767">
            <v>20231764</v>
          </cell>
          <cell r="B1767"/>
          <cell r="C1767"/>
          <cell r="D1767"/>
          <cell r="E1767"/>
          <cell r="F1767"/>
          <cell r="G1767"/>
          <cell r="H1767"/>
          <cell r="I1767"/>
          <cell r="J1767"/>
          <cell r="K1767"/>
          <cell r="L1767"/>
          <cell r="M1767"/>
          <cell r="N1767"/>
        </row>
        <row r="1768">
          <cell r="A1768">
            <v>20231765</v>
          </cell>
          <cell r="B1768"/>
          <cell r="C1768"/>
          <cell r="D1768"/>
          <cell r="E1768"/>
          <cell r="F1768"/>
          <cell r="G1768"/>
          <cell r="H1768"/>
          <cell r="I1768"/>
          <cell r="J1768"/>
          <cell r="K1768"/>
          <cell r="L1768"/>
          <cell r="M1768"/>
          <cell r="N1768"/>
        </row>
        <row r="1769">
          <cell r="A1769">
            <v>20231766</v>
          </cell>
          <cell r="B1769"/>
          <cell r="C1769"/>
          <cell r="D1769"/>
          <cell r="E1769"/>
          <cell r="F1769"/>
          <cell r="G1769"/>
          <cell r="H1769"/>
          <cell r="I1769"/>
          <cell r="J1769"/>
          <cell r="K1769"/>
          <cell r="L1769"/>
          <cell r="M1769"/>
          <cell r="N1769"/>
        </row>
        <row r="1770">
          <cell r="A1770">
            <v>20231767</v>
          </cell>
          <cell r="B1770"/>
          <cell r="C1770"/>
          <cell r="D1770"/>
          <cell r="E1770"/>
          <cell r="F1770"/>
          <cell r="G1770"/>
          <cell r="H1770"/>
          <cell r="I1770"/>
          <cell r="J1770"/>
          <cell r="K1770"/>
          <cell r="L1770"/>
          <cell r="M1770"/>
          <cell r="N1770"/>
        </row>
        <row r="1771">
          <cell r="A1771">
            <v>20231768</v>
          </cell>
          <cell r="B1771"/>
          <cell r="C1771"/>
          <cell r="D1771"/>
          <cell r="E1771"/>
          <cell r="F1771"/>
          <cell r="G1771"/>
          <cell r="H1771"/>
          <cell r="I1771"/>
          <cell r="J1771"/>
          <cell r="K1771"/>
          <cell r="L1771"/>
          <cell r="M1771"/>
          <cell r="N1771"/>
        </row>
        <row r="1772">
          <cell r="A1772">
            <v>20231769</v>
          </cell>
          <cell r="B1772"/>
          <cell r="C1772"/>
          <cell r="D1772"/>
          <cell r="E1772"/>
          <cell r="F1772"/>
          <cell r="G1772"/>
          <cell r="H1772"/>
          <cell r="I1772"/>
          <cell r="J1772"/>
          <cell r="K1772"/>
          <cell r="L1772"/>
          <cell r="M1772"/>
          <cell r="N1772"/>
        </row>
        <row r="1773">
          <cell r="A1773">
            <v>20231770</v>
          </cell>
          <cell r="B1773"/>
          <cell r="C1773"/>
          <cell r="D1773"/>
          <cell r="E1773"/>
          <cell r="F1773"/>
          <cell r="G1773"/>
          <cell r="H1773"/>
          <cell r="I1773"/>
          <cell r="J1773"/>
          <cell r="K1773"/>
          <cell r="L1773"/>
          <cell r="M1773"/>
          <cell r="N1773"/>
        </row>
        <row r="1774">
          <cell r="A1774">
            <v>20231771</v>
          </cell>
          <cell r="B1774"/>
          <cell r="C1774"/>
          <cell r="D1774"/>
          <cell r="E1774"/>
          <cell r="F1774"/>
          <cell r="G1774"/>
          <cell r="H1774"/>
          <cell r="I1774"/>
          <cell r="J1774"/>
          <cell r="K1774"/>
          <cell r="L1774"/>
          <cell r="M1774"/>
          <cell r="N1774"/>
        </row>
        <row r="1775">
          <cell r="A1775">
            <v>20231772</v>
          </cell>
          <cell r="B1775"/>
          <cell r="C1775"/>
          <cell r="D1775"/>
          <cell r="E1775"/>
          <cell r="F1775"/>
          <cell r="G1775"/>
          <cell r="H1775"/>
          <cell r="I1775"/>
          <cell r="J1775"/>
          <cell r="K1775"/>
          <cell r="L1775"/>
          <cell r="M1775"/>
          <cell r="N1775"/>
        </row>
        <row r="1776">
          <cell r="A1776">
            <v>20231773</v>
          </cell>
          <cell r="B1776"/>
          <cell r="C1776"/>
          <cell r="D1776"/>
          <cell r="E1776"/>
          <cell r="F1776"/>
          <cell r="G1776"/>
          <cell r="H1776"/>
          <cell r="I1776"/>
          <cell r="J1776"/>
          <cell r="K1776"/>
          <cell r="L1776"/>
          <cell r="M1776"/>
          <cell r="N1776"/>
        </row>
        <row r="1777">
          <cell r="A1777">
            <v>20231774</v>
          </cell>
          <cell r="B1777"/>
          <cell r="C1777"/>
          <cell r="D1777"/>
          <cell r="E1777"/>
          <cell r="F1777"/>
          <cell r="G1777"/>
          <cell r="H1777"/>
          <cell r="I1777"/>
          <cell r="J1777"/>
          <cell r="K1777"/>
          <cell r="L1777"/>
          <cell r="M1777"/>
          <cell r="N1777"/>
        </row>
        <row r="1778">
          <cell r="A1778">
            <v>20231775</v>
          </cell>
          <cell r="B1778"/>
          <cell r="C1778"/>
          <cell r="D1778"/>
          <cell r="E1778"/>
          <cell r="F1778"/>
          <cell r="G1778"/>
          <cell r="H1778"/>
          <cell r="I1778"/>
          <cell r="J1778"/>
          <cell r="K1778"/>
          <cell r="L1778"/>
          <cell r="M1778"/>
          <cell r="N1778"/>
        </row>
        <row r="1779">
          <cell r="A1779">
            <v>20231776</v>
          </cell>
          <cell r="B1779"/>
          <cell r="C1779"/>
          <cell r="D1779"/>
          <cell r="E1779"/>
          <cell r="F1779"/>
          <cell r="G1779"/>
          <cell r="H1779"/>
          <cell r="I1779"/>
          <cell r="J1779"/>
          <cell r="K1779"/>
          <cell r="L1779"/>
          <cell r="M1779"/>
          <cell r="N1779"/>
        </row>
        <row r="1780">
          <cell r="A1780">
            <v>20231777</v>
          </cell>
          <cell r="B1780"/>
          <cell r="C1780"/>
          <cell r="D1780"/>
          <cell r="E1780"/>
          <cell r="F1780"/>
          <cell r="G1780"/>
          <cell r="H1780"/>
          <cell r="I1780"/>
          <cell r="J1780"/>
          <cell r="K1780"/>
          <cell r="L1780"/>
          <cell r="M1780"/>
          <cell r="N1780"/>
        </row>
        <row r="1781">
          <cell r="A1781">
            <v>20231778</v>
          </cell>
          <cell r="B1781"/>
          <cell r="C1781"/>
          <cell r="D1781"/>
          <cell r="E1781"/>
          <cell r="F1781"/>
          <cell r="G1781"/>
          <cell r="H1781"/>
          <cell r="I1781"/>
          <cell r="J1781"/>
          <cell r="K1781"/>
          <cell r="L1781"/>
          <cell r="M1781"/>
          <cell r="N1781"/>
        </row>
        <row r="1782">
          <cell r="A1782">
            <v>20231779</v>
          </cell>
          <cell r="B1782"/>
          <cell r="C1782"/>
          <cell r="D1782"/>
          <cell r="E1782"/>
          <cell r="F1782"/>
          <cell r="G1782"/>
          <cell r="H1782"/>
          <cell r="I1782"/>
          <cell r="J1782"/>
          <cell r="K1782"/>
          <cell r="L1782"/>
          <cell r="M1782"/>
          <cell r="N1782"/>
        </row>
        <row r="1783">
          <cell r="A1783">
            <v>20231780</v>
          </cell>
          <cell r="B1783"/>
          <cell r="C1783"/>
          <cell r="D1783"/>
          <cell r="E1783"/>
          <cell r="F1783"/>
          <cell r="G1783"/>
          <cell r="H1783"/>
          <cell r="I1783"/>
          <cell r="J1783"/>
          <cell r="K1783"/>
          <cell r="L1783"/>
          <cell r="M1783"/>
          <cell r="N1783"/>
        </row>
        <row r="1784">
          <cell r="A1784">
            <v>20231781</v>
          </cell>
          <cell r="B1784"/>
          <cell r="C1784"/>
          <cell r="D1784"/>
          <cell r="E1784"/>
          <cell r="F1784"/>
          <cell r="G1784"/>
          <cell r="H1784"/>
          <cell r="I1784"/>
          <cell r="J1784"/>
          <cell r="K1784"/>
          <cell r="L1784"/>
          <cell r="M1784"/>
          <cell r="N1784"/>
        </row>
        <row r="1785">
          <cell r="A1785">
            <v>20231782</v>
          </cell>
          <cell r="B1785"/>
          <cell r="C1785"/>
          <cell r="D1785"/>
          <cell r="E1785"/>
          <cell r="F1785"/>
          <cell r="G1785"/>
          <cell r="H1785"/>
          <cell r="I1785"/>
          <cell r="J1785"/>
          <cell r="K1785"/>
          <cell r="L1785"/>
          <cell r="M1785"/>
          <cell r="N1785"/>
        </row>
        <row r="1786">
          <cell r="A1786">
            <v>20231783</v>
          </cell>
          <cell r="B1786"/>
          <cell r="C1786"/>
          <cell r="D1786"/>
          <cell r="E1786"/>
          <cell r="F1786"/>
          <cell r="G1786"/>
          <cell r="H1786"/>
          <cell r="I1786"/>
          <cell r="J1786"/>
          <cell r="K1786"/>
          <cell r="L1786"/>
          <cell r="M1786"/>
          <cell r="N1786"/>
        </row>
        <row r="1787">
          <cell r="A1787">
            <v>20231784</v>
          </cell>
          <cell r="B1787"/>
          <cell r="C1787"/>
          <cell r="D1787"/>
          <cell r="E1787"/>
          <cell r="F1787"/>
          <cell r="G1787"/>
          <cell r="H1787"/>
          <cell r="I1787"/>
          <cell r="J1787"/>
          <cell r="K1787"/>
          <cell r="L1787"/>
          <cell r="M1787"/>
          <cell r="N1787"/>
        </row>
        <row r="1788">
          <cell r="A1788">
            <v>20231785</v>
          </cell>
          <cell r="B1788"/>
          <cell r="C1788"/>
          <cell r="D1788"/>
          <cell r="E1788"/>
          <cell r="F1788"/>
          <cell r="G1788"/>
          <cell r="H1788"/>
          <cell r="I1788"/>
          <cell r="J1788"/>
          <cell r="K1788"/>
          <cell r="L1788"/>
          <cell r="M1788"/>
          <cell r="N1788"/>
        </row>
        <row r="1789">
          <cell r="A1789">
            <v>20231786</v>
          </cell>
          <cell r="B1789"/>
          <cell r="C1789"/>
          <cell r="D1789"/>
          <cell r="E1789"/>
          <cell r="F1789"/>
          <cell r="G1789"/>
          <cell r="H1789"/>
          <cell r="I1789"/>
          <cell r="J1789"/>
          <cell r="K1789"/>
          <cell r="L1789"/>
          <cell r="M1789"/>
          <cell r="N1789"/>
        </row>
        <row r="1790">
          <cell r="A1790">
            <v>20231787</v>
          </cell>
          <cell r="B1790"/>
          <cell r="C1790"/>
          <cell r="D1790"/>
          <cell r="E1790"/>
          <cell r="F1790"/>
          <cell r="G1790"/>
          <cell r="H1790"/>
          <cell r="I1790"/>
          <cell r="J1790"/>
          <cell r="K1790"/>
          <cell r="L1790"/>
          <cell r="M1790"/>
          <cell r="N1790"/>
        </row>
        <row r="1791">
          <cell r="A1791">
            <v>20231788</v>
          </cell>
          <cell r="B1791"/>
          <cell r="C1791"/>
          <cell r="D1791"/>
          <cell r="E1791"/>
          <cell r="F1791"/>
          <cell r="G1791"/>
          <cell r="H1791"/>
          <cell r="I1791"/>
          <cell r="J1791"/>
          <cell r="K1791"/>
          <cell r="L1791"/>
          <cell r="M1791"/>
          <cell r="N1791"/>
        </row>
        <row r="1792">
          <cell r="A1792">
            <v>20231789</v>
          </cell>
          <cell r="B1792"/>
          <cell r="C1792"/>
          <cell r="D1792"/>
          <cell r="E1792"/>
          <cell r="F1792"/>
          <cell r="G1792"/>
          <cell r="H1792"/>
          <cell r="I1792"/>
          <cell r="J1792"/>
          <cell r="K1792"/>
          <cell r="L1792"/>
          <cell r="M1792"/>
          <cell r="N1792"/>
        </row>
        <row r="1793">
          <cell r="A1793">
            <v>20231790</v>
          </cell>
          <cell r="B1793"/>
          <cell r="C1793"/>
          <cell r="D1793"/>
          <cell r="E1793"/>
          <cell r="F1793"/>
          <cell r="G1793"/>
          <cell r="H1793"/>
          <cell r="I1793"/>
          <cell r="J1793"/>
          <cell r="K1793"/>
          <cell r="L1793"/>
          <cell r="M1793"/>
          <cell r="N1793"/>
        </row>
        <row r="1794">
          <cell r="A1794">
            <v>20231791</v>
          </cell>
          <cell r="B1794"/>
          <cell r="C1794"/>
          <cell r="D1794"/>
          <cell r="E1794"/>
          <cell r="F1794"/>
          <cell r="G1794"/>
          <cell r="H1794"/>
          <cell r="I1794"/>
          <cell r="J1794"/>
          <cell r="K1794"/>
          <cell r="L1794"/>
          <cell r="M1794"/>
          <cell r="N1794"/>
        </row>
        <row r="1795">
          <cell r="A1795">
            <v>20231792</v>
          </cell>
          <cell r="B1795"/>
          <cell r="C1795"/>
          <cell r="D1795"/>
          <cell r="E1795"/>
          <cell r="F1795"/>
          <cell r="G1795"/>
          <cell r="H1795"/>
          <cell r="I1795"/>
          <cell r="J1795"/>
          <cell r="K1795"/>
          <cell r="L1795"/>
          <cell r="M1795"/>
          <cell r="N1795"/>
        </row>
        <row r="1796">
          <cell r="A1796">
            <v>20231793</v>
          </cell>
          <cell r="B1796"/>
          <cell r="C1796"/>
          <cell r="D1796"/>
          <cell r="E1796"/>
          <cell r="F1796"/>
          <cell r="G1796"/>
          <cell r="H1796"/>
          <cell r="I1796"/>
          <cell r="J1796"/>
          <cell r="K1796"/>
          <cell r="L1796"/>
          <cell r="M1796"/>
          <cell r="N1796"/>
        </row>
        <row r="1797">
          <cell r="A1797">
            <v>20231794</v>
          </cell>
          <cell r="B1797"/>
          <cell r="C1797"/>
          <cell r="D1797"/>
          <cell r="E1797"/>
          <cell r="F1797"/>
          <cell r="G1797"/>
          <cell r="H1797"/>
          <cell r="I1797"/>
          <cell r="J1797"/>
          <cell r="K1797"/>
          <cell r="L1797"/>
          <cell r="M1797"/>
          <cell r="N1797"/>
        </row>
        <row r="1798">
          <cell r="A1798">
            <v>20231795</v>
          </cell>
          <cell r="B1798"/>
          <cell r="C1798"/>
          <cell r="D1798"/>
          <cell r="E1798"/>
          <cell r="F1798"/>
          <cell r="G1798"/>
          <cell r="H1798"/>
          <cell r="I1798"/>
          <cell r="J1798"/>
          <cell r="K1798"/>
          <cell r="L1798"/>
          <cell r="M1798"/>
          <cell r="N1798"/>
        </row>
        <row r="1799">
          <cell r="A1799">
            <v>20231796</v>
          </cell>
          <cell r="B1799"/>
          <cell r="C1799"/>
          <cell r="D1799"/>
          <cell r="E1799"/>
          <cell r="F1799"/>
          <cell r="G1799"/>
          <cell r="H1799"/>
          <cell r="I1799"/>
          <cell r="J1799"/>
          <cell r="K1799"/>
          <cell r="L1799"/>
          <cell r="M1799"/>
          <cell r="N1799"/>
        </row>
        <row r="1800">
          <cell r="A1800">
            <v>20231797</v>
          </cell>
          <cell r="B1800"/>
          <cell r="C1800"/>
          <cell r="D1800"/>
          <cell r="E1800"/>
          <cell r="F1800"/>
          <cell r="G1800"/>
          <cell r="H1800"/>
          <cell r="I1800"/>
          <cell r="J1800"/>
          <cell r="K1800"/>
          <cell r="L1800"/>
          <cell r="M1800"/>
          <cell r="N1800"/>
        </row>
        <row r="1801">
          <cell r="A1801">
            <v>20231798</v>
          </cell>
          <cell r="B1801"/>
          <cell r="C1801"/>
          <cell r="D1801"/>
          <cell r="E1801"/>
          <cell r="F1801"/>
          <cell r="G1801"/>
          <cell r="H1801"/>
          <cell r="I1801"/>
          <cell r="J1801"/>
          <cell r="K1801"/>
          <cell r="L1801"/>
          <cell r="M1801"/>
          <cell r="N1801"/>
        </row>
        <row r="1802">
          <cell r="A1802">
            <v>20231799</v>
          </cell>
          <cell r="B1802"/>
          <cell r="C1802"/>
          <cell r="D1802"/>
          <cell r="E1802"/>
          <cell r="F1802"/>
          <cell r="G1802"/>
          <cell r="H1802"/>
          <cell r="I1802"/>
          <cell r="J1802"/>
          <cell r="K1802"/>
          <cell r="L1802"/>
          <cell r="M1802"/>
          <cell r="N1802"/>
        </row>
        <row r="1803">
          <cell r="A1803">
            <v>20231800</v>
          </cell>
          <cell r="B1803"/>
          <cell r="C1803"/>
          <cell r="D1803"/>
          <cell r="E1803"/>
          <cell r="F1803"/>
          <cell r="G1803"/>
          <cell r="H1803"/>
          <cell r="I1803"/>
          <cell r="J1803"/>
          <cell r="K1803"/>
          <cell r="L1803"/>
          <cell r="M1803"/>
          <cell r="N1803"/>
        </row>
        <row r="1804">
          <cell r="A1804">
            <v>20231801</v>
          </cell>
          <cell r="B1804"/>
          <cell r="C1804"/>
          <cell r="D1804"/>
          <cell r="E1804"/>
          <cell r="F1804"/>
          <cell r="G1804"/>
          <cell r="H1804"/>
          <cell r="I1804"/>
          <cell r="J1804"/>
          <cell r="K1804"/>
          <cell r="L1804"/>
          <cell r="M1804"/>
          <cell r="N1804"/>
        </row>
        <row r="1805">
          <cell r="A1805">
            <v>20231802</v>
          </cell>
          <cell r="B1805"/>
          <cell r="C1805"/>
          <cell r="D1805"/>
          <cell r="E1805"/>
          <cell r="F1805"/>
          <cell r="G1805"/>
          <cell r="H1805"/>
          <cell r="I1805"/>
          <cell r="J1805"/>
          <cell r="K1805"/>
          <cell r="L1805"/>
          <cell r="M1805"/>
          <cell r="N1805"/>
        </row>
        <row r="1806">
          <cell r="A1806">
            <v>20231803</v>
          </cell>
          <cell r="B1806"/>
          <cell r="C1806"/>
          <cell r="D1806"/>
          <cell r="E1806"/>
          <cell r="F1806"/>
          <cell r="G1806"/>
          <cell r="H1806"/>
          <cell r="I1806"/>
          <cell r="J1806"/>
          <cell r="K1806"/>
          <cell r="L1806"/>
          <cell r="M1806"/>
          <cell r="N1806"/>
        </row>
        <row r="1807">
          <cell r="A1807">
            <v>20231804</v>
          </cell>
          <cell r="B1807"/>
          <cell r="C1807"/>
          <cell r="D1807"/>
          <cell r="E1807"/>
          <cell r="F1807"/>
          <cell r="G1807"/>
          <cell r="H1807"/>
          <cell r="I1807"/>
          <cell r="J1807"/>
          <cell r="K1807"/>
          <cell r="L1807"/>
          <cell r="M1807"/>
          <cell r="N1807"/>
        </row>
        <row r="1808">
          <cell r="A1808">
            <v>20231805</v>
          </cell>
          <cell r="B1808"/>
          <cell r="C1808"/>
          <cell r="D1808"/>
          <cell r="E1808"/>
          <cell r="F1808"/>
          <cell r="G1808"/>
          <cell r="H1808"/>
          <cell r="I1808"/>
          <cell r="J1808"/>
          <cell r="K1808"/>
          <cell r="L1808"/>
          <cell r="M1808"/>
          <cell r="N1808"/>
        </row>
        <row r="1809">
          <cell r="A1809">
            <v>20231806</v>
          </cell>
          <cell r="B1809"/>
          <cell r="C1809"/>
          <cell r="D1809"/>
          <cell r="E1809"/>
          <cell r="F1809"/>
          <cell r="G1809"/>
          <cell r="H1809"/>
          <cell r="I1809"/>
          <cell r="J1809"/>
          <cell r="K1809"/>
          <cell r="L1809"/>
          <cell r="M1809"/>
          <cell r="N1809"/>
        </row>
        <row r="1810">
          <cell r="A1810">
            <v>20231807</v>
          </cell>
          <cell r="B1810"/>
          <cell r="C1810"/>
          <cell r="D1810"/>
          <cell r="E1810"/>
          <cell r="F1810"/>
          <cell r="G1810"/>
          <cell r="H1810"/>
          <cell r="I1810"/>
          <cell r="J1810"/>
          <cell r="K1810"/>
          <cell r="L1810"/>
          <cell r="M1810"/>
          <cell r="N1810"/>
        </row>
        <row r="1811">
          <cell r="A1811">
            <v>20231808</v>
          </cell>
          <cell r="B1811"/>
          <cell r="C1811"/>
          <cell r="D1811"/>
          <cell r="E1811"/>
          <cell r="F1811"/>
          <cell r="G1811"/>
          <cell r="H1811"/>
          <cell r="I1811"/>
          <cell r="J1811"/>
          <cell r="K1811"/>
          <cell r="L1811"/>
          <cell r="M1811"/>
          <cell r="N1811"/>
        </row>
        <row r="1812">
          <cell r="A1812">
            <v>20231809</v>
          </cell>
          <cell r="B1812"/>
          <cell r="C1812"/>
          <cell r="D1812"/>
          <cell r="E1812"/>
          <cell r="F1812"/>
          <cell r="G1812"/>
          <cell r="H1812"/>
          <cell r="I1812"/>
          <cell r="J1812"/>
          <cell r="K1812"/>
          <cell r="L1812"/>
          <cell r="M1812"/>
          <cell r="N1812"/>
        </row>
        <row r="1813">
          <cell r="A1813">
            <v>20231810</v>
          </cell>
          <cell r="B1813"/>
          <cell r="C1813"/>
          <cell r="D1813"/>
          <cell r="E1813"/>
          <cell r="F1813"/>
          <cell r="G1813"/>
          <cell r="H1813"/>
          <cell r="I1813"/>
          <cell r="J1813"/>
          <cell r="K1813"/>
          <cell r="L1813"/>
          <cell r="M1813"/>
          <cell r="N1813"/>
        </row>
        <row r="1814">
          <cell r="A1814">
            <v>20231811</v>
          </cell>
          <cell r="B1814"/>
          <cell r="C1814"/>
          <cell r="D1814"/>
          <cell r="E1814"/>
          <cell r="F1814"/>
          <cell r="G1814"/>
          <cell r="H1814"/>
          <cell r="I1814"/>
          <cell r="J1814"/>
          <cell r="K1814"/>
          <cell r="L1814"/>
          <cell r="M1814"/>
          <cell r="N1814"/>
        </row>
        <row r="1815">
          <cell r="A1815">
            <v>20231812</v>
          </cell>
          <cell r="B1815"/>
          <cell r="C1815"/>
          <cell r="D1815"/>
          <cell r="E1815"/>
          <cell r="F1815"/>
          <cell r="G1815"/>
          <cell r="H1815"/>
          <cell r="I1815"/>
          <cell r="J1815"/>
          <cell r="K1815"/>
          <cell r="L1815"/>
          <cell r="M1815"/>
          <cell r="N1815"/>
        </row>
        <row r="1816">
          <cell r="A1816">
            <v>20231813</v>
          </cell>
          <cell r="B1816"/>
          <cell r="C1816"/>
          <cell r="D1816"/>
          <cell r="E1816"/>
          <cell r="F1816"/>
          <cell r="G1816"/>
          <cell r="H1816"/>
          <cell r="I1816"/>
          <cell r="J1816"/>
          <cell r="K1816"/>
          <cell r="L1816"/>
          <cell r="M1816"/>
          <cell r="N1816"/>
        </row>
        <row r="1817">
          <cell r="A1817">
            <v>20231814</v>
          </cell>
          <cell r="B1817"/>
          <cell r="C1817"/>
          <cell r="D1817"/>
          <cell r="E1817"/>
          <cell r="F1817"/>
          <cell r="G1817"/>
          <cell r="H1817"/>
          <cell r="I1817"/>
          <cell r="J1817"/>
          <cell r="K1817"/>
          <cell r="L1817"/>
          <cell r="M1817"/>
          <cell r="N1817"/>
        </row>
        <row r="1818">
          <cell r="A1818">
            <v>20231815</v>
          </cell>
          <cell r="B1818"/>
          <cell r="C1818"/>
          <cell r="D1818"/>
          <cell r="E1818"/>
          <cell r="F1818"/>
          <cell r="G1818"/>
          <cell r="H1818"/>
          <cell r="I1818"/>
          <cell r="J1818"/>
          <cell r="K1818"/>
          <cell r="L1818"/>
          <cell r="M1818"/>
          <cell r="N1818"/>
        </row>
        <row r="1819">
          <cell r="A1819">
            <v>20231816</v>
          </cell>
          <cell r="B1819"/>
          <cell r="C1819"/>
          <cell r="D1819"/>
          <cell r="E1819"/>
          <cell r="F1819"/>
          <cell r="G1819"/>
          <cell r="H1819"/>
          <cell r="I1819"/>
          <cell r="J1819"/>
          <cell r="K1819"/>
          <cell r="L1819"/>
          <cell r="M1819"/>
          <cell r="N1819"/>
        </row>
        <row r="1820">
          <cell r="A1820">
            <v>20231817</v>
          </cell>
          <cell r="B1820"/>
          <cell r="C1820"/>
          <cell r="D1820"/>
          <cell r="E1820"/>
          <cell r="F1820"/>
          <cell r="G1820"/>
          <cell r="H1820"/>
          <cell r="I1820"/>
          <cell r="J1820"/>
          <cell r="K1820"/>
          <cell r="L1820"/>
          <cell r="M1820"/>
          <cell r="N1820"/>
        </row>
        <row r="1821">
          <cell r="A1821">
            <v>20231818</v>
          </cell>
          <cell r="B1821"/>
          <cell r="C1821"/>
          <cell r="D1821"/>
          <cell r="E1821"/>
          <cell r="F1821"/>
          <cell r="G1821"/>
          <cell r="H1821"/>
          <cell r="I1821"/>
          <cell r="J1821"/>
          <cell r="K1821"/>
          <cell r="L1821"/>
          <cell r="M1821"/>
          <cell r="N1821"/>
        </row>
        <row r="1822">
          <cell r="A1822">
            <v>20231819</v>
          </cell>
          <cell r="B1822"/>
          <cell r="C1822"/>
          <cell r="D1822"/>
          <cell r="E1822"/>
          <cell r="F1822"/>
          <cell r="G1822"/>
          <cell r="H1822"/>
          <cell r="I1822"/>
          <cell r="J1822"/>
          <cell r="K1822"/>
          <cell r="L1822"/>
          <cell r="M1822"/>
          <cell r="N1822"/>
        </row>
        <row r="1823">
          <cell r="A1823">
            <v>20231820</v>
          </cell>
          <cell r="B1823"/>
          <cell r="C1823"/>
          <cell r="D1823"/>
          <cell r="E1823"/>
          <cell r="F1823"/>
          <cell r="G1823"/>
          <cell r="H1823"/>
          <cell r="I1823"/>
          <cell r="J1823"/>
          <cell r="K1823"/>
          <cell r="L1823"/>
          <cell r="M1823"/>
          <cell r="N1823"/>
        </row>
        <row r="1824">
          <cell r="A1824">
            <v>20231821</v>
          </cell>
          <cell r="B1824"/>
          <cell r="C1824"/>
          <cell r="D1824"/>
          <cell r="E1824"/>
          <cell r="F1824"/>
          <cell r="G1824"/>
          <cell r="H1824"/>
          <cell r="I1824"/>
          <cell r="J1824"/>
          <cell r="K1824"/>
          <cell r="L1824"/>
          <cell r="M1824"/>
          <cell r="N1824"/>
        </row>
        <row r="1825">
          <cell r="A1825">
            <v>20231822</v>
          </cell>
          <cell r="B1825"/>
          <cell r="C1825"/>
          <cell r="D1825"/>
          <cell r="E1825"/>
          <cell r="F1825"/>
          <cell r="G1825"/>
          <cell r="H1825"/>
          <cell r="I1825"/>
          <cell r="J1825"/>
          <cell r="K1825"/>
          <cell r="L1825"/>
          <cell r="M1825"/>
          <cell r="N1825"/>
        </row>
        <row r="1826">
          <cell r="A1826">
            <v>20231823</v>
          </cell>
          <cell r="B1826"/>
          <cell r="C1826"/>
          <cell r="D1826"/>
          <cell r="E1826"/>
          <cell r="F1826"/>
          <cell r="G1826"/>
          <cell r="H1826"/>
          <cell r="I1826"/>
          <cell r="J1826"/>
          <cell r="K1826"/>
          <cell r="L1826"/>
          <cell r="M1826"/>
          <cell r="N1826"/>
        </row>
        <row r="1827">
          <cell r="A1827">
            <v>20231824</v>
          </cell>
          <cell r="B1827"/>
          <cell r="C1827"/>
          <cell r="D1827"/>
          <cell r="E1827"/>
          <cell r="F1827"/>
          <cell r="G1827"/>
          <cell r="H1827"/>
          <cell r="I1827"/>
          <cell r="J1827"/>
          <cell r="K1827"/>
          <cell r="L1827"/>
          <cell r="M1827"/>
          <cell r="N1827"/>
        </row>
        <row r="1828">
          <cell r="A1828">
            <v>20231825</v>
          </cell>
          <cell r="B1828"/>
          <cell r="C1828"/>
          <cell r="D1828"/>
          <cell r="E1828"/>
          <cell r="F1828"/>
          <cell r="G1828"/>
          <cell r="H1828"/>
          <cell r="I1828"/>
          <cell r="J1828"/>
          <cell r="K1828"/>
          <cell r="L1828"/>
          <cell r="M1828"/>
          <cell r="N1828"/>
        </row>
        <row r="1829">
          <cell r="A1829">
            <v>20231826</v>
          </cell>
          <cell r="B1829"/>
          <cell r="C1829"/>
          <cell r="D1829"/>
          <cell r="E1829"/>
          <cell r="F1829"/>
          <cell r="G1829"/>
          <cell r="H1829"/>
          <cell r="I1829"/>
          <cell r="J1829"/>
          <cell r="K1829"/>
          <cell r="L1829"/>
          <cell r="M1829"/>
          <cell r="N1829"/>
        </row>
        <row r="1830">
          <cell r="A1830">
            <v>20231827</v>
          </cell>
          <cell r="B1830"/>
          <cell r="C1830"/>
          <cell r="D1830"/>
          <cell r="E1830"/>
          <cell r="F1830"/>
          <cell r="G1830"/>
          <cell r="H1830"/>
          <cell r="I1830"/>
          <cell r="J1830"/>
          <cell r="K1830"/>
          <cell r="L1830"/>
          <cell r="M1830"/>
          <cell r="N1830"/>
        </row>
        <row r="1831">
          <cell r="A1831">
            <v>20231828</v>
          </cell>
          <cell r="B1831"/>
          <cell r="C1831"/>
          <cell r="D1831"/>
          <cell r="E1831"/>
          <cell r="F1831"/>
          <cell r="G1831"/>
          <cell r="H1831"/>
          <cell r="I1831"/>
          <cell r="J1831"/>
          <cell r="K1831"/>
          <cell r="L1831"/>
          <cell r="M1831"/>
          <cell r="N1831"/>
        </row>
        <row r="1832">
          <cell r="A1832">
            <v>20231829</v>
          </cell>
          <cell r="B1832"/>
          <cell r="C1832"/>
          <cell r="D1832"/>
          <cell r="E1832"/>
          <cell r="F1832"/>
          <cell r="G1832"/>
          <cell r="H1832"/>
          <cell r="I1832"/>
          <cell r="J1832"/>
          <cell r="K1832"/>
          <cell r="L1832"/>
          <cell r="M1832"/>
          <cell r="N1832"/>
        </row>
        <row r="1833">
          <cell r="A1833">
            <v>20231830</v>
          </cell>
          <cell r="B1833"/>
          <cell r="C1833"/>
          <cell r="D1833"/>
          <cell r="E1833"/>
          <cell r="F1833"/>
          <cell r="G1833"/>
          <cell r="H1833"/>
          <cell r="I1833"/>
          <cell r="J1833"/>
          <cell r="K1833"/>
          <cell r="L1833"/>
          <cell r="M1833"/>
          <cell r="N1833"/>
        </row>
        <row r="1834">
          <cell r="A1834">
            <v>20231831</v>
          </cell>
          <cell r="B1834"/>
          <cell r="C1834"/>
          <cell r="D1834"/>
          <cell r="E1834"/>
          <cell r="F1834"/>
          <cell r="G1834"/>
          <cell r="H1834"/>
          <cell r="I1834"/>
          <cell r="J1834"/>
          <cell r="K1834"/>
          <cell r="L1834"/>
          <cell r="M1834"/>
          <cell r="N1834"/>
        </row>
        <row r="1835">
          <cell r="A1835">
            <v>20231832</v>
          </cell>
          <cell r="B1835"/>
          <cell r="C1835"/>
          <cell r="D1835"/>
          <cell r="E1835"/>
          <cell r="F1835"/>
          <cell r="G1835"/>
          <cell r="H1835"/>
          <cell r="I1835"/>
          <cell r="J1835"/>
          <cell r="K1835"/>
          <cell r="L1835"/>
          <cell r="M1835"/>
          <cell r="N1835"/>
        </row>
        <row r="1836">
          <cell r="A1836">
            <v>20231833</v>
          </cell>
          <cell r="B1836"/>
          <cell r="C1836"/>
          <cell r="D1836"/>
          <cell r="E1836"/>
          <cell r="F1836"/>
          <cell r="G1836"/>
          <cell r="H1836"/>
          <cell r="I1836"/>
          <cell r="J1836"/>
          <cell r="K1836"/>
          <cell r="L1836"/>
          <cell r="M1836"/>
          <cell r="N1836"/>
        </row>
        <row r="1837">
          <cell r="A1837">
            <v>20231834</v>
          </cell>
          <cell r="B1837"/>
          <cell r="C1837"/>
          <cell r="D1837"/>
          <cell r="E1837"/>
          <cell r="F1837"/>
          <cell r="G1837"/>
          <cell r="H1837"/>
          <cell r="I1837"/>
          <cell r="J1837"/>
          <cell r="K1837"/>
          <cell r="L1837"/>
          <cell r="M1837"/>
          <cell r="N1837"/>
        </row>
        <row r="1838">
          <cell r="A1838">
            <v>20231835</v>
          </cell>
          <cell r="B1838"/>
          <cell r="C1838"/>
          <cell r="D1838"/>
          <cell r="E1838"/>
          <cell r="F1838"/>
          <cell r="G1838"/>
          <cell r="H1838"/>
          <cell r="I1838"/>
          <cell r="J1838"/>
          <cell r="K1838"/>
          <cell r="L1838"/>
          <cell r="M1838"/>
          <cell r="N1838"/>
        </row>
        <row r="1839">
          <cell r="A1839">
            <v>20231836</v>
          </cell>
          <cell r="B1839"/>
          <cell r="C1839"/>
          <cell r="D1839"/>
          <cell r="E1839"/>
          <cell r="F1839"/>
          <cell r="G1839"/>
          <cell r="H1839"/>
          <cell r="I1839"/>
          <cell r="J1839"/>
          <cell r="K1839"/>
          <cell r="L1839"/>
          <cell r="M1839"/>
          <cell r="N1839"/>
        </row>
        <row r="1840">
          <cell r="A1840">
            <v>20231837</v>
          </cell>
          <cell r="B1840"/>
          <cell r="C1840"/>
          <cell r="D1840"/>
          <cell r="E1840"/>
          <cell r="F1840"/>
          <cell r="G1840"/>
          <cell r="H1840"/>
          <cell r="I1840"/>
          <cell r="J1840"/>
          <cell r="K1840"/>
          <cell r="L1840"/>
          <cell r="M1840"/>
          <cell r="N1840"/>
        </row>
        <row r="1841">
          <cell r="A1841">
            <v>20231838</v>
          </cell>
          <cell r="B1841"/>
          <cell r="C1841"/>
          <cell r="D1841"/>
          <cell r="E1841"/>
          <cell r="F1841"/>
          <cell r="G1841"/>
          <cell r="H1841"/>
          <cell r="I1841"/>
          <cell r="J1841"/>
          <cell r="K1841"/>
          <cell r="L1841"/>
          <cell r="M1841"/>
          <cell r="N1841"/>
        </row>
        <row r="1842">
          <cell r="A1842">
            <v>20231839</v>
          </cell>
          <cell r="B1842"/>
          <cell r="C1842"/>
          <cell r="D1842"/>
          <cell r="E1842"/>
          <cell r="F1842"/>
          <cell r="G1842"/>
          <cell r="H1842"/>
          <cell r="I1842"/>
          <cell r="J1842"/>
          <cell r="K1842"/>
          <cell r="L1842"/>
          <cell r="M1842"/>
          <cell r="N1842"/>
        </row>
        <row r="1843">
          <cell r="A1843">
            <v>20231840</v>
          </cell>
          <cell r="B1843"/>
          <cell r="C1843"/>
          <cell r="D1843"/>
          <cell r="E1843"/>
          <cell r="F1843"/>
          <cell r="G1843"/>
          <cell r="H1843"/>
          <cell r="I1843"/>
          <cell r="J1843"/>
          <cell r="K1843"/>
          <cell r="L1843"/>
          <cell r="M1843"/>
          <cell r="N1843"/>
        </row>
        <row r="1844">
          <cell r="A1844">
            <v>20231841</v>
          </cell>
          <cell r="B1844"/>
          <cell r="C1844"/>
          <cell r="D1844"/>
          <cell r="E1844"/>
          <cell r="F1844"/>
          <cell r="G1844"/>
          <cell r="H1844"/>
          <cell r="I1844"/>
          <cell r="J1844"/>
          <cell r="K1844"/>
          <cell r="L1844"/>
          <cell r="M1844"/>
          <cell r="N1844"/>
        </row>
        <row r="1845">
          <cell r="A1845">
            <v>20231842</v>
          </cell>
          <cell r="B1845"/>
          <cell r="C1845"/>
          <cell r="D1845"/>
          <cell r="E1845"/>
          <cell r="F1845"/>
          <cell r="G1845"/>
          <cell r="H1845"/>
          <cell r="I1845"/>
          <cell r="J1845"/>
          <cell r="K1845"/>
          <cell r="L1845"/>
          <cell r="M1845"/>
          <cell r="N1845"/>
        </row>
        <row r="1846">
          <cell r="A1846">
            <v>20231843</v>
          </cell>
          <cell r="B1846"/>
          <cell r="C1846"/>
          <cell r="D1846"/>
          <cell r="E1846"/>
          <cell r="F1846"/>
          <cell r="G1846"/>
          <cell r="H1846"/>
          <cell r="I1846"/>
          <cell r="J1846"/>
          <cell r="K1846"/>
          <cell r="L1846"/>
          <cell r="M1846"/>
          <cell r="N1846"/>
        </row>
        <row r="1847">
          <cell r="A1847">
            <v>20231844</v>
          </cell>
          <cell r="B1847"/>
          <cell r="C1847"/>
          <cell r="D1847"/>
          <cell r="E1847"/>
          <cell r="F1847"/>
          <cell r="G1847"/>
          <cell r="H1847"/>
          <cell r="I1847"/>
          <cell r="J1847"/>
          <cell r="K1847"/>
          <cell r="L1847"/>
          <cell r="M1847"/>
          <cell r="N1847"/>
        </row>
        <row r="1848">
          <cell r="A1848">
            <v>20231845</v>
          </cell>
          <cell r="B1848"/>
          <cell r="C1848"/>
          <cell r="D1848"/>
          <cell r="E1848"/>
          <cell r="F1848"/>
          <cell r="G1848"/>
          <cell r="H1848"/>
          <cell r="I1848"/>
          <cell r="J1848"/>
          <cell r="K1848"/>
          <cell r="L1848"/>
          <cell r="M1848"/>
          <cell r="N1848"/>
        </row>
        <row r="1849">
          <cell r="A1849">
            <v>20231846</v>
          </cell>
          <cell r="B1849"/>
          <cell r="C1849"/>
          <cell r="D1849"/>
          <cell r="E1849"/>
          <cell r="F1849"/>
          <cell r="G1849"/>
          <cell r="H1849"/>
          <cell r="I1849"/>
          <cell r="J1849"/>
          <cell r="K1849"/>
          <cell r="L1849"/>
          <cell r="M1849"/>
          <cell r="N1849"/>
        </row>
        <row r="1850">
          <cell r="A1850">
            <v>20231847</v>
          </cell>
          <cell r="B1850"/>
          <cell r="C1850"/>
          <cell r="D1850"/>
          <cell r="E1850"/>
          <cell r="F1850"/>
          <cell r="G1850"/>
          <cell r="H1850"/>
          <cell r="I1850"/>
          <cell r="J1850"/>
          <cell r="K1850"/>
          <cell r="L1850"/>
          <cell r="M1850"/>
          <cell r="N1850"/>
        </row>
        <row r="1851">
          <cell r="A1851">
            <v>20231848</v>
          </cell>
          <cell r="B1851"/>
          <cell r="C1851"/>
          <cell r="D1851"/>
          <cell r="E1851"/>
          <cell r="F1851"/>
          <cell r="G1851"/>
          <cell r="H1851"/>
          <cell r="I1851"/>
          <cell r="J1851"/>
          <cell r="K1851"/>
          <cell r="L1851"/>
          <cell r="M1851"/>
          <cell r="N1851"/>
        </row>
        <row r="1852">
          <cell r="A1852">
            <v>20231849</v>
          </cell>
          <cell r="B1852"/>
          <cell r="C1852"/>
          <cell r="D1852"/>
          <cell r="E1852"/>
          <cell r="F1852"/>
          <cell r="G1852"/>
          <cell r="H1852"/>
          <cell r="I1852"/>
          <cell r="J1852"/>
          <cell r="K1852"/>
          <cell r="L1852"/>
          <cell r="M1852"/>
          <cell r="N1852"/>
        </row>
        <row r="1853">
          <cell r="A1853">
            <v>20231850</v>
          </cell>
          <cell r="B1853"/>
          <cell r="C1853"/>
          <cell r="D1853"/>
          <cell r="E1853"/>
          <cell r="F1853"/>
          <cell r="G1853"/>
          <cell r="H1853"/>
          <cell r="I1853"/>
          <cell r="J1853"/>
          <cell r="K1853"/>
          <cell r="L1853"/>
          <cell r="M1853"/>
          <cell r="N1853"/>
        </row>
        <row r="1854">
          <cell r="A1854">
            <v>20231851</v>
          </cell>
          <cell r="B1854"/>
          <cell r="C1854"/>
          <cell r="D1854"/>
          <cell r="E1854"/>
          <cell r="F1854"/>
          <cell r="G1854"/>
          <cell r="H1854"/>
          <cell r="I1854"/>
          <cell r="J1854"/>
          <cell r="K1854"/>
          <cell r="L1854"/>
          <cell r="M1854"/>
          <cell r="N1854"/>
        </row>
        <row r="1855">
          <cell r="A1855">
            <v>20231852</v>
          </cell>
          <cell r="B1855"/>
          <cell r="C1855"/>
          <cell r="D1855"/>
          <cell r="E1855"/>
          <cell r="F1855"/>
          <cell r="G1855"/>
          <cell r="H1855"/>
          <cell r="I1855"/>
          <cell r="J1855"/>
          <cell r="K1855"/>
          <cell r="L1855"/>
          <cell r="M1855"/>
          <cell r="N1855"/>
        </row>
        <row r="1856">
          <cell r="A1856">
            <v>20231853</v>
          </cell>
          <cell r="B1856"/>
          <cell r="C1856"/>
          <cell r="D1856"/>
          <cell r="E1856"/>
          <cell r="F1856"/>
          <cell r="G1856"/>
          <cell r="H1856"/>
          <cell r="I1856"/>
          <cell r="J1856"/>
          <cell r="K1856"/>
          <cell r="L1856"/>
          <cell r="M1856"/>
          <cell r="N1856"/>
        </row>
        <row r="1857">
          <cell r="A1857">
            <v>20231854</v>
          </cell>
          <cell r="B1857"/>
          <cell r="C1857"/>
          <cell r="D1857"/>
          <cell r="E1857"/>
          <cell r="F1857"/>
          <cell r="G1857"/>
          <cell r="H1857"/>
          <cell r="I1857"/>
          <cell r="J1857"/>
          <cell r="K1857"/>
          <cell r="L1857"/>
          <cell r="M1857"/>
          <cell r="N1857"/>
        </row>
        <row r="1858">
          <cell r="A1858">
            <v>20231855</v>
          </cell>
          <cell r="B1858"/>
          <cell r="C1858"/>
          <cell r="D1858"/>
          <cell r="E1858"/>
          <cell r="F1858"/>
          <cell r="G1858"/>
          <cell r="H1858"/>
          <cell r="I1858"/>
          <cell r="J1858"/>
          <cell r="K1858"/>
          <cell r="L1858"/>
          <cell r="M1858"/>
          <cell r="N1858"/>
        </row>
        <row r="1859">
          <cell r="A1859">
            <v>20231856</v>
          </cell>
          <cell r="B1859"/>
          <cell r="C1859"/>
          <cell r="D1859"/>
          <cell r="E1859"/>
          <cell r="F1859"/>
          <cell r="G1859"/>
          <cell r="H1859"/>
          <cell r="I1859"/>
          <cell r="J1859"/>
          <cell r="K1859"/>
          <cell r="L1859"/>
          <cell r="M1859"/>
          <cell r="N1859"/>
        </row>
        <row r="1860">
          <cell r="A1860">
            <v>20231857</v>
          </cell>
          <cell r="B1860"/>
          <cell r="C1860"/>
          <cell r="D1860"/>
          <cell r="E1860"/>
          <cell r="F1860"/>
          <cell r="G1860"/>
          <cell r="H1860"/>
          <cell r="I1860"/>
          <cell r="J1860"/>
          <cell r="K1860"/>
          <cell r="L1860"/>
          <cell r="M1860"/>
          <cell r="N1860"/>
        </row>
        <row r="1861">
          <cell r="A1861">
            <v>20231858</v>
          </cell>
          <cell r="B1861"/>
          <cell r="C1861"/>
          <cell r="D1861"/>
          <cell r="E1861"/>
          <cell r="F1861"/>
          <cell r="G1861"/>
          <cell r="H1861"/>
          <cell r="I1861"/>
          <cell r="J1861"/>
          <cell r="K1861"/>
          <cell r="L1861"/>
          <cell r="M1861"/>
          <cell r="N1861"/>
        </row>
        <row r="1862">
          <cell r="A1862">
            <v>20231859</v>
          </cell>
          <cell r="B1862"/>
          <cell r="C1862"/>
          <cell r="D1862"/>
          <cell r="E1862"/>
          <cell r="F1862"/>
          <cell r="G1862"/>
          <cell r="H1862"/>
          <cell r="I1862"/>
          <cell r="J1862"/>
          <cell r="K1862"/>
          <cell r="L1862"/>
          <cell r="M1862"/>
          <cell r="N1862"/>
        </row>
        <row r="1863">
          <cell r="A1863">
            <v>20231860</v>
          </cell>
          <cell r="B1863"/>
          <cell r="C1863"/>
          <cell r="D1863"/>
          <cell r="E1863"/>
          <cell r="F1863"/>
          <cell r="G1863"/>
          <cell r="H1863"/>
          <cell r="I1863"/>
          <cell r="J1863"/>
          <cell r="K1863"/>
          <cell r="L1863"/>
          <cell r="M1863"/>
          <cell r="N1863"/>
        </row>
        <row r="1864">
          <cell r="A1864">
            <v>20231861</v>
          </cell>
          <cell r="B1864"/>
          <cell r="C1864"/>
          <cell r="D1864"/>
          <cell r="E1864"/>
          <cell r="F1864"/>
          <cell r="G1864"/>
          <cell r="H1864"/>
          <cell r="I1864"/>
          <cell r="J1864"/>
          <cell r="K1864"/>
          <cell r="L1864"/>
          <cell r="M1864"/>
          <cell r="N1864"/>
        </row>
        <row r="1865">
          <cell r="A1865">
            <v>20231862</v>
          </cell>
          <cell r="B1865"/>
          <cell r="C1865"/>
          <cell r="D1865"/>
          <cell r="E1865"/>
          <cell r="F1865"/>
          <cell r="G1865"/>
          <cell r="H1865"/>
          <cell r="I1865"/>
          <cell r="J1865"/>
          <cell r="K1865"/>
          <cell r="L1865"/>
          <cell r="M1865"/>
          <cell r="N1865"/>
        </row>
        <row r="1866">
          <cell r="A1866">
            <v>20231863</v>
          </cell>
          <cell r="B1866"/>
          <cell r="C1866"/>
          <cell r="D1866"/>
          <cell r="E1866"/>
          <cell r="F1866"/>
          <cell r="G1866"/>
          <cell r="H1866"/>
          <cell r="I1866"/>
          <cell r="J1866"/>
          <cell r="K1866"/>
          <cell r="L1866"/>
          <cell r="M1866"/>
          <cell r="N1866"/>
        </row>
        <row r="1867">
          <cell r="A1867">
            <v>20231864</v>
          </cell>
          <cell r="B1867"/>
          <cell r="C1867"/>
          <cell r="D1867"/>
          <cell r="E1867"/>
          <cell r="F1867"/>
          <cell r="G1867"/>
          <cell r="H1867"/>
          <cell r="I1867"/>
          <cell r="J1867"/>
          <cell r="K1867"/>
          <cell r="L1867"/>
          <cell r="M1867"/>
          <cell r="N1867"/>
        </row>
        <row r="1868">
          <cell r="A1868">
            <v>20231865</v>
          </cell>
          <cell r="B1868"/>
          <cell r="C1868"/>
          <cell r="D1868"/>
          <cell r="E1868"/>
          <cell r="F1868"/>
          <cell r="G1868"/>
          <cell r="H1868"/>
          <cell r="I1868"/>
          <cell r="J1868"/>
          <cell r="K1868"/>
          <cell r="L1868"/>
          <cell r="M1868"/>
          <cell r="N1868"/>
        </row>
        <row r="1869">
          <cell r="A1869">
            <v>20231866</v>
          </cell>
          <cell r="B1869"/>
          <cell r="C1869"/>
          <cell r="D1869"/>
          <cell r="E1869"/>
          <cell r="F1869"/>
          <cell r="G1869"/>
          <cell r="H1869"/>
          <cell r="I1869"/>
          <cell r="J1869"/>
          <cell r="K1869"/>
          <cell r="L1869"/>
          <cell r="M1869"/>
          <cell r="N1869"/>
        </row>
        <row r="1870">
          <cell r="A1870">
            <v>20231867</v>
          </cell>
          <cell r="B1870"/>
          <cell r="C1870"/>
          <cell r="D1870"/>
          <cell r="E1870"/>
          <cell r="F1870"/>
          <cell r="G1870"/>
          <cell r="H1870"/>
          <cell r="I1870"/>
          <cell r="J1870"/>
          <cell r="K1870"/>
          <cell r="L1870"/>
          <cell r="M1870"/>
          <cell r="N1870"/>
        </row>
        <row r="1871">
          <cell r="A1871">
            <v>20231868</v>
          </cell>
          <cell r="B1871"/>
          <cell r="C1871"/>
          <cell r="D1871"/>
          <cell r="E1871"/>
          <cell r="F1871"/>
          <cell r="G1871"/>
          <cell r="H1871"/>
          <cell r="I1871"/>
          <cell r="J1871"/>
          <cell r="K1871"/>
          <cell r="L1871"/>
          <cell r="M1871"/>
          <cell r="N1871"/>
        </row>
        <row r="1872">
          <cell r="A1872">
            <v>20231869</v>
          </cell>
          <cell r="B1872"/>
          <cell r="C1872"/>
          <cell r="D1872"/>
          <cell r="E1872"/>
          <cell r="F1872"/>
          <cell r="G1872"/>
          <cell r="H1872"/>
          <cell r="I1872"/>
          <cell r="J1872"/>
          <cell r="K1872"/>
          <cell r="L1872"/>
          <cell r="M1872"/>
          <cell r="N1872"/>
        </row>
        <row r="1873">
          <cell r="A1873">
            <v>20231870</v>
          </cell>
          <cell r="B1873"/>
          <cell r="C1873"/>
          <cell r="D1873"/>
          <cell r="E1873"/>
          <cell r="F1873"/>
          <cell r="G1873"/>
          <cell r="H1873"/>
          <cell r="I1873"/>
          <cell r="J1873"/>
          <cell r="K1873"/>
          <cell r="L1873"/>
          <cell r="M1873"/>
          <cell r="N1873"/>
        </row>
        <row r="1874">
          <cell r="A1874">
            <v>20231871</v>
          </cell>
          <cell r="B1874"/>
          <cell r="C1874"/>
          <cell r="D1874"/>
          <cell r="E1874"/>
          <cell r="F1874"/>
          <cell r="G1874"/>
          <cell r="H1874"/>
          <cell r="I1874"/>
          <cell r="J1874"/>
          <cell r="K1874"/>
          <cell r="L1874"/>
          <cell r="M1874"/>
          <cell r="N1874"/>
        </row>
        <row r="1875">
          <cell r="A1875">
            <v>20231872</v>
          </cell>
          <cell r="B1875"/>
          <cell r="C1875"/>
          <cell r="D1875"/>
          <cell r="E1875"/>
          <cell r="F1875"/>
          <cell r="G1875"/>
          <cell r="H1875"/>
          <cell r="I1875"/>
          <cell r="J1875"/>
          <cell r="K1875"/>
          <cell r="L1875"/>
          <cell r="M1875"/>
          <cell r="N1875"/>
        </row>
        <row r="1876">
          <cell r="A1876">
            <v>20231873</v>
          </cell>
          <cell r="B1876"/>
          <cell r="C1876"/>
          <cell r="D1876"/>
          <cell r="E1876"/>
          <cell r="F1876"/>
          <cell r="G1876"/>
          <cell r="H1876"/>
          <cell r="I1876"/>
          <cell r="J1876"/>
          <cell r="K1876"/>
          <cell r="L1876"/>
          <cell r="M1876"/>
          <cell r="N1876"/>
        </row>
        <row r="1877">
          <cell r="A1877">
            <v>20231874</v>
          </cell>
          <cell r="B1877"/>
          <cell r="C1877"/>
          <cell r="D1877"/>
          <cell r="E1877"/>
          <cell r="F1877"/>
          <cell r="G1877"/>
          <cell r="H1877"/>
          <cell r="I1877"/>
          <cell r="J1877"/>
          <cell r="K1877"/>
          <cell r="L1877"/>
          <cell r="M1877"/>
          <cell r="N1877"/>
        </row>
        <row r="1878">
          <cell r="A1878">
            <v>20231875</v>
          </cell>
          <cell r="B1878"/>
          <cell r="C1878"/>
          <cell r="D1878"/>
          <cell r="E1878"/>
          <cell r="F1878"/>
          <cell r="G1878"/>
          <cell r="H1878"/>
          <cell r="I1878"/>
          <cell r="J1878"/>
          <cell r="K1878"/>
          <cell r="L1878"/>
          <cell r="M1878"/>
          <cell r="N1878"/>
        </row>
        <row r="1879">
          <cell r="A1879">
            <v>20231876</v>
          </cell>
          <cell r="B1879"/>
          <cell r="C1879"/>
          <cell r="D1879"/>
          <cell r="E1879"/>
          <cell r="F1879"/>
          <cell r="G1879"/>
          <cell r="H1879"/>
          <cell r="I1879"/>
          <cell r="J1879"/>
          <cell r="K1879"/>
          <cell r="L1879"/>
          <cell r="M1879"/>
          <cell r="N1879"/>
        </row>
        <row r="1880">
          <cell r="A1880">
            <v>20231877</v>
          </cell>
          <cell r="B1880"/>
          <cell r="C1880"/>
          <cell r="D1880"/>
          <cell r="E1880"/>
          <cell r="F1880"/>
          <cell r="G1880"/>
          <cell r="H1880"/>
          <cell r="I1880"/>
          <cell r="J1880"/>
          <cell r="K1880"/>
          <cell r="L1880"/>
          <cell r="M1880"/>
          <cell r="N1880"/>
        </row>
        <row r="1881">
          <cell r="A1881">
            <v>20231878</v>
          </cell>
          <cell r="B1881"/>
          <cell r="C1881"/>
          <cell r="D1881"/>
          <cell r="E1881"/>
          <cell r="F1881"/>
          <cell r="G1881"/>
          <cell r="H1881"/>
          <cell r="I1881"/>
          <cell r="J1881"/>
          <cell r="K1881"/>
          <cell r="L1881"/>
          <cell r="M1881"/>
          <cell r="N1881"/>
        </row>
        <row r="1882">
          <cell r="A1882">
            <v>20231879</v>
          </cell>
          <cell r="B1882"/>
          <cell r="C1882"/>
          <cell r="D1882"/>
          <cell r="E1882"/>
          <cell r="F1882"/>
          <cell r="G1882"/>
          <cell r="H1882"/>
          <cell r="I1882"/>
          <cell r="J1882"/>
          <cell r="K1882"/>
          <cell r="L1882"/>
          <cell r="M1882"/>
          <cell r="N1882"/>
        </row>
        <row r="1883">
          <cell r="A1883">
            <v>20231880</v>
          </cell>
          <cell r="B1883"/>
          <cell r="C1883"/>
          <cell r="D1883"/>
          <cell r="E1883"/>
          <cell r="F1883"/>
          <cell r="G1883"/>
          <cell r="H1883"/>
          <cell r="I1883"/>
          <cell r="J1883"/>
          <cell r="K1883"/>
          <cell r="L1883"/>
          <cell r="M1883"/>
          <cell r="N1883"/>
        </row>
        <row r="1884">
          <cell r="A1884">
            <v>20231881</v>
          </cell>
          <cell r="B1884"/>
          <cell r="C1884"/>
          <cell r="D1884"/>
          <cell r="E1884"/>
          <cell r="F1884"/>
          <cell r="G1884"/>
          <cell r="H1884"/>
          <cell r="I1884"/>
          <cell r="J1884"/>
          <cell r="K1884"/>
          <cell r="L1884"/>
          <cell r="M1884"/>
          <cell r="N1884"/>
        </row>
        <row r="1885">
          <cell r="A1885">
            <v>20231882</v>
          </cell>
          <cell r="B1885"/>
          <cell r="C1885"/>
          <cell r="D1885"/>
          <cell r="E1885"/>
          <cell r="F1885"/>
          <cell r="G1885"/>
          <cell r="H1885"/>
          <cell r="I1885"/>
          <cell r="J1885"/>
          <cell r="K1885"/>
          <cell r="L1885"/>
          <cell r="M1885"/>
          <cell r="N1885"/>
        </row>
        <row r="1886">
          <cell r="A1886">
            <v>20231883</v>
          </cell>
          <cell r="B1886"/>
          <cell r="C1886"/>
          <cell r="D1886"/>
          <cell r="E1886"/>
          <cell r="F1886"/>
          <cell r="G1886"/>
          <cell r="H1886"/>
          <cell r="I1886"/>
          <cell r="J1886"/>
          <cell r="K1886"/>
          <cell r="L1886"/>
          <cell r="M1886"/>
          <cell r="N1886"/>
        </row>
        <row r="1887">
          <cell r="A1887">
            <v>20231884</v>
          </cell>
          <cell r="B1887"/>
          <cell r="C1887"/>
          <cell r="D1887"/>
          <cell r="E1887"/>
          <cell r="F1887"/>
          <cell r="G1887"/>
          <cell r="H1887"/>
          <cell r="I1887"/>
          <cell r="J1887"/>
          <cell r="K1887"/>
          <cell r="L1887"/>
          <cell r="M1887"/>
          <cell r="N1887"/>
        </row>
        <row r="1888">
          <cell r="A1888">
            <v>20231885</v>
          </cell>
          <cell r="B1888"/>
          <cell r="C1888"/>
          <cell r="D1888"/>
          <cell r="E1888"/>
          <cell r="F1888"/>
          <cell r="G1888"/>
          <cell r="H1888"/>
          <cell r="I1888"/>
          <cell r="J1888"/>
          <cell r="K1888"/>
          <cell r="L1888"/>
          <cell r="M1888"/>
          <cell r="N1888"/>
        </row>
        <row r="1889">
          <cell r="A1889">
            <v>20231886</v>
          </cell>
          <cell r="B1889"/>
          <cell r="C1889"/>
          <cell r="D1889"/>
          <cell r="E1889"/>
          <cell r="F1889"/>
          <cell r="G1889"/>
          <cell r="H1889"/>
          <cell r="I1889"/>
          <cell r="J1889"/>
          <cell r="K1889"/>
          <cell r="L1889"/>
          <cell r="M1889"/>
          <cell r="N1889"/>
        </row>
        <row r="1890">
          <cell r="A1890">
            <v>20231887</v>
          </cell>
          <cell r="B1890"/>
          <cell r="C1890"/>
          <cell r="D1890"/>
          <cell r="E1890"/>
          <cell r="F1890"/>
          <cell r="G1890"/>
          <cell r="H1890"/>
          <cell r="I1890"/>
          <cell r="J1890"/>
          <cell r="K1890"/>
          <cell r="L1890"/>
          <cell r="M1890"/>
          <cell r="N1890"/>
        </row>
        <row r="1891">
          <cell r="A1891">
            <v>20231888</v>
          </cell>
          <cell r="B1891"/>
          <cell r="C1891"/>
          <cell r="D1891"/>
          <cell r="E1891"/>
          <cell r="F1891"/>
          <cell r="G1891"/>
          <cell r="H1891"/>
          <cell r="I1891"/>
          <cell r="J1891"/>
          <cell r="K1891"/>
          <cell r="L1891"/>
          <cell r="M1891"/>
          <cell r="N1891"/>
        </row>
        <row r="1892">
          <cell r="A1892">
            <v>20231889</v>
          </cell>
          <cell r="B1892"/>
          <cell r="C1892"/>
          <cell r="D1892"/>
          <cell r="E1892"/>
          <cell r="F1892"/>
          <cell r="G1892"/>
          <cell r="H1892"/>
          <cell r="I1892"/>
          <cell r="J1892"/>
          <cell r="K1892"/>
          <cell r="L1892"/>
          <cell r="M1892"/>
          <cell r="N1892"/>
        </row>
        <row r="1893">
          <cell r="A1893">
            <v>20231890</v>
          </cell>
          <cell r="B1893"/>
          <cell r="C1893"/>
          <cell r="D1893"/>
          <cell r="E1893"/>
          <cell r="F1893"/>
          <cell r="G1893"/>
          <cell r="H1893"/>
          <cell r="I1893"/>
          <cell r="J1893"/>
          <cell r="K1893"/>
          <cell r="L1893"/>
          <cell r="M1893"/>
          <cell r="N1893"/>
        </row>
        <row r="1894">
          <cell r="A1894">
            <v>20231891</v>
          </cell>
          <cell r="B1894"/>
          <cell r="C1894"/>
          <cell r="D1894"/>
          <cell r="E1894"/>
          <cell r="F1894"/>
          <cell r="G1894"/>
          <cell r="H1894"/>
          <cell r="I1894"/>
          <cell r="J1894"/>
          <cell r="K1894"/>
          <cell r="L1894"/>
          <cell r="M1894"/>
          <cell r="N1894"/>
        </row>
        <row r="1895">
          <cell r="A1895">
            <v>20231892</v>
          </cell>
          <cell r="B1895"/>
          <cell r="C1895"/>
          <cell r="D1895"/>
          <cell r="E1895"/>
          <cell r="F1895"/>
          <cell r="G1895"/>
          <cell r="H1895"/>
          <cell r="I1895"/>
          <cell r="J1895"/>
          <cell r="K1895"/>
          <cell r="L1895"/>
          <cell r="M1895"/>
          <cell r="N1895"/>
        </row>
        <row r="1896">
          <cell r="A1896">
            <v>20231893</v>
          </cell>
          <cell r="B1896"/>
          <cell r="C1896"/>
          <cell r="D1896"/>
          <cell r="E1896"/>
          <cell r="F1896"/>
          <cell r="G1896"/>
          <cell r="H1896"/>
          <cell r="I1896"/>
          <cell r="J1896"/>
          <cell r="K1896"/>
          <cell r="L1896"/>
          <cell r="M1896"/>
          <cell r="N1896"/>
        </row>
        <row r="1897">
          <cell r="A1897">
            <v>20231894</v>
          </cell>
          <cell r="B1897"/>
          <cell r="C1897"/>
          <cell r="D1897"/>
          <cell r="E1897"/>
          <cell r="F1897"/>
          <cell r="G1897"/>
          <cell r="H1897"/>
          <cell r="I1897"/>
          <cell r="J1897"/>
          <cell r="K1897"/>
          <cell r="L1897"/>
          <cell r="M1897"/>
          <cell r="N1897"/>
        </row>
        <row r="1898">
          <cell r="A1898">
            <v>20231895</v>
          </cell>
          <cell r="B1898"/>
          <cell r="C1898"/>
          <cell r="D1898"/>
          <cell r="E1898"/>
          <cell r="F1898"/>
          <cell r="G1898"/>
          <cell r="H1898"/>
          <cell r="I1898"/>
          <cell r="J1898"/>
          <cell r="K1898"/>
          <cell r="L1898"/>
          <cell r="M1898"/>
          <cell r="N1898"/>
        </row>
        <row r="1899">
          <cell r="A1899">
            <v>20231896</v>
          </cell>
          <cell r="B1899"/>
          <cell r="C1899"/>
          <cell r="D1899"/>
          <cell r="E1899"/>
          <cell r="F1899"/>
          <cell r="G1899"/>
          <cell r="H1899"/>
          <cell r="I1899"/>
          <cell r="J1899"/>
          <cell r="K1899"/>
          <cell r="L1899"/>
          <cell r="M1899"/>
          <cell r="N1899"/>
        </row>
        <row r="1900">
          <cell r="A1900">
            <v>20231897</v>
          </cell>
          <cell r="B1900"/>
          <cell r="C1900"/>
          <cell r="D1900"/>
          <cell r="E1900"/>
          <cell r="F1900"/>
          <cell r="G1900"/>
          <cell r="H1900"/>
          <cell r="I1900"/>
          <cell r="J1900"/>
          <cell r="K1900"/>
          <cell r="L1900"/>
          <cell r="M1900"/>
          <cell r="N1900"/>
        </row>
        <row r="1901">
          <cell r="A1901">
            <v>20231898</v>
          </cell>
          <cell r="B1901"/>
          <cell r="C1901"/>
          <cell r="D1901"/>
          <cell r="E1901"/>
          <cell r="F1901"/>
          <cell r="G1901"/>
          <cell r="H1901"/>
          <cell r="I1901"/>
          <cell r="J1901"/>
          <cell r="K1901"/>
          <cell r="L1901"/>
          <cell r="M1901"/>
          <cell r="N1901"/>
        </row>
        <row r="1902">
          <cell r="A1902">
            <v>20231899</v>
          </cell>
          <cell r="B1902"/>
          <cell r="C1902"/>
          <cell r="D1902"/>
          <cell r="E1902"/>
          <cell r="F1902"/>
          <cell r="G1902"/>
          <cell r="H1902"/>
          <cell r="I1902"/>
          <cell r="J1902"/>
          <cell r="K1902"/>
          <cell r="L1902"/>
          <cell r="M1902"/>
          <cell r="N1902"/>
        </row>
        <row r="1903">
          <cell r="A1903">
            <v>20231900</v>
          </cell>
          <cell r="B1903"/>
          <cell r="C1903"/>
          <cell r="D1903"/>
          <cell r="E1903"/>
          <cell r="F1903"/>
          <cell r="G1903"/>
          <cell r="H1903"/>
          <cell r="I1903"/>
          <cell r="J1903"/>
          <cell r="K1903"/>
          <cell r="L1903"/>
          <cell r="M1903"/>
          <cell r="N1903"/>
        </row>
        <row r="1904">
          <cell r="A1904">
            <v>20231901</v>
          </cell>
          <cell r="B1904"/>
          <cell r="C1904"/>
          <cell r="D1904"/>
          <cell r="E1904"/>
          <cell r="F1904"/>
          <cell r="G1904"/>
          <cell r="H1904"/>
          <cell r="I1904"/>
          <cell r="J1904"/>
          <cell r="K1904"/>
          <cell r="L1904"/>
          <cell r="M1904"/>
          <cell r="N1904"/>
        </row>
        <row r="1905">
          <cell r="A1905">
            <v>20231902</v>
          </cell>
          <cell r="B1905"/>
          <cell r="C1905"/>
          <cell r="D1905"/>
          <cell r="E1905"/>
          <cell r="F1905"/>
          <cell r="G1905"/>
          <cell r="H1905"/>
          <cell r="I1905"/>
          <cell r="J1905"/>
          <cell r="K1905"/>
          <cell r="L1905"/>
          <cell r="M1905"/>
          <cell r="N1905"/>
        </row>
        <row r="1906">
          <cell r="A1906">
            <v>20231903</v>
          </cell>
          <cell r="B1906"/>
          <cell r="C1906"/>
          <cell r="D1906"/>
          <cell r="E1906"/>
          <cell r="F1906"/>
          <cell r="G1906"/>
          <cell r="H1906"/>
          <cell r="I1906"/>
          <cell r="J1906"/>
          <cell r="K1906"/>
          <cell r="L1906"/>
          <cell r="M1906"/>
          <cell r="N1906"/>
        </row>
        <row r="1907">
          <cell r="A1907">
            <v>20231904</v>
          </cell>
          <cell r="B1907"/>
          <cell r="C1907"/>
          <cell r="D1907"/>
          <cell r="E1907"/>
          <cell r="F1907"/>
          <cell r="G1907"/>
          <cell r="H1907"/>
          <cell r="I1907"/>
          <cell r="J1907"/>
          <cell r="K1907"/>
          <cell r="L1907"/>
          <cell r="M1907"/>
          <cell r="N1907"/>
        </row>
        <row r="1908">
          <cell r="A1908">
            <v>20231905</v>
          </cell>
          <cell r="B1908"/>
          <cell r="C1908"/>
          <cell r="D1908"/>
          <cell r="E1908"/>
          <cell r="F1908"/>
          <cell r="G1908"/>
          <cell r="H1908"/>
          <cell r="I1908"/>
          <cell r="J1908"/>
          <cell r="K1908"/>
          <cell r="L1908"/>
          <cell r="M1908"/>
          <cell r="N1908"/>
        </row>
        <row r="1909">
          <cell r="A1909">
            <v>20231906</v>
          </cell>
          <cell r="B1909"/>
          <cell r="C1909"/>
          <cell r="D1909"/>
          <cell r="E1909"/>
          <cell r="F1909"/>
          <cell r="G1909"/>
          <cell r="H1909"/>
          <cell r="I1909"/>
          <cell r="J1909"/>
          <cell r="K1909"/>
          <cell r="L1909"/>
          <cell r="M1909"/>
          <cell r="N1909"/>
        </row>
        <row r="1910">
          <cell r="A1910">
            <v>20231907</v>
          </cell>
          <cell r="B1910"/>
          <cell r="C1910"/>
          <cell r="D1910"/>
          <cell r="E1910"/>
          <cell r="F1910"/>
          <cell r="G1910"/>
          <cell r="H1910"/>
          <cell r="I1910"/>
          <cell r="J1910"/>
          <cell r="K1910"/>
          <cell r="L1910"/>
          <cell r="M1910"/>
          <cell r="N1910"/>
        </row>
        <row r="1911">
          <cell r="A1911">
            <v>20231908</v>
          </cell>
          <cell r="B1911"/>
          <cell r="C1911"/>
          <cell r="D1911"/>
          <cell r="E1911"/>
          <cell r="F1911"/>
          <cell r="G1911"/>
          <cell r="H1911"/>
          <cell r="I1911"/>
          <cell r="J1911"/>
          <cell r="K1911"/>
          <cell r="L1911"/>
          <cell r="M1911"/>
          <cell r="N1911"/>
        </row>
        <row r="1912">
          <cell r="A1912">
            <v>20231909</v>
          </cell>
          <cell r="B1912"/>
          <cell r="C1912"/>
          <cell r="D1912"/>
          <cell r="E1912"/>
          <cell r="F1912"/>
          <cell r="G1912"/>
          <cell r="H1912"/>
          <cell r="I1912"/>
          <cell r="J1912"/>
          <cell r="K1912"/>
          <cell r="L1912"/>
          <cell r="M1912"/>
          <cell r="N1912"/>
        </row>
        <row r="1913">
          <cell r="A1913">
            <v>20231910</v>
          </cell>
          <cell r="B1913"/>
          <cell r="C1913"/>
          <cell r="D1913"/>
          <cell r="E1913"/>
          <cell r="F1913"/>
          <cell r="G1913"/>
          <cell r="H1913"/>
          <cell r="I1913"/>
          <cell r="J1913"/>
          <cell r="K1913"/>
          <cell r="L1913"/>
          <cell r="M1913"/>
          <cell r="N1913"/>
        </row>
        <row r="1914">
          <cell r="A1914">
            <v>20231911</v>
          </cell>
          <cell r="B1914"/>
          <cell r="C1914"/>
          <cell r="D1914"/>
          <cell r="E1914"/>
          <cell r="F1914"/>
          <cell r="G1914"/>
          <cell r="H1914"/>
          <cell r="I1914"/>
          <cell r="J1914"/>
          <cell r="K1914"/>
          <cell r="L1914"/>
          <cell r="M1914"/>
          <cell r="N1914"/>
        </row>
        <row r="1915">
          <cell r="A1915">
            <v>20231912</v>
          </cell>
          <cell r="B1915"/>
          <cell r="C1915"/>
          <cell r="D1915"/>
          <cell r="E1915"/>
          <cell r="F1915"/>
          <cell r="G1915"/>
          <cell r="H1915"/>
          <cell r="I1915"/>
          <cell r="J1915"/>
          <cell r="K1915"/>
          <cell r="L1915"/>
          <cell r="M1915"/>
          <cell r="N1915"/>
        </row>
        <row r="1916">
          <cell r="A1916">
            <v>20231913</v>
          </cell>
          <cell r="B1916"/>
          <cell r="C1916"/>
          <cell r="D1916"/>
          <cell r="E1916"/>
          <cell r="F1916"/>
          <cell r="G1916"/>
          <cell r="H1916"/>
          <cell r="I1916"/>
          <cell r="J1916"/>
          <cell r="K1916"/>
          <cell r="L1916"/>
          <cell r="M1916"/>
          <cell r="N1916"/>
        </row>
        <row r="1917">
          <cell r="A1917">
            <v>20231914</v>
          </cell>
          <cell r="B1917"/>
          <cell r="C1917"/>
          <cell r="D1917"/>
          <cell r="E1917"/>
          <cell r="F1917"/>
          <cell r="G1917"/>
          <cell r="H1917"/>
          <cell r="I1917"/>
          <cell r="J1917"/>
          <cell r="K1917"/>
          <cell r="L1917"/>
          <cell r="M1917"/>
          <cell r="N1917"/>
        </row>
        <row r="1918">
          <cell r="A1918">
            <v>20231915</v>
          </cell>
          <cell r="B1918"/>
          <cell r="C1918"/>
          <cell r="D1918"/>
          <cell r="E1918"/>
          <cell r="F1918"/>
          <cell r="G1918"/>
          <cell r="H1918"/>
          <cell r="I1918"/>
          <cell r="J1918"/>
          <cell r="K1918"/>
          <cell r="L1918"/>
          <cell r="M1918"/>
          <cell r="N1918"/>
        </row>
        <row r="1919">
          <cell r="A1919">
            <v>20231916</v>
          </cell>
          <cell r="B1919"/>
          <cell r="C1919"/>
          <cell r="D1919"/>
          <cell r="E1919"/>
          <cell r="F1919"/>
          <cell r="G1919"/>
          <cell r="H1919"/>
          <cell r="I1919"/>
          <cell r="J1919"/>
          <cell r="K1919"/>
          <cell r="L1919"/>
          <cell r="M1919"/>
          <cell r="N1919"/>
        </row>
        <row r="1920">
          <cell r="A1920">
            <v>20231917</v>
          </cell>
          <cell r="B1920"/>
          <cell r="C1920"/>
          <cell r="D1920"/>
          <cell r="E1920"/>
          <cell r="F1920"/>
          <cell r="G1920"/>
          <cell r="H1920"/>
          <cell r="I1920"/>
          <cell r="J1920"/>
          <cell r="K1920"/>
          <cell r="L1920"/>
          <cell r="M1920"/>
          <cell r="N1920"/>
        </row>
        <row r="1921">
          <cell r="A1921">
            <v>20231918</v>
          </cell>
          <cell r="B1921"/>
          <cell r="C1921"/>
          <cell r="D1921"/>
          <cell r="E1921"/>
          <cell r="F1921"/>
          <cell r="G1921"/>
          <cell r="H1921"/>
          <cell r="I1921"/>
          <cell r="J1921"/>
          <cell r="K1921"/>
          <cell r="L1921"/>
          <cell r="M1921"/>
          <cell r="N1921"/>
        </row>
        <row r="1922">
          <cell r="A1922">
            <v>20231919</v>
          </cell>
          <cell r="B1922"/>
          <cell r="C1922"/>
          <cell r="D1922"/>
          <cell r="E1922"/>
          <cell r="F1922"/>
          <cell r="G1922"/>
          <cell r="H1922"/>
          <cell r="I1922"/>
          <cell r="J1922"/>
          <cell r="K1922"/>
          <cell r="L1922"/>
          <cell r="M1922"/>
          <cell r="N1922"/>
        </row>
        <row r="1923">
          <cell r="A1923">
            <v>20231920</v>
          </cell>
          <cell r="B1923"/>
          <cell r="C1923"/>
          <cell r="D1923"/>
          <cell r="E1923"/>
          <cell r="F1923"/>
          <cell r="G1923"/>
          <cell r="H1923"/>
          <cell r="I1923"/>
          <cell r="J1923"/>
          <cell r="K1923"/>
          <cell r="L1923"/>
          <cell r="M1923"/>
          <cell r="N1923"/>
        </row>
        <row r="1924">
          <cell r="A1924">
            <v>20231921</v>
          </cell>
          <cell r="B1924"/>
          <cell r="C1924"/>
          <cell r="D1924"/>
          <cell r="E1924"/>
          <cell r="F1924"/>
          <cell r="G1924"/>
          <cell r="H1924"/>
          <cell r="I1924"/>
          <cell r="J1924"/>
          <cell r="K1924"/>
          <cell r="L1924"/>
          <cell r="M1924"/>
          <cell r="N1924"/>
        </row>
        <row r="1925">
          <cell r="A1925">
            <v>20231922</v>
          </cell>
          <cell r="B1925"/>
          <cell r="C1925"/>
          <cell r="D1925"/>
          <cell r="E1925"/>
          <cell r="F1925"/>
          <cell r="G1925"/>
          <cell r="H1925"/>
          <cell r="I1925"/>
          <cell r="J1925"/>
          <cell r="K1925"/>
          <cell r="L1925"/>
          <cell r="M1925"/>
          <cell r="N1925"/>
        </row>
        <row r="1926">
          <cell r="A1926">
            <v>20231923</v>
          </cell>
          <cell r="B1926"/>
          <cell r="C1926"/>
          <cell r="D1926"/>
          <cell r="E1926"/>
          <cell r="F1926"/>
          <cell r="G1926"/>
          <cell r="H1926"/>
          <cell r="I1926"/>
          <cell r="J1926"/>
          <cell r="K1926"/>
          <cell r="L1926"/>
          <cell r="M1926"/>
          <cell r="N1926"/>
        </row>
        <row r="1927">
          <cell r="A1927">
            <v>20231924</v>
          </cell>
          <cell r="B1927"/>
          <cell r="C1927"/>
          <cell r="D1927"/>
          <cell r="E1927"/>
          <cell r="F1927"/>
          <cell r="G1927"/>
          <cell r="H1927"/>
          <cell r="I1927"/>
          <cell r="J1927"/>
          <cell r="K1927"/>
          <cell r="L1927"/>
          <cell r="M1927"/>
          <cell r="N1927"/>
        </row>
        <row r="1928">
          <cell r="A1928">
            <v>20231925</v>
          </cell>
          <cell r="B1928"/>
          <cell r="C1928"/>
          <cell r="D1928"/>
          <cell r="E1928"/>
          <cell r="F1928"/>
          <cell r="G1928"/>
          <cell r="H1928"/>
          <cell r="I1928"/>
          <cell r="J1928"/>
          <cell r="K1928"/>
          <cell r="L1928"/>
          <cell r="M1928"/>
          <cell r="N1928"/>
        </row>
        <row r="1929">
          <cell r="A1929">
            <v>20231926</v>
          </cell>
          <cell r="B1929"/>
          <cell r="C1929"/>
          <cell r="D1929"/>
          <cell r="E1929"/>
          <cell r="F1929"/>
          <cell r="G1929"/>
          <cell r="H1929"/>
          <cell r="I1929"/>
          <cell r="J1929"/>
          <cell r="K1929"/>
          <cell r="L1929"/>
          <cell r="M1929"/>
          <cell r="N1929"/>
        </row>
        <row r="1930">
          <cell r="A1930">
            <v>20231927</v>
          </cell>
          <cell r="B1930"/>
          <cell r="C1930"/>
          <cell r="D1930"/>
          <cell r="E1930"/>
          <cell r="F1930"/>
          <cell r="G1930"/>
          <cell r="H1930"/>
          <cell r="I1930"/>
          <cell r="J1930"/>
          <cell r="K1930"/>
          <cell r="L1930"/>
          <cell r="M1930"/>
          <cell r="N1930"/>
        </row>
        <row r="1931">
          <cell r="A1931">
            <v>20231928</v>
          </cell>
          <cell r="B1931"/>
          <cell r="C1931"/>
          <cell r="D1931"/>
          <cell r="E1931"/>
          <cell r="F1931"/>
          <cell r="G1931"/>
          <cell r="H1931"/>
          <cell r="I1931"/>
          <cell r="J1931"/>
          <cell r="K1931"/>
          <cell r="L1931"/>
          <cell r="M1931"/>
          <cell r="N1931"/>
        </row>
        <row r="1932">
          <cell r="A1932">
            <v>20231929</v>
          </cell>
          <cell r="B1932"/>
          <cell r="C1932"/>
          <cell r="D1932"/>
          <cell r="E1932"/>
          <cell r="F1932"/>
          <cell r="G1932"/>
          <cell r="H1932"/>
          <cell r="I1932"/>
          <cell r="J1932"/>
          <cell r="K1932"/>
          <cell r="L1932"/>
          <cell r="M1932"/>
          <cell r="N1932"/>
        </row>
        <row r="1933">
          <cell r="A1933">
            <v>20231930</v>
          </cell>
          <cell r="B1933"/>
          <cell r="C1933"/>
          <cell r="D1933"/>
          <cell r="E1933"/>
          <cell r="F1933"/>
          <cell r="G1933"/>
          <cell r="H1933"/>
          <cell r="I1933"/>
          <cell r="J1933"/>
          <cell r="K1933"/>
          <cell r="L1933"/>
          <cell r="M1933"/>
          <cell r="N1933"/>
        </row>
        <row r="1934">
          <cell r="A1934">
            <v>20231931</v>
          </cell>
          <cell r="B1934"/>
          <cell r="C1934"/>
          <cell r="D1934"/>
          <cell r="E1934"/>
          <cell r="F1934"/>
          <cell r="G1934"/>
          <cell r="H1934"/>
          <cell r="I1934"/>
          <cell r="J1934"/>
          <cell r="K1934"/>
          <cell r="L1934"/>
          <cell r="M1934"/>
          <cell r="N1934"/>
        </row>
        <row r="1935">
          <cell r="A1935">
            <v>20231932</v>
          </cell>
          <cell r="B1935"/>
          <cell r="C1935"/>
          <cell r="D1935"/>
          <cell r="E1935"/>
          <cell r="F1935"/>
          <cell r="G1935"/>
          <cell r="H1935"/>
          <cell r="I1935"/>
          <cell r="J1935"/>
          <cell r="K1935"/>
          <cell r="L1935"/>
          <cell r="M1935"/>
          <cell r="N1935"/>
        </row>
        <row r="1936">
          <cell r="A1936">
            <v>20231933</v>
          </cell>
          <cell r="B1936"/>
          <cell r="C1936"/>
          <cell r="D1936"/>
          <cell r="E1936"/>
          <cell r="F1936"/>
          <cell r="G1936"/>
          <cell r="H1936"/>
          <cell r="I1936"/>
          <cell r="J1936"/>
          <cell r="K1936"/>
          <cell r="L1936"/>
          <cell r="M1936"/>
          <cell r="N1936"/>
        </row>
        <row r="1937">
          <cell r="A1937">
            <v>20231934</v>
          </cell>
          <cell r="B1937"/>
          <cell r="C1937"/>
          <cell r="D1937"/>
          <cell r="E1937"/>
          <cell r="F1937"/>
          <cell r="G1937"/>
          <cell r="H1937"/>
          <cell r="I1937"/>
          <cell r="J1937"/>
          <cell r="K1937"/>
          <cell r="L1937"/>
          <cell r="M1937"/>
          <cell r="N1937"/>
        </row>
        <row r="1938">
          <cell r="A1938">
            <v>20231935</v>
          </cell>
          <cell r="B1938"/>
          <cell r="C1938"/>
          <cell r="D1938"/>
          <cell r="E1938"/>
          <cell r="F1938"/>
          <cell r="G1938"/>
          <cell r="H1938"/>
          <cell r="I1938"/>
          <cell r="J1938"/>
          <cell r="K1938"/>
          <cell r="L1938"/>
          <cell r="M1938"/>
          <cell r="N1938"/>
        </row>
        <row r="1939">
          <cell r="A1939">
            <v>20231936</v>
          </cell>
          <cell r="B1939"/>
          <cell r="C1939"/>
          <cell r="D1939"/>
          <cell r="E1939"/>
          <cell r="F1939"/>
          <cell r="G1939"/>
          <cell r="H1939"/>
          <cell r="I1939"/>
          <cell r="J1939"/>
          <cell r="K1939"/>
          <cell r="L1939"/>
          <cell r="M1939"/>
          <cell r="N1939"/>
        </row>
        <row r="1940">
          <cell r="A1940">
            <v>20231937</v>
          </cell>
          <cell r="B1940"/>
          <cell r="C1940"/>
          <cell r="D1940"/>
          <cell r="E1940"/>
          <cell r="F1940"/>
          <cell r="G1940"/>
          <cell r="H1940"/>
          <cell r="I1940"/>
          <cell r="J1940"/>
          <cell r="K1940"/>
          <cell r="L1940"/>
          <cell r="M1940"/>
          <cell r="N1940"/>
        </row>
        <row r="1941">
          <cell r="A1941">
            <v>20231938</v>
          </cell>
          <cell r="B1941"/>
          <cell r="C1941"/>
          <cell r="D1941"/>
          <cell r="E1941"/>
          <cell r="F1941"/>
          <cell r="G1941"/>
          <cell r="H1941"/>
          <cell r="I1941"/>
          <cell r="J1941"/>
          <cell r="K1941"/>
          <cell r="L1941"/>
          <cell r="M1941"/>
          <cell r="N1941"/>
        </row>
        <row r="1942">
          <cell r="A1942">
            <v>20231939</v>
          </cell>
          <cell r="B1942"/>
          <cell r="C1942"/>
          <cell r="D1942"/>
          <cell r="E1942"/>
          <cell r="F1942"/>
          <cell r="G1942"/>
          <cell r="H1942"/>
          <cell r="I1942"/>
          <cell r="J1942"/>
          <cell r="K1942"/>
          <cell r="L1942"/>
          <cell r="M1942"/>
          <cell r="N1942"/>
        </row>
        <row r="1943">
          <cell r="A1943">
            <v>20231940</v>
          </cell>
          <cell r="B1943"/>
          <cell r="C1943"/>
          <cell r="D1943"/>
          <cell r="E1943"/>
          <cell r="F1943"/>
          <cell r="G1943"/>
          <cell r="H1943"/>
          <cell r="I1943"/>
          <cell r="J1943"/>
          <cell r="K1943"/>
          <cell r="L1943"/>
          <cell r="M1943"/>
          <cell r="N1943"/>
        </row>
        <row r="1944">
          <cell r="A1944">
            <v>20231941</v>
          </cell>
          <cell r="B1944"/>
          <cell r="C1944"/>
          <cell r="D1944"/>
          <cell r="E1944"/>
          <cell r="F1944"/>
          <cell r="G1944"/>
          <cell r="H1944"/>
          <cell r="I1944"/>
          <cell r="J1944"/>
          <cell r="K1944"/>
          <cell r="L1944"/>
          <cell r="M1944"/>
          <cell r="N1944"/>
        </row>
        <row r="1945">
          <cell r="A1945">
            <v>20231942</v>
          </cell>
          <cell r="B1945"/>
          <cell r="C1945"/>
          <cell r="D1945"/>
          <cell r="E1945"/>
          <cell r="F1945"/>
          <cell r="G1945"/>
          <cell r="H1945"/>
          <cell r="I1945"/>
          <cell r="J1945"/>
          <cell r="K1945"/>
          <cell r="L1945"/>
          <cell r="M1945"/>
          <cell r="N1945"/>
        </row>
        <row r="1946">
          <cell r="A1946">
            <v>20231943</v>
          </cell>
          <cell r="B1946"/>
          <cell r="C1946"/>
          <cell r="D1946"/>
          <cell r="E1946"/>
          <cell r="F1946"/>
          <cell r="G1946"/>
          <cell r="H1946"/>
          <cell r="I1946"/>
          <cell r="J1946"/>
          <cell r="K1946"/>
          <cell r="L1946"/>
          <cell r="M1946"/>
          <cell r="N1946"/>
        </row>
        <row r="1947">
          <cell r="A1947">
            <v>20231944</v>
          </cell>
          <cell r="B1947"/>
          <cell r="C1947"/>
          <cell r="D1947"/>
          <cell r="E1947"/>
          <cell r="F1947"/>
          <cell r="G1947"/>
          <cell r="H1947"/>
          <cell r="I1947"/>
          <cell r="J1947"/>
          <cell r="K1947"/>
          <cell r="L1947"/>
          <cell r="M1947"/>
          <cell r="N1947"/>
        </row>
        <row r="1948">
          <cell r="A1948">
            <v>20231945</v>
          </cell>
          <cell r="B1948"/>
          <cell r="C1948"/>
          <cell r="D1948"/>
          <cell r="E1948"/>
          <cell r="F1948"/>
          <cell r="G1948"/>
          <cell r="H1948"/>
          <cell r="I1948"/>
          <cell r="J1948"/>
          <cell r="K1948"/>
          <cell r="L1948"/>
          <cell r="M1948"/>
          <cell r="N1948"/>
        </row>
        <row r="1949">
          <cell r="A1949">
            <v>20231946</v>
          </cell>
          <cell r="B1949"/>
          <cell r="C1949"/>
          <cell r="D1949"/>
          <cell r="E1949"/>
          <cell r="F1949"/>
          <cell r="G1949"/>
          <cell r="H1949"/>
          <cell r="I1949"/>
          <cell r="J1949"/>
          <cell r="K1949"/>
          <cell r="L1949"/>
          <cell r="M1949"/>
          <cell r="N1949"/>
        </row>
        <row r="1950">
          <cell r="A1950">
            <v>20231947</v>
          </cell>
          <cell r="B1950"/>
          <cell r="C1950"/>
          <cell r="D1950"/>
          <cell r="E1950"/>
          <cell r="F1950"/>
          <cell r="G1950"/>
          <cell r="H1950"/>
          <cell r="I1950"/>
          <cell r="J1950"/>
          <cell r="K1950"/>
          <cell r="L1950"/>
          <cell r="M1950"/>
          <cell r="N1950"/>
        </row>
        <row r="1951">
          <cell r="A1951">
            <v>20231948</v>
          </cell>
          <cell r="B1951"/>
          <cell r="C1951"/>
          <cell r="D1951"/>
          <cell r="E1951"/>
          <cell r="F1951"/>
          <cell r="G1951"/>
          <cell r="H1951"/>
          <cell r="I1951"/>
          <cell r="J1951"/>
          <cell r="K1951"/>
          <cell r="L1951"/>
          <cell r="M1951"/>
          <cell r="N1951"/>
        </row>
        <row r="1952">
          <cell r="A1952">
            <v>20231949</v>
          </cell>
          <cell r="B1952"/>
          <cell r="C1952"/>
          <cell r="D1952"/>
          <cell r="E1952"/>
          <cell r="F1952"/>
          <cell r="G1952"/>
          <cell r="H1952"/>
          <cell r="I1952"/>
          <cell r="J1952"/>
          <cell r="K1952"/>
          <cell r="L1952"/>
          <cell r="M1952"/>
          <cell r="N1952"/>
        </row>
        <row r="1953">
          <cell r="A1953">
            <v>20231950</v>
          </cell>
          <cell r="B1953"/>
          <cell r="C1953"/>
          <cell r="D1953"/>
          <cell r="E1953"/>
          <cell r="F1953"/>
          <cell r="G1953"/>
          <cell r="H1953"/>
          <cell r="I1953"/>
          <cell r="J1953"/>
          <cell r="K1953"/>
          <cell r="L1953"/>
          <cell r="M1953"/>
          <cell r="N1953"/>
        </row>
        <row r="1954">
          <cell r="A1954">
            <v>20231951</v>
          </cell>
          <cell r="B1954"/>
          <cell r="C1954"/>
          <cell r="D1954"/>
          <cell r="E1954"/>
          <cell r="F1954"/>
          <cell r="G1954"/>
          <cell r="H1954"/>
          <cell r="I1954"/>
          <cell r="J1954"/>
          <cell r="K1954"/>
          <cell r="L1954"/>
          <cell r="M1954"/>
          <cell r="N1954"/>
        </row>
        <row r="1955">
          <cell r="A1955">
            <v>20231952</v>
          </cell>
          <cell r="B1955"/>
          <cell r="C1955"/>
          <cell r="D1955"/>
          <cell r="E1955"/>
          <cell r="F1955"/>
          <cell r="G1955"/>
          <cell r="H1955"/>
          <cell r="I1955"/>
          <cell r="J1955"/>
          <cell r="K1955"/>
          <cell r="L1955"/>
          <cell r="M1955"/>
          <cell r="N1955"/>
        </row>
        <row r="1956">
          <cell r="A1956">
            <v>20231953</v>
          </cell>
          <cell r="B1956"/>
          <cell r="C1956"/>
          <cell r="D1956"/>
          <cell r="E1956"/>
          <cell r="F1956"/>
          <cell r="G1956"/>
          <cell r="H1956"/>
          <cell r="I1956"/>
          <cell r="J1956"/>
          <cell r="K1956"/>
          <cell r="L1956"/>
          <cell r="M1956"/>
          <cell r="N1956"/>
        </row>
        <row r="1957">
          <cell r="A1957">
            <v>20231954</v>
          </cell>
          <cell r="B1957"/>
          <cell r="C1957"/>
          <cell r="D1957"/>
          <cell r="E1957"/>
          <cell r="F1957"/>
          <cell r="G1957"/>
          <cell r="H1957"/>
          <cell r="I1957"/>
          <cell r="J1957"/>
          <cell r="K1957"/>
          <cell r="L1957"/>
          <cell r="M1957"/>
          <cell r="N1957"/>
        </row>
        <row r="1958">
          <cell r="A1958">
            <v>20231955</v>
          </cell>
          <cell r="B1958"/>
          <cell r="C1958"/>
          <cell r="D1958"/>
          <cell r="E1958"/>
          <cell r="F1958"/>
          <cell r="G1958"/>
          <cell r="H1958"/>
          <cell r="I1958"/>
          <cell r="J1958"/>
          <cell r="K1958"/>
          <cell r="L1958"/>
          <cell r="M1958"/>
          <cell r="N1958"/>
        </row>
        <row r="1959">
          <cell r="A1959">
            <v>20231956</v>
          </cell>
          <cell r="B1959"/>
          <cell r="C1959"/>
          <cell r="D1959"/>
          <cell r="E1959"/>
          <cell r="F1959"/>
          <cell r="G1959"/>
          <cell r="H1959"/>
          <cell r="I1959"/>
          <cell r="J1959"/>
          <cell r="K1959"/>
          <cell r="L1959"/>
          <cell r="M1959"/>
          <cell r="N1959"/>
        </row>
        <row r="1960">
          <cell r="A1960">
            <v>20231957</v>
          </cell>
          <cell r="B1960"/>
          <cell r="C1960"/>
          <cell r="D1960"/>
          <cell r="E1960"/>
          <cell r="F1960"/>
          <cell r="G1960"/>
          <cell r="H1960"/>
          <cell r="I1960"/>
          <cell r="J1960"/>
          <cell r="K1960"/>
          <cell r="L1960"/>
          <cell r="M1960"/>
          <cell r="N1960"/>
        </row>
        <row r="1961">
          <cell r="A1961">
            <v>20231958</v>
          </cell>
          <cell r="B1961"/>
          <cell r="C1961"/>
          <cell r="D1961"/>
          <cell r="E1961"/>
          <cell r="F1961"/>
          <cell r="G1961"/>
          <cell r="H1961"/>
          <cell r="I1961"/>
          <cell r="J1961"/>
          <cell r="K1961"/>
          <cell r="L1961"/>
          <cell r="M1961"/>
          <cell r="N1961"/>
        </row>
        <row r="1962">
          <cell r="A1962">
            <v>20231959</v>
          </cell>
          <cell r="B1962"/>
          <cell r="C1962"/>
          <cell r="D1962"/>
          <cell r="E1962"/>
          <cell r="F1962"/>
          <cell r="G1962"/>
          <cell r="H1962"/>
          <cell r="I1962"/>
          <cell r="J1962"/>
          <cell r="K1962"/>
          <cell r="L1962"/>
          <cell r="M1962"/>
          <cell r="N1962"/>
        </row>
        <row r="1963">
          <cell r="A1963">
            <v>20231960</v>
          </cell>
          <cell r="B1963"/>
          <cell r="C1963"/>
          <cell r="D1963"/>
          <cell r="E1963"/>
          <cell r="F1963"/>
          <cell r="G1963"/>
          <cell r="H1963"/>
          <cell r="I1963"/>
          <cell r="J1963"/>
          <cell r="K1963"/>
          <cell r="L1963"/>
          <cell r="M1963"/>
          <cell r="N1963"/>
        </row>
        <row r="1964">
          <cell r="A1964">
            <v>20231961</v>
          </cell>
          <cell r="B1964"/>
          <cell r="C1964"/>
          <cell r="D1964"/>
          <cell r="E1964"/>
          <cell r="F1964"/>
          <cell r="G1964"/>
          <cell r="H1964"/>
          <cell r="I1964"/>
          <cell r="J1964"/>
          <cell r="K1964"/>
          <cell r="L1964"/>
          <cell r="M1964"/>
          <cell r="N1964"/>
        </row>
        <row r="1965">
          <cell r="A1965">
            <v>20231962</v>
          </cell>
          <cell r="B1965"/>
          <cell r="C1965"/>
          <cell r="D1965"/>
          <cell r="E1965"/>
          <cell r="F1965"/>
          <cell r="G1965"/>
          <cell r="H1965"/>
          <cell r="I1965"/>
          <cell r="J1965"/>
          <cell r="K1965"/>
          <cell r="L1965"/>
          <cell r="M1965"/>
          <cell r="N1965"/>
        </row>
        <row r="1966">
          <cell r="A1966">
            <v>20231963</v>
          </cell>
          <cell r="B1966"/>
          <cell r="C1966"/>
          <cell r="D1966"/>
          <cell r="E1966"/>
          <cell r="F1966"/>
          <cell r="G1966"/>
          <cell r="H1966"/>
          <cell r="I1966"/>
          <cell r="J1966"/>
          <cell r="K1966"/>
          <cell r="L1966"/>
          <cell r="M1966"/>
          <cell r="N1966"/>
        </row>
        <row r="1967">
          <cell r="A1967">
            <v>20231964</v>
          </cell>
          <cell r="B1967"/>
          <cell r="C1967"/>
          <cell r="D1967"/>
          <cell r="E1967"/>
          <cell r="F1967"/>
          <cell r="G1967"/>
          <cell r="H1967"/>
          <cell r="I1967"/>
          <cell r="J1967"/>
          <cell r="K1967"/>
          <cell r="L1967"/>
          <cell r="M1967"/>
          <cell r="N1967"/>
        </row>
        <row r="1968">
          <cell r="A1968">
            <v>20231965</v>
          </cell>
          <cell r="B1968"/>
          <cell r="C1968"/>
          <cell r="D1968"/>
          <cell r="E1968"/>
          <cell r="F1968"/>
          <cell r="G1968"/>
          <cell r="H1968"/>
          <cell r="I1968"/>
          <cell r="J1968"/>
          <cell r="K1968"/>
          <cell r="L1968"/>
          <cell r="M1968"/>
          <cell r="N1968"/>
        </row>
        <row r="1969">
          <cell r="A1969">
            <v>20231966</v>
          </cell>
          <cell r="B1969"/>
          <cell r="C1969"/>
          <cell r="D1969"/>
          <cell r="E1969"/>
          <cell r="F1969"/>
          <cell r="G1969"/>
          <cell r="H1969"/>
          <cell r="I1969"/>
          <cell r="J1969"/>
          <cell r="K1969"/>
          <cell r="L1969"/>
          <cell r="M1969"/>
          <cell r="N1969"/>
        </row>
        <row r="1970">
          <cell r="A1970">
            <v>20231967</v>
          </cell>
          <cell r="B1970"/>
          <cell r="C1970"/>
          <cell r="D1970"/>
          <cell r="E1970"/>
          <cell r="F1970"/>
          <cell r="G1970"/>
          <cell r="H1970"/>
          <cell r="I1970"/>
          <cell r="J1970"/>
          <cell r="K1970"/>
          <cell r="L1970"/>
          <cell r="M1970"/>
          <cell r="N1970"/>
        </row>
        <row r="1971">
          <cell r="A1971">
            <v>20231968</v>
          </cell>
          <cell r="B1971"/>
          <cell r="C1971"/>
          <cell r="D1971"/>
          <cell r="E1971"/>
          <cell r="F1971"/>
          <cell r="G1971"/>
          <cell r="H1971"/>
          <cell r="I1971"/>
          <cell r="J1971"/>
          <cell r="K1971"/>
          <cell r="L1971"/>
          <cell r="M1971"/>
          <cell r="N1971"/>
        </row>
        <row r="1972">
          <cell r="A1972">
            <v>20231969</v>
          </cell>
          <cell r="B1972"/>
          <cell r="C1972"/>
          <cell r="D1972"/>
          <cell r="E1972"/>
          <cell r="F1972"/>
          <cell r="G1972"/>
          <cell r="H1972"/>
          <cell r="I1972"/>
          <cell r="J1972"/>
          <cell r="K1972"/>
          <cell r="L1972"/>
          <cell r="M1972"/>
          <cell r="N1972"/>
        </row>
        <row r="1973">
          <cell r="A1973">
            <v>20231970</v>
          </cell>
          <cell r="B1973"/>
          <cell r="C1973"/>
          <cell r="D1973"/>
          <cell r="E1973"/>
          <cell r="F1973"/>
          <cell r="G1973"/>
          <cell r="H1973"/>
          <cell r="I1973"/>
          <cell r="J1973"/>
          <cell r="K1973"/>
          <cell r="L1973"/>
          <cell r="M1973"/>
          <cell r="N1973"/>
        </row>
        <row r="1974">
          <cell r="A1974">
            <v>20231971</v>
          </cell>
          <cell r="B1974"/>
          <cell r="C1974"/>
          <cell r="D1974"/>
          <cell r="E1974"/>
          <cell r="F1974"/>
          <cell r="G1974"/>
          <cell r="H1974"/>
          <cell r="I1974"/>
          <cell r="J1974"/>
          <cell r="K1974"/>
          <cell r="L1974"/>
          <cell r="M1974"/>
          <cell r="N1974"/>
        </row>
        <row r="1975">
          <cell r="A1975">
            <v>20231972</v>
          </cell>
          <cell r="B1975"/>
          <cell r="C1975"/>
          <cell r="D1975"/>
          <cell r="E1975"/>
          <cell r="F1975"/>
          <cell r="G1975"/>
          <cell r="H1975"/>
          <cell r="I1975"/>
          <cell r="J1975"/>
          <cell r="K1975"/>
          <cell r="L1975"/>
          <cell r="M1975"/>
          <cell r="N1975"/>
        </row>
        <row r="1976">
          <cell r="A1976">
            <v>20231973</v>
          </cell>
          <cell r="B1976"/>
          <cell r="C1976"/>
          <cell r="D1976"/>
          <cell r="E1976"/>
          <cell r="F1976"/>
          <cell r="G1976"/>
          <cell r="H1976"/>
          <cell r="I1976"/>
          <cell r="J1976"/>
          <cell r="K1976"/>
          <cell r="L1976"/>
          <cell r="M1976"/>
          <cell r="N1976"/>
        </row>
        <row r="1977">
          <cell r="A1977">
            <v>20231974</v>
          </cell>
          <cell r="B1977"/>
          <cell r="C1977"/>
          <cell r="D1977"/>
          <cell r="E1977"/>
          <cell r="F1977"/>
          <cell r="G1977"/>
          <cell r="H1977"/>
          <cell r="I1977"/>
          <cell r="J1977"/>
          <cell r="K1977"/>
          <cell r="L1977"/>
          <cell r="M1977"/>
          <cell r="N1977"/>
        </row>
        <row r="1978">
          <cell r="A1978">
            <v>20231975</v>
          </cell>
          <cell r="B1978"/>
          <cell r="C1978"/>
          <cell r="D1978"/>
          <cell r="E1978"/>
          <cell r="F1978"/>
          <cell r="G1978"/>
          <cell r="H1978"/>
          <cell r="I1978"/>
          <cell r="J1978"/>
          <cell r="K1978"/>
          <cell r="L1978"/>
          <cell r="M1978"/>
          <cell r="N1978"/>
        </row>
        <row r="1979">
          <cell r="A1979">
            <v>20231976</v>
          </cell>
          <cell r="B1979"/>
          <cell r="C1979"/>
          <cell r="D1979"/>
          <cell r="E1979"/>
          <cell r="F1979"/>
          <cell r="G1979"/>
          <cell r="H1979"/>
          <cell r="I1979"/>
          <cell r="J1979"/>
          <cell r="K1979"/>
          <cell r="L1979"/>
          <cell r="M1979"/>
          <cell r="N1979"/>
        </row>
        <row r="1980">
          <cell r="A1980">
            <v>20231977</v>
          </cell>
          <cell r="B1980"/>
          <cell r="C1980"/>
          <cell r="D1980"/>
          <cell r="E1980"/>
          <cell r="F1980"/>
          <cell r="G1980"/>
          <cell r="H1980"/>
          <cell r="I1980"/>
          <cell r="J1980"/>
          <cell r="K1980"/>
          <cell r="L1980"/>
          <cell r="M1980"/>
          <cell r="N1980"/>
        </row>
        <row r="1981">
          <cell r="A1981">
            <v>20231978</v>
          </cell>
          <cell r="B1981"/>
          <cell r="C1981"/>
          <cell r="D1981"/>
          <cell r="E1981"/>
          <cell r="F1981"/>
          <cell r="G1981"/>
          <cell r="H1981"/>
          <cell r="I1981"/>
          <cell r="J1981"/>
          <cell r="K1981"/>
          <cell r="L1981"/>
          <cell r="M1981"/>
          <cell r="N1981"/>
        </row>
        <row r="1982">
          <cell r="A1982">
            <v>20231979</v>
          </cell>
          <cell r="B1982"/>
          <cell r="C1982"/>
          <cell r="D1982"/>
          <cell r="E1982"/>
          <cell r="F1982"/>
          <cell r="G1982"/>
          <cell r="H1982"/>
          <cell r="I1982"/>
          <cell r="J1982"/>
          <cell r="K1982"/>
          <cell r="L1982"/>
          <cell r="M1982"/>
          <cell r="N1982"/>
        </row>
        <row r="1983">
          <cell r="A1983">
            <v>20231980</v>
          </cell>
          <cell r="B1983"/>
          <cell r="C1983"/>
          <cell r="D1983"/>
          <cell r="E1983"/>
          <cell r="F1983"/>
          <cell r="G1983"/>
          <cell r="H1983"/>
          <cell r="I1983"/>
          <cell r="J1983"/>
          <cell r="K1983"/>
          <cell r="L1983"/>
          <cell r="M1983"/>
          <cell r="N1983"/>
        </row>
        <row r="1984">
          <cell r="A1984">
            <v>20231981</v>
          </cell>
          <cell r="B1984"/>
          <cell r="C1984"/>
          <cell r="D1984"/>
          <cell r="E1984"/>
          <cell r="F1984"/>
          <cell r="G1984"/>
          <cell r="H1984"/>
          <cell r="I1984"/>
          <cell r="J1984"/>
          <cell r="K1984"/>
          <cell r="L1984"/>
          <cell r="M1984"/>
          <cell r="N1984"/>
        </row>
        <row r="1985">
          <cell r="A1985">
            <v>20231982</v>
          </cell>
          <cell r="B1985"/>
          <cell r="C1985"/>
          <cell r="D1985"/>
          <cell r="E1985"/>
          <cell r="F1985"/>
          <cell r="G1985"/>
          <cell r="H1985"/>
          <cell r="I1985"/>
          <cell r="J1985"/>
          <cell r="K1985"/>
          <cell r="L1985"/>
          <cell r="M1985"/>
          <cell r="N1985"/>
        </row>
        <row r="1986">
          <cell r="A1986">
            <v>20231983</v>
          </cell>
          <cell r="B1986"/>
          <cell r="C1986"/>
          <cell r="D1986"/>
          <cell r="E1986"/>
          <cell r="F1986"/>
          <cell r="G1986"/>
          <cell r="H1986"/>
          <cell r="I1986"/>
          <cell r="J1986"/>
          <cell r="K1986"/>
          <cell r="L1986"/>
          <cell r="M1986"/>
          <cell r="N1986"/>
        </row>
        <row r="1987">
          <cell r="A1987">
            <v>20231984</v>
          </cell>
          <cell r="B1987"/>
          <cell r="C1987"/>
          <cell r="D1987"/>
          <cell r="E1987"/>
          <cell r="F1987"/>
          <cell r="G1987"/>
          <cell r="H1987"/>
          <cell r="I1987"/>
          <cell r="J1987"/>
          <cell r="K1987"/>
          <cell r="L1987"/>
          <cell r="M1987"/>
          <cell r="N1987"/>
        </row>
        <row r="1988">
          <cell r="A1988">
            <v>20231985</v>
          </cell>
          <cell r="B1988"/>
          <cell r="C1988"/>
          <cell r="D1988"/>
          <cell r="E1988"/>
          <cell r="F1988"/>
          <cell r="G1988"/>
          <cell r="H1988"/>
          <cell r="I1988"/>
          <cell r="J1988"/>
          <cell r="K1988"/>
          <cell r="L1988"/>
          <cell r="M1988"/>
          <cell r="N1988"/>
        </row>
        <row r="1989">
          <cell r="A1989">
            <v>20231986</v>
          </cell>
          <cell r="B1989"/>
          <cell r="C1989"/>
          <cell r="D1989"/>
          <cell r="E1989"/>
          <cell r="F1989"/>
          <cell r="G1989"/>
          <cell r="H1989"/>
          <cell r="I1989"/>
          <cell r="J1989"/>
          <cell r="K1989"/>
          <cell r="L1989"/>
          <cell r="M1989"/>
          <cell r="N1989"/>
        </row>
        <row r="1990">
          <cell r="A1990">
            <v>20231987</v>
          </cell>
          <cell r="B1990"/>
          <cell r="C1990"/>
          <cell r="D1990"/>
          <cell r="E1990"/>
          <cell r="F1990"/>
          <cell r="G1990"/>
          <cell r="H1990"/>
          <cell r="I1990"/>
          <cell r="J1990"/>
          <cell r="K1990"/>
          <cell r="L1990"/>
          <cell r="M1990"/>
          <cell r="N1990"/>
        </row>
        <row r="1991">
          <cell r="A1991">
            <v>20231988</v>
          </cell>
          <cell r="B1991"/>
          <cell r="C1991"/>
          <cell r="D1991"/>
          <cell r="E1991"/>
          <cell r="F1991"/>
          <cell r="G1991"/>
          <cell r="H1991"/>
          <cell r="I1991"/>
          <cell r="J1991"/>
          <cell r="K1991"/>
          <cell r="L1991"/>
          <cell r="M1991"/>
          <cell r="N1991"/>
        </row>
        <row r="1992">
          <cell r="A1992">
            <v>20231989</v>
          </cell>
          <cell r="B1992"/>
          <cell r="C1992"/>
          <cell r="D1992"/>
          <cell r="E1992"/>
          <cell r="F1992"/>
          <cell r="G1992"/>
          <cell r="H1992"/>
          <cell r="I1992"/>
          <cell r="J1992"/>
          <cell r="K1992"/>
          <cell r="L1992"/>
          <cell r="M1992"/>
          <cell r="N1992"/>
        </row>
        <row r="1993">
          <cell r="A1993">
            <v>20231990</v>
          </cell>
          <cell r="B1993"/>
          <cell r="C1993"/>
          <cell r="D1993"/>
          <cell r="E1993"/>
          <cell r="F1993"/>
          <cell r="G1993"/>
          <cell r="H1993"/>
          <cell r="I1993"/>
          <cell r="J1993"/>
          <cell r="K1993"/>
          <cell r="L1993"/>
          <cell r="M1993"/>
          <cell r="N1993"/>
        </row>
        <row r="1994">
          <cell r="A1994">
            <v>20231991</v>
          </cell>
          <cell r="B1994"/>
          <cell r="C1994"/>
          <cell r="D1994"/>
          <cell r="E1994"/>
          <cell r="F1994"/>
          <cell r="G1994"/>
          <cell r="H1994"/>
          <cell r="I1994"/>
          <cell r="J1994"/>
          <cell r="K1994"/>
          <cell r="L1994"/>
          <cell r="M1994"/>
          <cell r="N1994"/>
        </row>
        <row r="1995">
          <cell r="A1995">
            <v>20231992</v>
          </cell>
          <cell r="B1995"/>
          <cell r="C1995"/>
          <cell r="D1995"/>
          <cell r="E1995"/>
          <cell r="F1995"/>
          <cell r="G1995"/>
          <cell r="H1995"/>
          <cell r="I1995"/>
          <cell r="J1995"/>
          <cell r="K1995"/>
          <cell r="L1995"/>
          <cell r="M1995"/>
          <cell r="N1995"/>
        </row>
        <row r="1996">
          <cell r="A1996">
            <v>20231993</v>
          </cell>
          <cell r="B1996"/>
          <cell r="C1996"/>
          <cell r="D1996"/>
          <cell r="E1996"/>
          <cell r="F1996"/>
          <cell r="G1996"/>
          <cell r="H1996"/>
          <cell r="I1996"/>
          <cell r="J1996"/>
          <cell r="K1996"/>
          <cell r="L1996"/>
          <cell r="M1996"/>
          <cell r="N1996"/>
        </row>
        <row r="1997">
          <cell r="A1997">
            <v>20231994</v>
          </cell>
          <cell r="B1997"/>
          <cell r="C1997"/>
          <cell r="D1997"/>
          <cell r="E1997"/>
          <cell r="F1997"/>
          <cell r="G1997"/>
          <cell r="H1997"/>
          <cell r="I1997"/>
          <cell r="J1997"/>
          <cell r="K1997"/>
          <cell r="L1997"/>
          <cell r="M1997"/>
          <cell r="N1997"/>
        </row>
        <row r="1998">
          <cell r="A1998">
            <v>20231995</v>
          </cell>
          <cell r="B1998"/>
          <cell r="C1998"/>
          <cell r="D1998"/>
          <cell r="E1998"/>
          <cell r="F1998"/>
          <cell r="G1998"/>
          <cell r="H1998"/>
          <cell r="I1998"/>
          <cell r="J1998"/>
          <cell r="K1998"/>
          <cell r="L1998"/>
          <cell r="M1998"/>
          <cell r="N1998"/>
        </row>
        <row r="1999">
          <cell r="A1999">
            <v>20231996</v>
          </cell>
          <cell r="B1999"/>
          <cell r="C1999"/>
          <cell r="D1999"/>
          <cell r="E1999"/>
          <cell r="F1999"/>
          <cell r="G1999"/>
          <cell r="H1999"/>
          <cell r="I1999"/>
          <cell r="J1999"/>
          <cell r="K1999"/>
          <cell r="L1999"/>
          <cell r="M1999"/>
          <cell r="N1999"/>
        </row>
        <row r="2000">
          <cell r="A2000">
            <v>20231997</v>
          </cell>
          <cell r="B2000"/>
          <cell r="C2000"/>
          <cell r="D2000"/>
          <cell r="E2000"/>
          <cell r="F2000"/>
          <cell r="G2000"/>
          <cell r="H2000"/>
          <cell r="I2000"/>
          <cell r="J2000"/>
          <cell r="K2000"/>
          <cell r="L2000"/>
          <cell r="M2000"/>
          <cell r="N2000"/>
        </row>
        <row r="2001">
          <cell r="A2001">
            <v>20231998</v>
          </cell>
          <cell r="B2001"/>
          <cell r="C2001"/>
          <cell r="D2001"/>
          <cell r="E2001"/>
          <cell r="F2001"/>
          <cell r="G2001"/>
          <cell r="H2001"/>
          <cell r="I2001"/>
          <cell r="J2001"/>
          <cell r="K2001"/>
          <cell r="L2001"/>
          <cell r="M2001"/>
          <cell r="N2001"/>
        </row>
        <row r="2002">
          <cell r="A2002">
            <v>20231999</v>
          </cell>
          <cell r="B2002"/>
          <cell r="C2002"/>
          <cell r="D2002"/>
          <cell r="E2002"/>
          <cell r="F2002"/>
          <cell r="G2002"/>
          <cell r="H2002"/>
          <cell r="I2002"/>
          <cell r="J2002"/>
          <cell r="K2002"/>
          <cell r="L2002"/>
          <cell r="M2002"/>
          <cell r="N2002"/>
        </row>
        <row r="2003">
          <cell r="A2003">
            <v>20232000</v>
          </cell>
          <cell r="B2003"/>
          <cell r="C2003"/>
          <cell r="D2003"/>
          <cell r="E2003"/>
          <cell r="F2003"/>
          <cell r="G2003"/>
          <cell r="H2003"/>
          <cell r="I2003"/>
          <cell r="J2003"/>
          <cell r="K2003"/>
          <cell r="L2003"/>
          <cell r="M2003"/>
          <cell r="N2003"/>
        </row>
        <row r="2004">
          <cell r="A2004">
            <v>20232001</v>
          </cell>
          <cell r="B2004"/>
          <cell r="C2004"/>
          <cell r="D2004"/>
          <cell r="E2004"/>
          <cell r="F2004"/>
          <cell r="G2004"/>
          <cell r="H2004"/>
          <cell r="I2004"/>
          <cell r="J2004"/>
          <cell r="K2004"/>
          <cell r="L2004"/>
          <cell r="M2004"/>
          <cell r="N2004"/>
        </row>
        <row r="2005">
          <cell r="A2005">
            <v>20232002</v>
          </cell>
          <cell r="B2005"/>
          <cell r="C2005"/>
          <cell r="D2005"/>
          <cell r="E2005"/>
          <cell r="F2005"/>
          <cell r="G2005"/>
          <cell r="H2005"/>
          <cell r="I2005"/>
          <cell r="J2005"/>
          <cell r="K2005"/>
          <cell r="L2005"/>
          <cell r="M2005"/>
          <cell r="N2005"/>
        </row>
        <row r="2006">
          <cell r="A2006">
            <v>20232003</v>
          </cell>
          <cell r="B2006"/>
          <cell r="C2006"/>
          <cell r="D2006"/>
          <cell r="E2006"/>
          <cell r="F2006"/>
          <cell r="G2006"/>
          <cell r="H2006"/>
          <cell r="I2006"/>
          <cell r="J2006"/>
          <cell r="K2006"/>
          <cell r="L2006"/>
          <cell r="M2006"/>
          <cell r="N2006"/>
        </row>
        <row r="2007">
          <cell r="A2007">
            <v>20232004</v>
          </cell>
          <cell r="B2007"/>
          <cell r="C2007"/>
          <cell r="D2007"/>
          <cell r="E2007"/>
          <cell r="F2007"/>
          <cell r="G2007"/>
          <cell r="H2007"/>
          <cell r="I2007"/>
          <cell r="J2007"/>
          <cell r="K2007"/>
          <cell r="L2007"/>
          <cell r="M2007"/>
          <cell r="N2007"/>
        </row>
        <row r="2008">
          <cell r="A2008">
            <v>20232005</v>
          </cell>
          <cell r="B2008"/>
          <cell r="C2008"/>
          <cell r="D2008"/>
          <cell r="E2008"/>
          <cell r="F2008"/>
          <cell r="G2008"/>
          <cell r="H2008"/>
          <cell r="I2008"/>
          <cell r="J2008"/>
          <cell r="K2008"/>
          <cell r="L2008"/>
          <cell r="M2008"/>
          <cell r="N2008"/>
        </row>
        <row r="2009">
          <cell r="A2009">
            <v>20232006</v>
          </cell>
          <cell r="B2009"/>
          <cell r="C2009"/>
          <cell r="D2009"/>
          <cell r="E2009"/>
          <cell r="F2009"/>
          <cell r="G2009"/>
          <cell r="H2009"/>
          <cell r="I2009"/>
          <cell r="J2009"/>
          <cell r="K2009"/>
          <cell r="L2009"/>
          <cell r="M2009"/>
          <cell r="N2009"/>
        </row>
        <row r="2010">
          <cell r="A2010">
            <v>20232007</v>
          </cell>
          <cell r="B2010"/>
          <cell r="C2010"/>
          <cell r="D2010"/>
          <cell r="E2010"/>
          <cell r="F2010"/>
          <cell r="G2010"/>
          <cell r="H2010"/>
          <cell r="I2010"/>
          <cell r="J2010"/>
          <cell r="K2010"/>
          <cell r="L2010"/>
          <cell r="M2010"/>
          <cell r="N2010"/>
        </row>
        <row r="2011">
          <cell r="A2011">
            <v>20232008</v>
          </cell>
          <cell r="B2011"/>
          <cell r="C2011"/>
          <cell r="D2011"/>
          <cell r="E2011"/>
          <cell r="F2011"/>
          <cell r="G2011"/>
          <cell r="H2011"/>
          <cell r="I2011"/>
          <cell r="J2011"/>
          <cell r="K2011"/>
          <cell r="L2011"/>
          <cell r="M2011"/>
          <cell r="N2011"/>
        </row>
        <row r="2012">
          <cell r="A2012">
            <v>20232009</v>
          </cell>
          <cell r="B2012"/>
          <cell r="C2012"/>
          <cell r="D2012"/>
          <cell r="E2012"/>
          <cell r="F2012"/>
          <cell r="G2012"/>
          <cell r="H2012"/>
          <cell r="I2012"/>
          <cell r="J2012"/>
          <cell r="K2012"/>
          <cell r="L2012"/>
          <cell r="M2012"/>
          <cell r="N2012"/>
        </row>
        <row r="2013">
          <cell r="A2013">
            <v>20232010</v>
          </cell>
          <cell r="B2013"/>
          <cell r="C2013"/>
          <cell r="D2013"/>
          <cell r="E2013"/>
          <cell r="F2013"/>
          <cell r="G2013"/>
          <cell r="H2013"/>
          <cell r="I2013"/>
          <cell r="J2013"/>
          <cell r="K2013"/>
          <cell r="L2013"/>
          <cell r="M2013"/>
          <cell r="N2013"/>
        </row>
        <row r="2014">
          <cell r="A2014">
            <v>20232011</v>
          </cell>
          <cell r="B2014"/>
          <cell r="C2014"/>
          <cell r="D2014"/>
          <cell r="E2014"/>
          <cell r="F2014"/>
          <cell r="G2014"/>
          <cell r="H2014"/>
          <cell r="I2014"/>
          <cell r="J2014"/>
          <cell r="K2014"/>
          <cell r="L2014"/>
          <cell r="M2014"/>
          <cell r="N2014"/>
        </row>
        <row r="2015">
          <cell r="A2015">
            <v>20232012</v>
          </cell>
          <cell r="B2015"/>
          <cell r="C2015"/>
          <cell r="D2015"/>
          <cell r="E2015"/>
          <cell r="F2015"/>
          <cell r="G2015"/>
          <cell r="H2015"/>
          <cell r="I2015"/>
          <cell r="J2015"/>
          <cell r="K2015"/>
          <cell r="L2015"/>
          <cell r="M2015"/>
          <cell r="N2015"/>
        </row>
        <row r="2016">
          <cell r="A2016">
            <v>20232013</v>
          </cell>
          <cell r="B2016"/>
          <cell r="C2016"/>
          <cell r="D2016"/>
          <cell r="E2016"/>
          <cell r="F2016"/>
          <cell r="G2016"/>
          <cell r="H2016"/>
          <cell r="I2016"/>
          <cell r="J2016"/>
          <cell r="K2016"/>
          <cell r="L2016"/>
          <cell r="M2016"/>
          <cell r="N2016"/>
        </row>
        <row r="2017">
          <cell r="A2017">
            <v>20232014</v>
          </cell>
          <cell r="B2017"/>
          <cell r="C2017"/>
          <cell r="D2017"/>
          <cell r="E2017"/>
          <cell r="F2017"/>
          <cell r="G2017"/>
          <cell r="H2017"/>
          <cell r="I2017"/>
          <cell r="J2017"/>
          <cell r="K2017"/>
          <cell r="L2017"/>
          <cell r="M2017"/>
          <cell r="N2017"/>
        </row>
        <row r="2018">
          <cell r="A2018">
            <v>20232015</v>
          </cell>
          <cell r="B2018"/>
          <cell r="C2018"/>
          <cell r="D2018"/>
          <cell r="E2018"/>
          <cell r="F2018"/>
          <cell r="G2018"/>
          <cell r="H2018"/>
          <cell r="I2018"/>
          <cell r="J2018"/>
          <cell r="K2018"/>
          <cell r="L2018"/>
          <cell r="M2018"/>
          <cell r="N2018"/>
        </row>
        <row r="2019">
          <cell r="A2019">
            <v>20232016</v>
          </cell>
          <cell r="B2019"/>
          <cell r="C2019"/>
          <cell r="D2019"/>
          <cell r="E2019"/>
          <cell r="F2019"/>
          <cell r="G2019"/>
          <cell r="H2019"/>
          <cell r="I2019"/>
          <cell r="J2019"/>
          <cell r="K2019"/>
          <cell r="L2019"/>
          <cell r="M2019"/>
          <cell r="N2019"/>
        </row>
        <row r="2020">
          <cell r="A2020">
            <v>20232017</v>
          </cell>
          <cell r="B2020"/>
          <cell r="C2020"/>
          <cell r="D2020"/>
          <cell r="E2020"/>
          <cell r="F2020"/>
          <cell r="G2020"/>
          <cell r="H2020"/>
          <cell r="I2020"/>
          <cell r="J2020"/>
          <cell r="K2020"/>
          <cell r="L2020"/>
          <cell r="M2020"/>
          <cell r="N2020"/>
        </row>
        <row r="2021">
          <cell r="A2021">
            <v>20232018</v>
          </cell>
          <cell r="B2021"/>
          <cell r="C2021"/>
          <cell r="D2021"/>
          <cell r="E2021"/>
          <cell r="F2021"/>
          <cell r="G2021"/>
          <cell r="H2021"/>
          <cell r="I2021"/>
          <cell r="J2021"/>
          <cell r="K2021"/>
          <cell r="L2021"/>
          <cell r="M2021"/>
          <cell r="N2021"/>
        </row>
        <row r="2022">
          <cell r="A2022">
            <v>20232019</v>
          </cell>
          <cell r="B2022"/>
          <cell r="C2022"/>
          <cell r="D2022"/>
          <cell r="E2022"/>
          <cell r="F2022"/>
          <cell r="G2022"/>
          <cell r="H2022"/>
          <cell r="I2022"/>
          <cell r="J2022"/>
          <cell r="K2022"/>
          <cell r="L2022"/>
          <cell r="M2022"/>
          <cell r="N2022"/>
        </row>
        <row r="2023">
          <cell r="A2023">
            <v>20232020</v>
          </cell>
          <cell r="B2023"/>
          <cell r="C2023"/>
          <cell r="D2023"/>
          <cell r="E2023"/>
          <cell r="F2023"/>
          <cell r="G2023"/>
          <cell r="H2023"/>
          <cell r="I2023"/>
          <cell r="J2023"/>
          <cell r="K2023"/>
          <cell r="L2023"/>
          <cell r="M2023"/>
          <cell r="N2023"/>
        </row>
        <row r="2024">
          <cell r="A2024">
            <v>20232021</v>
          </cell>
          <cell r="B2024"/>
          <cell r="C2024"/>
          <cell r="D2024"/>
          <cell r="E2024"/>
          <cell r="F2024"/>
          <cell r="G2024"/>
          <cell r="H2024"/>
          <cell r="I2024"/>
          <cell r="J2024"/>
          <cell r="K2024"/>
          <cell r="L2024"/>
          <cell r="M2024"/>
          <cell r="N2024"/>
        </row>
        <row r="2025">
          <cell r="A2025">
            <v>20232022</v>
          </cell>
          <cell r="B2025"/>
          <cell r="C2025"/>
          <cell r="D2025"/>
          <cell r="E2025"/>
          <cell r="F2025"/>
          <cell r="G2025"/>
          <cell r="H2025"/>
          <cell r="I2025"/>
          <cell r="J2025"/>
          <cell r="K2025"/>
          <cell r="L2025"/>
          <cell r="M2025"/>
          <cell r="N2025"/>
        </row>
        <row r="2026">
          <cell r="A2026">
            <v>20232023</v>
          </cell>
          <cell r="B2026"/>
          <cell r="C2026"/>
          <cell r="D2026"/>
          <cell r="E2026"/>
          <cell r="F2026"/>
          <cell r="G2026"/>
          <cell r="H2026"/>
          <cell r="I2026"/>
          <cell r="J2026"/>
          <cell r="K2026"/>
          <cell r="L2026"/>
          <cell r="M2026"/>
          <cell r="N2026"/>
        </row>
        <row r="2027">
          <cell r="A2027">
            <v>20232024</v>
          </cell>
          <cell r="B2027"/>
          <cell r="C2027"/>
          <cell r="D2027"/>
          <cell r="E2027"/>
          <cell r="F2027"/>
          <cell r="G2027"/>
          <cell r="H2027"/>
          <cell r="I2027"/>
          <cell r="J2027"/>
          <cell r="K2027"/>
          <cell r="L2027"/>
          <cell r="M2027"/>
          <cell r="N2027"/>
        </row>
        <row r="2028">
          <cell r="A2028">
            <v>20232025</v>
          </cell>
          <cell r="B2028"/>
          <cell r="C2028"/>
          <cell r="D2028"/>
          <cell r="E2028"/>
          <cell r="F2028"/>
          <cell r="G2028"/>
          <cell r="H2028"/>
          <cell r="I2028"/>
          <cell r="J2028"/>
          <cell r="K2028"/>
          <cell r="L2028"/>
          <cell r="M2028"/>
          <cell r="N2028"/>
        </row>
        <row r="2029">
          <cell r="A2029">
            <v>20232026</v>
          </cell>
          <cell r="B2029"/>
          <cell r="C2029"/>
          <cell r="D2029"/>
          <cell r="E2029"/>
          <cell r="F2029"/>
          <cell r="G2029"/>
          <cell r="H2029"/>
          <cell r="I2029"/>
          <cell r="J2029"/>
          <cell r="K2029"/>
          <cell r="L2029"/>
          <cell r="M2029"/>
          <cell r="N2029"/>
        </row>
        <row r="2030">
          <cell r="A2030">
            <v>20232027</v>
          </cell>
          <cell r="B2030"/>
          <cell r="C2030"/>
          <cell r="D2030"/>
          <cell r="E2030"/>
          <cell r="F2030"/>
          <cell r="G2030"/>
          <cell r="H2030"/>
          <cell r="I2030"/>
          <cell r="J2030"/>
          <cell r="K2030"/>
          <cell r="L2030"/>
          <cell r="M2030"/>
          <cell r="N2030"/>
        </row>
        <row r="2031">
          <cell r="A2031">
            <v>20232028</v>
          </cell>
          <cell r="B2031"/>
          <cell r="C2031"/>
          <cell r="D2031"/>
          <cell r="E2031"/>
          <cell r="F2031"/>
          <cell r="G2031"/>
          <cell r="H2031"/>
          <cell r="I2031"/>
          <cell r="J2031"/>
          <cell r="K2031"/>
          <cell r="L2031"/>
          <cell r="M2031"/>
          <cell r="N2031"/>
        </row>
        <row r="2032">
          <cell r="A2032">
            <v>20232029</v>
          </cell>
          <cell r="B2032"/>
          <cell r="C2032"/>
          <cell r="D2032"/>
          <cell r="E2032"/>
          <cell r="F2032"/>
          <cell r="G2032"/>
          <cell r="H2032"/>
          <cell r="I2032"/>
          <cell r="J2032"/>
          <cell r="K2032"/>
          <cell r="L2032"/>
          <cell r="M2032"/>
          <cell r="N2032"/>
        </row>
        <row r="2033">
          <cell r="A2033">
            <v>20232030</v>
          </cell>
          <cell r="B2033"/>
          <cell r="C2033"/>
          <cell r="D2033"/>
          <cell r="E2033"/>
          <cell r="F2033"/>
          <cell r="G2033"/>
          <cell r="H2033"/>
          <cell r="I2033"/>
          <cell r="J2033"/>
          <cell r="K2033"/>
          <cell r="L2033"/>
          <cell r="M2033"/>
          <cell r="N2033"/>
        </row>
        <row r="2034">
          <cell r="A2034">
            <v>20232031</v>
          </cell>
          <cell r="B2034"/>
          <cell r="C2034"/>
          <cell r="D2034"/>
          <cell r="E2034"/>
          <cell r="F2034"/>
          <cell r="G2034"/>
          <cell r="H2034"/>
          <cell r="I2034"/>
          <cell r="J2034"/>
          <cell r="K2034"/>
          <cell r="L2034"/>
          <cell r="M2034"/>
          <cell r="N2034"/>
        </row>
        <row r="2035">
          <cell r="A2035">
            <v>20232032</v>
          </cell>
          <cell r="B2035"/>
          <cell r="C2035"/>
          <cell r="D2035"/>
          <cell r="E2035"/>
          <cell r="F2035"/>
          <cell r="G2035"/>
          <cell r="H2035"/>
          <cell r="I2035"/>
          <cell r="J2035"/>
          <cell r="K2035"/>
          <cell r="L2035"/>
          <cell r="M2035"/>
          <cell r="N2035"/>
        </row>
        <row r="2036">
          <cell r="A2036">
            <v>20232033</v>
          </cell>
          <cell r="B2036"/>
          <cell r="C2036"/>
          <cell r="D2036"/>
          <cell r="E2036"/>
          <cell r="F2036"/>
          <cell r="G2036"/>
          <cell r="H2036"/>
          <cell r="I2036"/>
          <cell r="J2036"/>
          <cell r="K2036"/>
          <cell r="L2036"/>
          <cell r="M2036"/>
          <cell r="N2036"/>
        </row>
        <row r="2037">
          <cell r="A2037">
            <v>20232034</v>
          </cell>
          <cell r="B2037"/>
          <cell r="C2037"/>
          <cell r="D2037"/>
          <cell r="E2037"/>
          <cell r="F2037"/>
          <cell r="G2037"/>
          <cell r="H2037"/>
          <cell r="I2037"/>
          <cell r="J2037"/>
          <cell r="K2037"/>
          <cell r="L2037"/>
          <cell r="M2037"/>
          <cell r="N2037"/>
        </row>
        <row r="2038">
          <cell r="A2038">
            <v>20232035</v>
          </cell>
          <cell r="B2038"/>
          <cell r="C2038"/>
          <cell r="D2038"/>
          <cell r="E2038"/>
          <cell r="F2038"/>
          <cell r="G2038"/>
          <cell r="H2038"/>
          <cell r="I2038"/>
          <cell r="J2038"/>
          <cell r="K2038"/>
          <cell r="L2038"/>
          <cell r="M2038"/>
          <cell r="N2038"/>
        </row>
        <row r="2039">
          <cell r="A2039">
            <v>20232036</v>
          </cell>
          <cell r="B2039"/>
          <cell r="C2039"/>
          <cell r="D2039"/>
          <cell r="E2039"/>
          <cell r="F2039"/>
          <cell r="G2039"/>
          <cell r="H2039"/>
          <cell r="I2039"/>
          <cell r="J2039"/>
          <cell r="K2039"/>
          <cell r="L2039"/>
          <cell r="M2039"/>
          <cell r="N2039"/>
        </row>
        <row r="2040">
          <cell r="A2040">
            <v>20232037</v>
          </cell>
          <cell r="B2040"/>
          <cell r="C2040"/>
          <cell r="D2040"/>
          <cell r="E2040"/>
          <cell r="F2040"/>
          <cell r="G2040"/>
          <cell r="H2040"/>
          <cell r="I2040"/>
          <cell r="J2040"/>
          <cell r="K2040"/>
          <cell r="L2040"/>
          <cell r="M2040"/>
          <cell r="N2040"/>
        </row>
        <row r="2041">
          <cell r="A2041">
            <v>20232038</v>
          </cell>
          <cell r="B2041"/>
          <cell r="C2041"/>
          <cell r="D2041"/>
          <cell r="E2041"/>
          <cell r="F2041"/>
          <cell r="G2041"/>
          <cell r="H2041"/>
          <cell r="I2041"/>
          <cell r="J2041"/>
          <cell r="K2041"/>
          <cell r="L2041"/>
          <cell r="M2041"/>
          <cell r="N2041"/>
        </row>
        <row r="2042">
          <cell r="A2042">
            <v>20232039</v>
          </cell>
          <cell r="B2042"/>
          <cell r="C2042"/>
          <cell r="D2042"/>
          <cell r="E2042"/>
          <cell r="F2042"/>
          <cell r="G2042"/>
          <cell r="H2042"/>
          <cell r="I2042"/>
          <cell r="J2042"/>
          <cell r="K2042"/>
          <cell r="L2042"/>
          <cell r="M2042"/>
          <cell r="N2042"/>
        </row>
        <row r="2043">
          <cell r="A2043">
            <v>20232040</v>
          </cell>
          <cell r="B2043"/>
          <cell r="C2043"/>
          <cell r="D2043"/>
          <cell r="E2043"/>
          <cell r="F2043"/>
          <cell r="G2043"/>
          <cell r="H2043"/>
          <cell r="I2043"/>
          <cell r="J2043"/>
          <cell r="K2043"/>
          <cell r="L2043"/>
          <cell r="M2043"/>
          <cell r="N2043"/>
        </row>
        <row r="2044">
          <cell r="A2044">
            <v>20232041</v>
          </cell>
          <cell r="B2044"/>
          <cell r="C2044"/>
          <cell r="D2044"/>
          <cell r="E2044"/>
          <cell r="F2044"/>
          <cell r="G2044"/>
          <cell r="H2044"/>
          <cell r="I2044"/>
          <cell r="J2044"/>
          <cell r="K2044"/>
          <cell r="L2044"/>
          <cell r="M2044"/>
          <cell r="N2044"/>
        </row>
        <row r="2045">
          <cell r="A2045">
            <v>20232042</v>
          </cell>
          <cell r="B2045"/>
          <cell r="C2045"/>
          <cell r="D2045"/>
          <cell r="E2045"/>
          <cell r="F2045"/>
          <cell r="G2045"/>
          <cell r="H2045"/>
          <cell r="I2045"/>
          <cell r="J2045"/>
          <cell r="K2045"/>
          <cell r="L2045"/>
          <cell r="M2045"/>
          <cell r="N2045"/>
        </row>
        <row r="2046">
          <cell r="A2046">
            <v>20232043</v>
          </cell>
          <cell r="B2046"/>
          <cell r="C2046"/>
          <cell r="D2046"/>
          <cell r="E2046"/>
          <cell r="F2046"/>
          <cell r="G2046"/>
          <cell r="H2046"/>
          <cell r="I2046"/>
          <cell r="J2046"/>
          <cell r="K2046"/>
          <cell r="L2046"/>
          <cell r="M2046"/>
          <cell r="N2046"/>
        </row>
        <row r="2047">
          <cell r="A2047">
            <v>20232044</v>
          </cell>
          <cell r="B2047"/>
          <cell r="C2047"/>
          <cell r="D2047"/>
          <cell r="E2047"/>
          <cell r="F2047"/>
          <cell r="G2047"/>
          <cell r="H2047"/>
          <cell r="I2047"/>
          <cell r="J2047"/>
          <cell r="K2047"/>
          <cell r="L2047"/>
          <cell r="M2047"/>
          <cell r="N2047"/>
        </row>
        <row r="2048">
          <cell r="A2048">
            <v>20232045</v>
          </cell>
          <cell r="B2048"/>
          <cell r="C2048"/>
          <cell r="D2048"/>
          <cell r="E2048"/>
          <cell r="F2048"/>
          <cell r="G2048"/>
          <cell r="H2048"/>
          <cell r="I2048"/>
          <cell r="J2048"/>
          <cell r="K2048"/>
          <cell r="L2048"/>
          <cell r="M2048"/>
          <cell r="N2048"/>
        </row>
        <row r="2049">
          <cell r="A2049">
            <v>20232046</v>
          </cell>
          <cell r="B2049"/>
          <cell r="C2049"/>
          <cell r="D2049"/>
          <cell r="E2049"/>
          <cell r="F2049"/>
          <cell r="G2049"/>
          <cell r="H2049"/>
          <cell r="I2049"/>
          <cell r="J2049"/>
          <cell r="K2049"/>
          <cell r="L2049"/>
          <cell r="M2049"/>
          <cell r="N2049"/>
        </row>
        <row r="2050">
          <cell r="A2050">
            <v>20232047</v>
          </cell>
          <cell r="B2050"/>
          <cell r="C2050"/>
          <cell r="D2050"/>
          <cell r="E2050"/>
          <cell r="F2050"/>
          <cell r="G2050"/>
          <cell r="H2050"/>
          <cell r="I2050"/>
          <cell r="J2050"/>
          <cell r="K2050"/>
          <cell r="L2050"/>
          <cell r="M2050"/>
          <cell r="N2050"/>
        </row>
        <row r="2051">
          <cell r="A2051">
            <v>20232048</v>
          </cell>
          <cell r="B2051"/>
          <cell r="C2051"/>
          <cell r="D2051"/>
          <cell r="E2051"/>
          <cell r="F2051"/>
          <cell r="G2051"/>
          <cell r="H2051"/>
          <cell r="I2051"/>
          <cell r="J2051"/>
          <cell r="K2051"/>
          <cell r="L2051"/>
          <cell r="M2051"/>
          <cell r="N2051"/>
        </row>
        <row r="2052">
          <cell r="A2052">
            <v>20232049</v>
          </cell>
          <cell r="B2052"/>
          <cell r="C2052"/>
          <cell r="D2052"/>
          <cell r="E2052"/>
          <cell r="F2052"/>
          <cell r="G2052"/>
          <cell r="H2052"/>
          <cell r="I2052"/>
          <cell r="J2052"/>
          <cell r="K2052"/>
          <cell r="L2052"/>
          <cell r="M2052"/>
          <cell r="N2052"/>
        </row>
        <row r="2053">
          <cell r="A2053">
            <v>20232050</v>
          </cell>
          <cell r="B2053"/>
          <cell r="C2053"/>
          <cell r="D2053"/>
          <cell r="E2053"/>
          <cell r="F2053"/>
          <cell r="G2053"/>
          <cell r="H2053"/>
          <cell r="I2053"/>
          <cell r="J2053"/>
          <cell r="K2053"/>
          <cell r="L2053"/>
          <cell r="M2053"/>
          <cell r="N2053"/>
        </row>
        <row r="2054">
          <cell r="A2054">
            <v>20232051</v>
          </cell>
          <cell r="B2054"/>
          <cell r="C2054"/>
          <cell r="D2054"/>
          <cell r="E2054"/>
          <cell r="F2054"/>
          <cell r="G2054"/>
          <cell r="H2054"/>
          <cell r="I2054"/>
          <cell r="J2054"/>
          <cell r="K2054"/>
          <cell r="L2054"/>
          <cell r="M2054"/>
          <cell r="N2054"/>
        </row>
        <row r="2055">
          <cell r="A2055">
            <v>20232052</v>
          </cell>
          <cell r="B2055"/>
          <cell r="C2055"/>
          <cell r="D2055"/>
          <cell r="E2055"/>
          <cell r="F2055"/>
          <cell r="G2055"/>
          <cell r="H2055"/>
          <cell r="I2055"/>
          <cell r="J2055"/>
          <cell r="K2055"/>
          <cell r="L2055"/>
          <cell r="M2055"/>
          <cell r="N2055"/>
        </row>
        <row r="2056">
          <cell r="A2056">
            <v>20232053</v>
          </cell>
          <cell r="B2056"/>
          <cell r="C2056"/>
          <cell r="D2056"/>
          <cell r="E2056"/>
          <cell r="F2056"/>
          <cell r="G2056"/>
          <cell r="H2056"/>
          <cell r="I2056"/>
          <cell r="J2056"/>
          <cell r="K2056"/>
          <cell r="L2056"/>
          <cell r="M2056"/>
          <cell r="N2056"/>
        </row>
        <row r="2057">
          <cell r="A2057">
            <v>20232054</v>
          </cell>
          <cell r="B2057"/>
          <cell r="C2057"/>
          <cell r="D2057"/>
          <cell r="E2057"/>
          <cell r="F2057"/>
          <cell r="G2057"/>
          <cell r="H2057"/>
          <cell r="I2057"/>
          <cell r="J2057"/>
          <cell r="K2057"/>
          <cell r="L2057"/>
          <cell r="M2057"/>
          <cell r="N2057"/>
        </row>
        <row r="2058">
          <cell r="A2058">
            <v>20232055</v>
          </cell>
          <cell r="B2058"/>
          <cell r="C2058"/>
          <cell r="D2058"/>
          <cell r="E2058"/>
          <cell r="F2058"/>
          <cell r="G2058"/>
          <cell r="H2058"/>
          <cell r="I2058"/>
          <cell r="J2058"/>
          <cell r="K2058"/>
          <cell r="L2058"/>
          <cell r="M2058"/>
          <cell r="N2058"/>
        </row>
        <row r="2059">
          <cell r="A2059">
            <v>20232056</v>
          </cell>
          <cell r="B2059"/>
          <cell r="C2059"/>
          <cell r="D2059"/>
          <cell r="E2059"/>
          <cell r="F2059"/>
          <cell r="G2059"/>
          <cell r="H2059"/>
          <cell r="I2059"/>
          <cell r="J2059"/>
          <cell r="K2059"/>
          <cell r="L2059"/>
          <cell r="M2059"/>
          <cell r="N2059"/>
        </row>
        <row r="2060">
          <cell r="A2060">
            <v>20232057</v>
          </cell>
          <cell r="B2060"/>
          <cell r="C2060"/>
          <cell r="D2060"/>
          <cell r="E2060"/>
          <cell r="F2060"/>
          <cell r="G2060"/>
          <cell r="H2060"/>
          <cell r="I2060"/>
          <cell r="J2060"/>
          <cell r="K2060"/>
          <cell r="L2060"/>
          <cell r="M2060"/>
          <cell r="N2060"/>
        </row>
        <row r="2061">
          <cell r="A2061">
            <v>20232058</v>
          </cell>
          <cell r="B2061"/>
          <cell r="C2061"/>
          <cell r="D2061"/>
          <cell r="E2061"/>
          <cell r="F2061"/>
          <cell r="G2061"/>
          <cell r="H2061"/>
          <cell r="I2061"/>
          <cell r="J2061"/>
          <cell r="K2061"/>
          <cell r="L2061"/>
          <cell r="M2061"/>
          <cell r="N2061"/>
        </row>
        <row r="2062">
          <cell r="A2062">
            <v>20232059</v>
          </cell>
          <cell r="B2062"/>
          <cell r="C2062"/>
          <cell r="D2062"/>
          <cell r="E2062"/>
          <cell r="F2062"/>
          <cell r="G2062"/>
          <cell r="H2062"/>
          <cell r="I2062"/>
          <cell r="J2062"/>
          <cell r="K2062"/>
          <cell r="L2062"/>
          <cell r="M2062"/>
          <cell r="N2062"/>
        </row>
        <row r="2063">
          <cell r="A2063">
            <v>20232060</v>
          </cell>
          <cell r="B2063"/>
          <cell r="C2063"/>
          <cell r="D2063"/>
          <cell r="E2063"/>
          <cell r="F2063"/>
          <cell r="G2063"/>
          <cell r="H2063"/>
          <cell r="I2063"/>
          <cell r="J2063"/>
          <cell r="K2063"/>
          <cell r="L2063"/>
          <cell r="M2063"/>
          <cell r="N2063"/>
        </row>
        <row r="2064">
          <cell r="A2064">
            <v>20232061</v>
          </cell>
          <cell r="B2064"/>
          <cell r="C2064"/>
          <cell r="D2064"/>
          <cell r="E2064"/>
          <cell r="F2064"/>
          <cell r="G2064"/>
          <cell r="H2064"/>
          <cell r="I2064"/>
          <cell r="J2064"/>
          <cell r="K2064"/>
          <cell r="L2064"/>
          <cell r="M2064"/>
          <cell r="N2064"/>
        </row>
        <row r="2065">
          <cell r="A2065">
            <v>20232062</v>
          </cell>
          <cell r="B2065"/>
          <cell r="C2065"/>
          <cell r="D2065"/>
          <cell r="E2065"/>
          <cell r="F2065"/>
          <cell r="G2065"/>
          <cell r="H2065"/>
          <cell r="I2065"/>
          <cell r="J2065"/>
          <cell r="K2065"/>
          <cell r="L2065"/>
          <cell r="M2065"/>
          <cell r="N2065"/>
        </row>
        <row r="2066">
          <cell r="A2066">
            <v>20232063</v>
          </cell>
          <cell r="B2066"/>
          <cell r="C2066"/>
          <cell r="D2066"/>
          <cell r="E2066"/>
          <cell r="F2066"/>
          <cell r="G2066"/>
          <cell r="H2066"/>
          <cell r="I2066"/>
          <cell r="J2066"/>
          <cell r="K2066"/>
          <cell r="L2066"/>
          <cell r="M2066"/>
          <cell r="N2066"/>
        </row>
        <row r="2067">
          <cell r="A2067">
            <v>20232064</v>
          </cell>
          <cell r="B2067"/>
          <cell r="C2067"/>
          <cell r="D2067"/>
          <cell r="E2067"/>
          <cell r="F2067"/>
          <cell r="G2067"/>
          <cell r="H2067"/>
          <cell r="I2067"/>
          <cell r="J2067"/>
          <cell r="K2067"/>
          <cell r="L2067"/>
          <cell r="M2067"/>
          <cell r="N2067"/>
        </row>
        <row r="2068">
          <cell r="A2068">
            <v>20232065</v>
          </cell>
          <cell r="B2068"/>
          <cell r="C2068"/>
          <cell r="D2068"/>
          <cell r="E2068"/>
          <cell r="F2068"/>
          <cell r="G2068"/>
          <cell r="H2068"/>
          <cell r="I2068"/>
          <cell r="J2068"/>
          <cell r="K2068"/>
          <cell r="L2068"/>
          <cell r="M2068"/>
          <cell r="N2068"/>
        </row>
        <row r="2069">
          <cell r="A2069">
            <v>20232066</v>
          </cell>
          <cell r="B2069"/>
          <cell r="C2069"/>
          <cell r="D2069"/>
          <cell r="E2069"/>
          <cell r="F2069"/>
          <cell r="G2069"/>
          <cell r="H2069"/>
          <cell r="I2069"/>
          <cell r="J2069"/>
          <cell r="K2069"/>
          <cell r="L2069"/>
          <cell r="M2069"/>
          <cell r="N2069"/>
        </row>
        <row r="2070">
          <cell r="A2070">
            <v>20232067</v>
          </cell>
          <cell r="B2070"/>
          <cell r="C2070"/>
          <cell r="D2070"/>
          <cell r="E2070"/>
          <cell r="F2070"/>
          <cell r="G2070"/>
          <cell r="H2070"/>
          <cell r="I2070"/>
          <cell r="J2070"/>
          <cell r="K2070"/>
          <cell r="L2070"/>
          <cell r="M2070"/>
          <cell r="N2070"/>
        </row>
        <row r="2071">
          <cell r="A2071">
            <v>20232068</v>
          </cell>
          <cell r="B2071"/>
          <cell r="C2071"/>
          <cell r="D2071"/>
          <cell r="E2071"/>
          <cell r="F2071"/>
          <cell r="G2071"/>
          <cell r="H2071"/>
          <cell r="I2071"/>
          <cell r="J2071"/>
          <cell r="K2071"/>
          <cell r="L2071"/>
          <cell r="M2071"/>
          <cell r="N2071"/>
        </row>
        <row r="2072">
          <cell r="A2072">
            <v>20232069</v>
          </cell>
          <cell r="B2072"/>
          <cell r="C2072"/>
          <cell r="D2072"/>
          <cell r="E2072"/>
          <cell r="F2072"/>
          <cell r="G2072"/>
          <cell r="H2072"/>
          <cell r="I2072"/>
          <cell r="J2072"/>
          <cell r="K2072"/>
          <cell r="L2072"/>
          <cell r="M2072"/>
          <cell r="N2072"/>
        </row>
        <row r="2073">
          <cell r="A2073">
            <v>20232070</v>
          </cell>
          <cell r="B2073"/>
          <cell r="C2073"/>
          <cell r="D2073"/>
          <cell r="E2073"/>
          <cell r="F2073"/>
          <cell r="G2073"/>
          <cell r="H2073"/>
          <cell r="I2073"/>
          <cell r="J2073"/>
          <cell r="K2073"/>
          <cell r="L2073"/>
          <cell r="M2073"/>
          <cell r="N2073"/>
        </row>
        <row r="2074">
          <cell r="A2074">
            <v>20232071</v>
          </cell>
          <cell r="B2074"/>
          <cell r="C2074"/>
          <cell r="D2074"/>
          <cell r="E2074"/>
          <cell r="F2074"/>
          <cell r="G2074"/>
          <cell r="H2074"/>
          <cell r="I2074"/>
          <cell r="J2074"/>
          <cell r="K2074"/>
          <cell r="L2074"/>
          <cell r="M2074"/>
          <cell r="N2074"/>
        </row>
        <row r="2075">
          <cell r="A2075">
            <v>20232072</v>
          </cell>
          <cell r="B2075"/>
          <cell r="C2075"/>
          <cell r="D2075"/>
          <cell r="E2075"/>
          <cell r="F2075"/>
          <cell r="G2075"/>
          <cell r="H2075"/>
          <cell r="I2075"/>
          <cell r="J2075"/>
          <cell r="K2075"/>
          <cell r="L2075"/>
          <cell r="M2075"/>
          <cell r="N2075"/>
        </row>
        <row r="2076">
          <cell r="A2076">
            <v>20232073</v>
          </cell>
          <cell r="B2076"/>
          <cell r="C2076"/>
          <cell r="D2076"/>
          <cell r="E2076"/>
          <cell r="F2076"/>
          <cell r="G2076"/>
          <cell r="H2076"/>
          <cell r="I2076"/>
          <cell r="J2076"/>
          <cell r="K2076"/>
          <cell r="L2076"/>
          <cell r="M2076"/>
          <cell r="N2076"/>
        </row>
        <row r="2077">
          <cell r="A2077">
            <v>20232074</v>
          </cell>
          <cell r="B2077"/>
          <cell r="C2077"/>
          <cell r="D2077"/>
          <cell r="E2077"/>
          <cell r="F2077"/>
          <cell r="G2077"/>
          <cell r="H2077"/>
          <cell r="I2077"/>
          <cell r="J2077"/>
          <cell r="K2077"/>
          <cell r="L2077"/>
          <cell r="M2077"/>
          <cell r="N2077"/>
        </row>
        <row r="2078">
          <cell r="A2078">
            <v>20232075</v>
          </cell>
          <cell r="B2078"/>
          <cell r="C2078"/>
          <cell r="D2078"/>
          <cell r="E2078"/>
          <cell r="F2078"/>
          <cell r="G2078"/>
          <cell r="H2078"/>
          <cell r="I2078"/>
          <cell r="J2078"/>
          <cell r="K2078"/>
          <cell r="L2078"/>
          <cell r="M2078"/>
          <cell r="N2078"/>
        </row>
        <row r="2079">
          <cell r="A2079">
            <v>20232076</v>
          </cell>
          <cell r="B2079"/>
          <cell r="C2079"/>
          <cell r="D2079"/>
          <cell r="E2079"/>
          <cell r="F2079"/>
          <cell r="G2079"/>
          <cell r="H2079"/>
          <cell r="I2079"/>
          <cell r="J2079"/>
          <cell r="K2079"/>
          <cell r="L2079"/>
          <cell r="M2079"/>
          <cell r="N2079"/>
        </row>
        <row r="2080">
          <cell r="A2080">
            <v>20232077</v>
          </cell>
          <cell r="B2080"/>
          <cell r="C2080"/>
          <cell r="D2080"/>
          <cell r="E2080"/>
          <cell r="F2080"/>
          <cell r="G2080"/>
          <cell r="H2080"/>
          <cell r="I2080"/>
          <cell r="J2080"/>
          <cell r="K2080"/>
          <cell r="L2080"/>
          <cell r="M2080"/>
          <cell r="N2080"/>
        </row>
        <row r="2081">
          <cell r="A2081">
            <v>20232078</v>
          </cell>
          <cell r="B2081"/>
          <cell r="C2081"/>
          <cell r="D2081"/>
          <cell r="E2081"/>
          <cell r="F2081"/>
          <cell r="G2081"/>
          <cell r="H2081"/>
          <cell r="I2081"/>
          <cell r="J2081"/>
          <cell r="K2081"/>
          <cell r="L2081"/>
          <cell r="M2081"/>
          <cell r="N2081"/>
        </row>
        <row r="2082">
          <cell r="A2082">
            <v>20232079</v>
          </cell>
          <cell r="B2082"/>
          <cell r="C2082"/>
          <cell r="D2082"/>
          <cell r="E2082"/>
          <cell r="F2082"/>
          <cell r="G2082"/>
          <cell r="H2082"/>
          <cell r="I2082"/>
          <cell r="J2082"/>
          <cell r="K2082"/>
          <cell r="L2082"/>
          <cell r="M2082"/>
          <cell r="N2082"/>
        </row>
        <row r="2083">
          <cell r="A2083">
            <v>20232080</v>
          </cell>
          <cell r="B2083"/>
          <cell r="C2083"/>
          <cell r="D2083"/>
          <cell r="E2083"/>
          <cell r="F2083"/>
          <cell r="G2083"/>
          <cell r="H2083"/>
          <cell r="I2083"/>
          <cell r="J2083"/>
          <cell r="K2083"/>
          <cell r="L2083"/>
          <cell r="M2083"/>
          <cell r="N2083"/>
        </row>
        <row r="2084">
          <cell r="A2084">
            <v>20232081</v>
          </cell>
          <cell r="B2084"/>
          <cell r="C2084"/>
          <cell r="D2084"/>
          <cell r="E2084"/>
          <cell r="F2084"/>
          <cell r="G2084"/>
          <cell r="H2084"/>
          <cell r="I2084"/>
          <cell r="J2084"/>
          <cell r="K2084"/>
          <cell r="L2084"/>
          <cell r="M2084"/>
          <cell r="N2084"/>
        </row>
        <row r="2085">
          <cell r="A2085">
            <v>20232082</v>
          </cell>
          <cell r="B2085"/>
          <cell r="C2085"/>
          <cell r="D2085"/>
          <cell r="E2085"/>
          <cell r="F2085"/>
          <cell r="G2085"/>
          <cell r="H2085"/>
          <cell r="I2085"/>
          <cell r="J2085"/>
          <cell r="K2085"/>
          <cell r="L2085"/>
          <cell r="M2085"/>
          <cell r="N2085"/>
        </row>
        <row r="2086">
          <cell r="A2086">
            <v>20232083</v>
          </cell>
          <cell r="B2086"/>
          <cell r="C2086"/>
          <cell r="D2086"/>
          <cell r="E2086"/>
          <cell r="F2086"/>
          <cell r="G2086"/>
          <cell r="H2086"/>
          <cell r="I2086"/>
          <cell r="J2086"/>
          <cell r="K2086"/>
          <cell r="L2086"/>
          <cell r="M2086"/>
          <cell r="N2086"/>
        </row>
        <row r="2087">
          <cell r="A2087">
            <v>20232084</v>
          </cell>
          <cell r="B2087"/>
          <cell r="C2087"/>
          <cell r="D2087"/>
          <cell r="E2087"/>
          <cell r="F2087"/>
          <cell r="G2087"/>
          <cell r="H2087"/>
          <cell r="I2087"/>
          <cell r="J2087"/>
          <cell r="K2087"/>
          <cell r="L2087"/>
          <cell r="M2087"/>
          <cell r="N2087"/>
        </row>
        <row r="2088">
          <cell r="A2088">
            <v>20232085</v>
          </cell>
          <cell r="B2088"/>
          <cell r="C2088"/>
          <cell r="D2088"/>
          <cell r="E2088"/>
          <cell r="F2088"/>
          <cell r="G2088"/>
          <cell r="H2088"/>
          <cell r="I2088"/>
          <cell r="J2088"/>
          <cell r="K2088"/>
          <cell r="L2088"/>
          <cell r="M2088"/>
          <cell r="N2088"/>
        </row>
        <row r="2089">
          <cell r="A2089">
            <v>20232086</v>
          </cell>
          <cell r="B2089"/>
          <cell r="C2089"/>
          <cell r="D2089"/>
          <cell r="E2089"/>
          <cell r="F2089"/>
          <cell r="G2089"/>
          <cell r="H2089"/>
          <cell r="I2089"/>
          <cell r="J2089"/>
          <cell r="K2089"/>
          <cell r="L2089"/>
          <cell r="M2089"/>
          <cell r="N2089"/>
        </row>
        <row r="2090">
          <cell r="A2090">
            <v>20232087</v>
          </cell>
          <cell r="B2090"/>
          <cell r="C2090"/>
          <cell r="D2090"/>
          <cell r="E2090"/>
          <cell r="F2090"/>
          <cell r="G2090"/>
          <cell r="H2090"/>
          <cell r="I2090"/>
          <cell r="J2090"/>
          <cell r="K2090"/>
          <cell r="L2090"/>
          <cell r="M2090"/>
          <cell r="N2090"/>
        </row>
        <row r="2091">
          <cell r="A2091">
            <v>20232088</v>
          </cell>
          <cell r="B2091"/>
          <cell r="C2091"/>
          <cell r="D2091"/>
          <cell r="E2091"/>
          <cell r="F2091"/>
          <cell r="G2091"/>
          <cell r="H2091"/>
          <cell r="I2091"/>
          <cell r="J2091"/>
          <cell r="K2091"/>
          <cell r="L2091"/>
          <cell r="M2091"/>
          <cell r="N2091"/>
        </row>
        <row r="2092">
          <cell r="A2092">
            <v>20232089</v>
          </cell>
          <cell r="B2092"/>
          <cell r="C2092"/>
          <cell r="D2092"/>
          <cell r="E2092"/>
          <cell r="F2092"/>
          <cell r="G2092"/>
          <cell r="H2092"/>
          <cell r="I2092"/>
          <cell r="J2092"/>
          <cell r="K2092"/>
          <cell r="L2092"/>
          <cell r="M2092"/>
          <cell r="N2092"/>
        </row>
        <row r="2093">
          <cell r="A2093">
            <v>20232090</v>
          </cell>
          <cell r="B2093"/>
          <cell r="C2093"/>
          <cell r="D2093"/>
          <cell r="E2093"/>
          <cell r="F2093"/>
          <cell r="G2093"/>
          <cell r="H2093"/>
          <cell r="I2093"/>
          <cell r="J2093"/>
          <cell r="K2093"/>
          <cell r="L2093"/>
          <cell r="M2093"/>
          <cell r="N2093"/>
        </row>
        <row r="2094">
          <cell r="A2094">
            <v>20232091</v>
          </cell>
          <cell r="B2094"/>
          <cell r="C2094"/>
          <cell r="D2094"/>
          <cell r="E2094"/>
          <cell r="F2094"/>
          <cell r="G2094"/>
          <cell r="H2094"/>
          <cell r="I2094"/>
          <cell r="J2094"/>
          <cell r="K2094"/>
          <cell r="L2094"/>
          <cell r="M2094"/>
          <cell r="N2094"/>
        </row>
        <row r="2095">
          <cell r="A2095">
            <v>20232092</v>
          </cell>
          <cell r="B2095"/>
          <cell r="C2095"/>
          <cell r="D2095"/>
          <cell r="E2095"/>
          <cell r="F2095"/>
          <cell r="G2095"/>
          <cell r="H2095"/>
          <cell r="I2095"/>
          <cell r="J2095"/>
          <cell r="K2095"/>
          <cell r="L2095"/>
          <cell r="M2095"/>
          <cell r="N2095"/>
        </row>
        <row r="2096">
          <cell r="A2096">
            <v>20232093</v>
          </cell>
          <cell r="B2096"/>
          <cell r="C2096"/>
          <cell r="D2096"/>
          <cell r="E2096"/>
          <cell r="F2096"/>
          <cell r="G2096"/>
          <cell r="H2096"/>
          <cell r="I2096"/>
          <cell r="J2096"/>
          <cell r="K2096"/>
          <cell r="L2096"/>
          <cell r="M2096"/>
          <cell r="N2096"/>
        </row>
        <row r="2097">
          <cell r="A2097">
            <v>20232094</v>
          </cell>
          <cell r="B2097"/>
          <cell r="C2097"/>
          <cell r="D2097"/>
          <cell r="E2097"/>
          <cell r="F2097"/>
          <cell r="G2097"/>
          <cell r="H2097"/>
          <cell r="I2097"/>
          <cell r="J2097"/>
          <cell r="K2097"/>
          <cell r="L2097"/>
          <cell r="M2097"/>
          <cell r="N2097"/>
        </row>
        <row r="2098">
          <cell r="A2098">
            <v>20232095</v>
          </cell>
          <cell r="B2098"/>
          <cell r="C2098"/>
          <cell r="D2098"/>
          <cell r="E2098"/>
          <cell r="F2098"/>
          <cell r="G2098"/>
          <cell r="H2098"/>
          <cell r="I2098"/>
          <cell r="J2098"/>
          <cell r="K2098"/>
          <cell r="L2098"/>
          <cell r="M2098"/>
          <cell r="N2098"/>
        </row>
        <row r="2099">
          <cell r="A2099">
            <v>20232096</v>
          </cell>
          <cell r="B2099"/>
          <cell r="C2099"/>
          <cell r="D2099"/>
          <cell r="E2099"/>
          <cell r="F2099"/>
          <cell r="G2099"/>
          <cell r="H2099"/>
          <cell r="I2099"/>
          <cell r="J2099"/>
          <cell r="K2099"/>
          <cell r="L2099"/>
          <cell r="M2099"/>
          <cell r="N2099"/>
        </row>
        <row r="2100">
          <cell r="A2100">
            <v>20232097</v>
          </cell>
          <cell r="B2100"/>
          <cell r="C2100"/>
          <cell r="D2100"/>
          <cell r="E2100"/>
          <cell r="F2100"/>
          <cell r="G2100"/>
          <cell r="H2100"/>
          <cell r="I2100"/>
          <cell r="J2100"/>
          <cell r="K2100"/>
          <cell r="L2100"/>
          <cell r="M2100"/>
          <cell r="N2100"/>
        </row>
        <row r="2101">
          <cell r="A2101">
            <v>20232098</v>
          </cell>
          <cell r="B2101"/>
          <cell r="C2101"/>
          <cell r="D2101"/>
          <cell r="E2101"/>
          <cell r="F2101"/>
          <cell r="G2101"/>
          <cell r="H2101"/>
          <cell r="I2101"/>
          <cell r="J2101"/>
          <cell r="K2101"/>
          <cell r="L2101"/>
          <cell r="M2101"/>
          <cell r="N2101"/>
        </row>
        <row r="2102">
          <cell r="A2102">
            <v>20232099</v>
          </cell>
          <cell r="B2102"/>
          <cell r="C2102"/>
          <cell r="D2102"/>
          <cell r="E2102"/>
          <cell r="F2102"/>
          <cell r="G2102"/>
          <cell r="H2102"/>
          <cell r="I2102"/>
          <cell r="J2102"/>
          <cell r="K2102"/>
          <cell r="L2102"/>
          <cell r="M2102"/>
          <cell r="N2102"/>
        </row>
        <row r="2103">
          <cell r="A2103">
            <v>20232100</v>
          </cell>
          <cell r="B2103"/>
          <cell r="C2103"/>
          <cell r="D2103"/>
          <cell r="E2103"/>
          <cell r="F2103"/>
          <cell r="G2103"/>
          <cell r="H2103"/>
          <cell r="I2103"/>
          <cell r="J2103"/>
          <cell r="K2103"/>
          <cell r="L2103"/>
          <cell r="M2103"/>
          <cell r="N2103"/>
        </row>
        <row r="2104">
          <cell r="A2104">
            <v>20232101</v>
          </cell>
          <cell r="B2104"/>
          <cell r="C2104"/>
          <cell r="D2104"/>
          <cell r="E2104"/>
          <cell r="F2104"/>
          <cell r="G2104"/>
          <cell r="H2104"/>
          <cell r="I2104"/>
          <cell r="J2104"/>
          <cell r="K2104"/>
          <cell r="L2104"/>
          <cell r="M2104"/>
          <cell r="N2104"/>
        </row>
        <row r="2105">
          <cell r="A2105">
            <v>20232102</v>
          </cell>
          <cell r="B2105"/>
          <cell r="C2105"/>
          <cell r="D2105"/>
          <cell r="E2105"/>
          <cell r="F2105"/>
          <cell r="G2105"/>
          <cell r="H2105"/>
          <cell r="I2105"/>
          <cell r="J2105"/>
          <cell r="K2105"/>
          <cell r="L2105"/>
          <cell r="M2105"/>
          <cell r="N2105"/>
        </row>
        <row r="2106">
          <cell r="A2106">
            <v>20232103</v>
          </cell>
          <cell r="B2106"/>
          <cell r="C2106"/>
          <cell r="D2106"/>
          <cell r="E2106"/>
          <cell r="F2106"/>
          <cell r="G2106"/>
          <cell r="H2106"/>
          <cell r="I2106"/>
          <cell r="J2106"/>
          <cell r="K2106"/>
          <cell r="L2106"/>
          <cell r="M2106"/>
          <cell r="N2106"/>
        </row>
        <row r="2107">
          <cell r="A2107">
            <v>20232104</v>
          </cell>
          <cell r="B2107"/>
          <cell r="C2107"/>
          <cell r="D2107"/>
          <cell r="E2107"/>
          <cell r="F2107"/>
          <cell r="G2107"/>
          <cell r="H2107"/>
          <cell r="I2107"/>
          <cell r="J2107"/>
          <cell r="K2107"/>
          <cell r="L2107"/>
          <cell r="M2107"/>
          <cell r="N2107"/>
        </row>
        <row r="2108">
          <cell r="A2108">
            <v>20232105</v>
          </cell>
          <cell r="B2108"/>
          <cell r="C2108"/>
          <cell r="D2108"/>
          <cell r="E2108"/>
          <cell r="F2108"/>
          <cell r="G2108"/>
          <cell r="H2108"/>
          <cell r="I2108"/>
          <cell r="J2108"/>
          <cell r="K2108"/>
          <cell r="L2108"/>
          <cell r="M2108"/>
          <cell r="N2108"/>
        </row>
        <row r="2109">
          <cell r="A2109">
            <v>20232106</v>
          </cell>
          <cell r="B2109"/>
          <cell r="C2109"/>
          <cell r="D2109"/>
          <cell r="E2109"/>
          <cell r="F2109"/>
          <cell r="G2109"/>
          <cell r="H2109"/>
          <cell r="I2109"/>
          <cell r="J2109"/>
          <cell r="K2109"/>
          <cell r="L2109"/>
          <cell r="M2109"/>
          <cell r="N2109"/>
        </row>
        <row r="2110">
          <cell r="A2110">
            <v>20232107</v>
          </cell>
          <cell r="B2110"/>
          <cell r="C2110"/>
          <cell r="D2110"/>
          <cell r="E2110"/>
          <cell r="F2110"/>
          <cell r="G2110"/>
          <cell r="H2110"/>
          <cell r="I2110"/>
          <cell r="J2110"/>
          <cell r="K2110"/>
          <cell r="L2110"/>
          <cell r="M2110"/>
          <cell r="N2110"/>
        </row>
        <row r="2111">
          <cell r="A2111">
            <v>20232108</v>
          </cell>
          <cell r="B2111"/>
          <cell r="C2111"/>
          <cell r="D2111"/>
          <cell r="E2111"/>
          <cell r="F2111"/>
          <cell r="G2111"/>
          <cell r="H2111"/>
          <cell r="I2111"/>
          <cell r="J2111"/>
          <cell r="K2111"/>
          <cell r="L2111"/>
          <cell r="M2111"/>
          <cell r="N2111"/>
        </row>
        <row r="2112">
          <cell r="A2112">
            <v>20232109</v>
          </cell>
          <cell r="B2112"/>
          <cell r="C2112"/>
          <cell r="D2112"/>
          <cell r="E2112"/>
          <cell r="F2112"/>
          <cell r="G2112"/>
          <cell r="H2112"/>
          <cell r="I2112"/>
          <cell r="J2112"/>
          <cell r="K2112"/>
          <cell r="L2112"/>
          <cell r="M2112"/>
          <cell r="N2112"/>
        </row>
        <row r="2113">
          <cell r="A2113">
            <v>20232110</v>
          </cell>
          <cell r="B2113"/>
          <cell r="C2113"/>
          <cell r="D2113"/>
          <cell r="E2113"/>
          <cell r="F2113"/>
          <cell r="G2113"/>
          <cell r="H2113"/>
          <cell r="I2113"/>
          <cell r="J2113"/>
          <cell r="K2113"/>
          <cell r="L2113"/>
          <cell r="M2113"/>
          <cell r="N2113"/>
        </row>
        <row r="2114">
          <cell r="A2114">
            <v>20232111</v>
          </cell>
          <cell r="B2114"/>
          <cell r="C2114"/>
          <cell r="D2114"/>
          <cell r="E2114"/>
          <cell r="F2114"/>
          <cell r="G2114"/>
          <cell r="H2114"/>
          <cell r="I2114"/>
          <cell r="J2114"/>
          <cell r="K2114"/>
          <cell r="L2114"/>
          <cell r="M2114"/>
          <cell r="N2114"/>
        </row>
        <row r="2115">
          <cell r="A2115">
            <v>20232112</v>
          </cell>
          <cell r="B2115"/>
          <cell r="C2115"/>
          <cell r="D2115"/>
          <cell r="E2115"/>
          <cell r="F2115"/>
          <cell r="G2115"/>
          <cell r="H2115"/>
          <cell r="I2115"/>
          <cell r="J2115"/>
          <cell r="K2115"/>
          <cell r="L2115"/>
          <cell r="M2115"/>
          <cell r="N2115"/>
        </row>
        <row r="2116">
          <cell r="A2116">
            <v>20232113</v>
          </cell>
          <cell r="B2116"/>
          <cell r="C2116"/>
          <cell r="D2116"/>
          <cell r="E2116"/>
          <cell r="F2116"/>
          <cell r="G2116"/>
          <cell r="H2116"/>
          <cell r="I2116"/>
          <cell r="J2116"/>
          <cell r="K2116"/>
          <cell r="L2116"/>
          <cell r="M2116"/>
          <cell r="N2116"/>
        </row>
        <row r="2117">
          <cell r="A2117">
            <v>20232114</v>
          </cell>
          <cell r="B2117"/>
          <cell r="C2117"/>
          <cell r="D2117"/>
          <cell r="E2117"/>
          <cell r="F2117"/>
          <cell r="G2117"/>
          <cell r="H2117"/>
          <cell r="I2117"/>
          <cell r="J2117"/>
          <cell r="K2117"/>
          <cell r="L2117"/>
          <cell r="M2117"/>
          <cell r="N2117"/>
        </row>
        <row r="2118">
          <cell r="A2118">
            <v>20232115</v>
          </cell>
          <cell r="B2118"/>
          <cell r="C2118"/>
          <cell r="D2118"/>
          <cell r="E2118"/>
          <cell r="F2118"/>
          <cell r="G2118"/>
          <cell r="H2118"/>
          <cell r="I2118"/>
          <cell r="J2118"/>
          <cell r="K2118"/>
          <cell r="L2118"/>
          <cell r="M2118"/>
          <cell r="N2118"/>
        </row>
        <row r="2119">
          <cell r="A2119">
            <v>20232116</v>
          </cell>
          <cell r="B2119"/>
          <cell r="C2119"/>
          <cell r="D2119"/>
          <cell r="E2119"/>
          <cell r="F2119"/>
          <cell r="G2119"/>
          <cell r="H2119"/>
          <cell r="I2119"/>
          <cell r="J2119"/>
          <cell r="K2119"/>
          <cell r="L2119"/>
          <cell r="M2119"/>
          <cell r="N2119"/>
        </row>
        <row r="2120">
          <cell r="A2120">
            <v>20232117</v>
          </cell>
          <cell r="B2120"/>
          <cell r="C2120"/>
          <cell r="D2120"/>
          <cell r="E2120"/>
          <cell r="F2120"/>
          <cell r="G2120"/>
          <cell r="H2120"/>
          <cell r="I2120"/>
          <cell r="J2120"/>
          <cell r="K2120"/>
          <cell r="L2120"/>
          <cell r="M2120"/>
          <cell r="N2120"/>
        </row>
        <row r="2121">
          <cell r="A2121">
            <v>20232118</v>
          </cell>
          <cell r="B2121"/>
          <cell r="C2121"/>
          <cell r="D2121"/>
          <cell r="E2121"/>
          <cell r="F2121"/>
          <cell r="G2121"/>
          <cell r="H2121"/>
          <cell r="I2121"/>
          <cell r="J2121"/>
          <cell r="K2121"/>
          <cell r="L2121"/>
          <cell r="M2121"/>
          <cell r="N2121"/>
        </row>
        <row r="2122">
          <cell r="A2122">
            <v>20232119</v>
          </cell>
          <cell r="B2122"/>
          <cell r="C2122"/>
          <cell r="D2122"/>
          <cell r="E2122"/>
          <cell r="F2122"/>
          <cell r="G2122"/>
          <cell r="H2122"/>
          <cell r="I2122"/>
          <cell r="J2122"/>
          <cell r="K2122"/>
          <cell r="L2122"/>
          <cell r="M2122"/>
          <cell r="N2122"/>
        </row>
        <row r="2123">
          <cell r="A2123">
            <v>20232120</v>
          </cell>
          <cell r="B2123"/>
          <cell r="C2123"/>
          <cell r="D2123"/>
          <cell r="E2123"/>
          <cell r="F2123"/>
          <cell r="G2123"/>
          <cell r="H2123"/>
          <cell r="I2123"/>
          <cell r="J2123"/>
          <cell r="K2123"/>
          <cell r="L2123"/>
          <cell r="M2123"/>
          <cell r="N2123"/>
        </row>
        <row r="2124">
          <cell r="A2124">
            <v>20232121</v>
          </cell>
          <cell r="B2124"/>
          <cell r="C2124"/>
          <cell r="D2124"/>
          <cell r="E2124"/>
          <cell r="F2124"/>
          <cell r="G2124"/>
          <cell r="H2124"/>
          <cell r="I2124"/>
          <cell r="J2124"/>
          <cell r="K2124"/>
          <cell r="L2124"/>
          <cell r="M2124"/>
          <cell r="N2124"/>
        </row>
        <row r="2125">
          <cell r="A2125">
            <v>20232122</v>
          </cell>
          <cell r="B2125"/>
          <cell r="C2125"/>
          <cell r="D2125"/>
          <cell r="E2125"/>
          <cell r="F2125"/>
          <cell r="G2125"/>
          <cell r="H2125"/>
          <cell r="I2125"/>
          <cell r="J2125"/>
          <cell r="K2125"/>
          <cell r="L2125"/>
          <cell r="M2125"/>
          <cell r="N2125"/>
        </row>
        <row r="2126">
          <cell r="A2126">
            <v>20232123</v>
          </cell>
          <cell r="B2126"/>
          <cell r="C2126"/>
          <cell r="D2126"/>
          <cell r="E2126"/>
          <cell r="F2126"/>
          <cell r="G2126"/>
          <cell r="H2126"/>
          <cell r="I2126"/>
          <cell r="J2126"/>
          <cell r="K2126"/>
          <cell r="L2126"/>
          <cell r="M2126"/>
          <cell r="N2126"/>
        </row>
        <row r="2127">
          <cell r="A2127">
            <v>20232124</v>
          </cell>
          <cell r="B2127"/>
          <cell r="C2127"/>
          <cell r="D2127"/>
          <cell r="E2127"/>
          <cell r="F2127"/>
          <cell r="G2127"/>
          <cell r="H2127"/>
          <cell r="I2127"/>
          <cell r="J2127"/>
          <cell r="K2127"/>
          <cell r="L2127"/>
          <cell r="M2127"/>
          <cell r="N2127"/>
        </row>
        <row r="2128">
          <cell r="A2128">
            <v>20232125</v>
          </cell>
          <cell r="B2128"/>
          <cell r="C2128"/>
          <cell r="D2128"/>
          <cell r="E2128"/>
          <cell r="F2128"/>
          <cell r="G2128"/>
          <cell r="H2128"/>
          <cell r="I2128"/>
          <cell r="J2128"/>
          <cell r="K2128"/>
          <cell r="L2128"/>
          <cell r="M2128"/>
          <cell r="N2128"/>
        </row>
        <row r="2129">
          <cell r="A2129">
            <v>20232126</v>
          </cell>
          <cell r="B2129"/>
          <cell r="C2129"/>
          <cell r="D2129"/>
          <cell r="E2129"/>
          <cell r="F2129"/>
          <cell r="G2129"/>
          <cell r="H2129"/>
          <cell r="I2129"/>
          <cell r="J2129"/>
          <cell r="K2129"/>
          <cell r="L2129"/>
          <cell r="M2129"/>
          <cell r="N2129"/>
        </row>
        <row r="2130">
          <cell r="A2130">
            <v>20232127</v>
          </cell>
          <cell r="B2130"/>
          <cell r="C2130"/>
          <cell r="D2130"/>
          <cell r="E2130"/>
          <cell r="F2130"/>
          <cell r="G2130"/>
          <cell r="H2130"/>
          <cell r="I2130"/>
          <cell r="J2130"/>
          <cell r="K2130"/>
          <cell r="L2130"/>
          <cell r="M2130"/>
          <cell r="N2130"/>
        </row>
        <row r="2131">
          <cell r="A2131">
            <v>20232128</v>
          </cell>
          <cell r="B2131"/>
          <cell r="C2131"/>
          <cell r="D2131"/>
          <cell r="E2131"/>
          <cell r="F2131"/>
          <cell r="G2131"/>
          <cell r="H2131"/>
          <cell r="I2131"/>
          <cell r="J2131"/>
          <cell r="K2131"/>
          <cell r="L2131"/>
          <cell r="M2131"/>
          <cell r="N2131"/>
        </row>
        <row r="2132">
          <cell r="A2132">
            <v>20232129</v>
          </cell>
          <cell r="B2132"/>
          <cell r="C2132"/>
          <cell r="D2132"/>
          <cell r="E2132"/>
          <cell r="F2132"/>
          <cell r="G2132"/>
          <cell r="H2132"/>
          <cell r="I2132"/>
          <cell r="J2132"/>
          <cell r="K2132"/>
          <cell r="L2132"/>
          <cell r="M2132"/>
          <cell r="N2132"/>
        </row>
        <row r="2133">
          <cell r="A2133">
            <v>20232130</v>
          </cell>
          <cell r="B2133"/>
          <cell r="C2133"/>
          <cell r="D2133"/>
          <cell r="E2133"/>
          <cell r="F2133"/>
          <cell r="G2133"/>
          <cell r="H2133"/>
          <cell r="I2133"/>
          <cell r="J2133"/>
          <cell r="K2133"/>
          <cell r="L2133"/>
          <cell r="M2133"/>
          <cell r="N2133"/>
        </row>
        <row r="2134">
          <cell r="A2134">
            <v>20232131</v>
          </cell>
          <cell r="B2134"/>
          <cell r="C2134"/>
          <cell r="D2134"/>
          <cell r="E2134"/>
          <cell r="F2134"/>
          <cell r="G2134"/>
          <cell r="H2134"/>
          <cell r="I2134"/>
          <cell r="J2134"/>
          <cell r="K2134"/>
          <cell r="L2134"/>
          <cell r="M2134"/>
          <cell r="N2134"/>
        </row>
        <row r="2135">
          <cell r="A2135">
            <v>20232132</v>
          </cell>
          <cell r="B2135"/>
          <cell r="C2135"/>
          <cell r="D2135"/>
          <cell r="E2135"/>
          <cell r="F2135"/>
          <cell r="G2135"/>
          <cell r="H2135"/>
          <cell r="I2135"/>
          <cell r="J2135"/>
          <cell r="K2135"/>
          <cell r="L2135"/>
          <cell r="M2135"/>
          <cell r="N2135"/>
        </row>
        <row r="2136">
          <cell r="A2136">
            <v>20232133</v>
          </cell>
          <cell r="B2136"/>
          <cell r="C2136"/>
          <cell r="D2136"/>
          <cell r="E2136"/>
          <cell r="F2136"/>
          <cell r="G2136"/>
          <cell r="H2136"/>
          <cell r="I2136"/>
          <cell r="J2136"/>
          <cell r="K2136"/>
          <cell r="L2136"/>
          <cell r="M2136"/>
          <cell r="N2136"/>
        </row>
        <row r="2137">
          <cell r="A2137">
            <v>20232134</v>
          </cell>
          <cell r="B2137"/>
          <cell r="C2137"/>
          <cell r="D2137"/>
          <cell r="E2137"/>
          <cell r="F2137"/>
          <cell r="G2137"/>
          <cell r="H2137"/>
          <cell r="I2137"/>
          <cell r="J2137"/>
          <cell r="K2137"/>
          <cell r="L2137"/>
          <cell r="M2137"/>
          <cell r="N2137"/>
        </row>
        <row r="2138">
          <cell r="A2138">
            <v>20232135</v>
          </cell>
          <cell r="B2138"/>
          <cell r="C2138"/>
          <cell r="D2138"/>
          <cell r="E2138"/>
          <cell r="F2138"/>
          <cell r="G2138"/>
          <cell r="H2138"/>
          <cell r="I2138"/>
          <cell r="J2138"/>
          <cell r="K2138"/>
          <cell r="L2138"/>
          <cell r="M2138"/>
          <cell r="N2138"/>
        </row>
        <row r="2139">
          <cell r="A2139">
            <v>20232136</v>
          </cell>
          <cell r="B2139"/>
          <cell r="C2139"/>
          <cell r="D2139"/>
          <cell r="E2139"/>
          <cell r="F2139"/>
          <cell r="G2139"/>
          <cell r="H2139"/>
          <cell r="I2139"/>
          <cell r="J2139"/>
          <cell r="K2139"/>
          <cell r="L2139"/>
          <cell r="M2139"/>
          <cell r="N2139"/>
        </row>
        <row r="2140">
          <cell r="A2140">
            <v>20232137</v>
          </cell>
          <cell r="B2140"/>
          <cell r="C2140"/>
          <cell r="D2140"/>
          <cell r="E2140"/>
          <cell r="F2140"/>
          <cell r="G2140"/>
          <cell r="H2140"/>
          <cell r="I2140"/>
          <cell r="J2140"/>
          <cell r="K2140"/>
          <cell r="L2140"/>
          <cell r="M2140"/>
          <cell r="N2140"/>
        </row>
        <row r="2141">
          <cell r="A2141">
            <v>20232138</v>
          </cell>
          <cell r="B2141"/>
          <cell r="C2141"/>
          <cell r="D2141"/>
          <cell r="E2141"/>
          <cell r="F2141"/>
          <cell r="G2141"/>
          <cell r="H2141"/>
          <cell r="I2141"/>
          <cell r="J2141"/>
          <cell r="K2141"/>
          <cell r="L2141"/>
          <cell r="M2141"/>
          <cell r="N2141"/>
        </row>
        <row r="2142">
          <cell r="A2142">
            <v>20232139</v>
          </cell>
          <cell r="B2142"/>
          <cell r="C2142"/>
          <cell r="D2142"/>
          <cell r="E2142"/>
          <cell r="F2142"/>
          <cell r="G2142"/>
          <cell r="H2142"/>
          <cell r="I2142"/>
          <cell r="J2142"/>
          <cell r="K2142"/>
          <cell r="L2142"/>
          <cell r="M2142"/>
          <cell r="N2142"/>
        </row>
        <row r="2143">
          <cell r="A2143">
            <v>20232140</v>
          </cell>
          <cell r="B2143"/>
          <cell r="C2143"/>
          <cell r="D2143"/>
          <cell r="E2143"/>
          <cell r="F2143"/>
          <cell r="G2143"/>
          <cell r="H2143"/>
          <cell r="I2143"/>
          <cell r="J2143"/>
          <cell r="K2143"/>
          <cell r="L2143"/>
          <cell r="M2143"/>
          <cell r="N2143"/>
        </row>
        <row r="2144">
          <cell r="A2144">
            <v>20232141</v>
          </cell>
          <cell r="B2144"/>
          <cell r="C2144"/>
          <cell r="D2144"/>
          <cell r="E2144"/>
          <cell r="F2144"/>
          <cell r="G2144"/>
          <cell r="H2144"/>
          <cell r="I2144"/>
          <cell r="J2144"/>
          <cell r="K2144"/>
          <cell r="L2144"/>
          <cell r="M2144"/>
          <cell r="N2144"/>
        </row>
        <row r="2145">
          <cell r="A2145">
            <v>20232142</v>
          </cell>
          <cell r="B2145"/>
          <cell r="C2145"/>
          <cell r="D2145"/>
          <cell r="E2145"/>
          <cell r="F2145"/>
          <cell r="G2145"/>
          <cell r="H2145"/>
          <cell r="I2145"/>
          <cell r="J2145"/>
          <cell r="K2145"/>
          <cell r="L2145"/>
          <cell r="M2145"/>
          <cell r="N2145"/>
        </row>
        <row r="2146">
          <cell r="A2146">
            <v>20232143</v>
          </cell>
          <cell r="B2146"/>
          <cell r="C2146"/>
          <cell r="D2146"/>
          <cell r="E2146"/>
          <cell r="F2146"/>
          <cell r="G2146"/>
          <cell r="H2146"/>
          <cell r="I2146"/>
          <cell r="J2146"/>
          <cell r="K2146"/>
          <cell r="L2146"/>
          <cell r="M2146"/>
          <cell r="N2146"/>
        </row>
        <row r="2147">
          <cell r="A2147">
            <v>20232144</v>
          </cell>
          <cell r="B2147"/>
          <cell r="C2147"/>
          <cell r="D2147"/>
          <cell r="E2147"/>
          <cell r="F2147"/>
          <cell r="G2147"/>
          <cell r="H2147"/>
          <cell r="I2147"/>
          <cell r="J2147"/>
          <cell r="K2147"/>
          <cell r="L2147"/>
          <cell r="M2147"/>
          <cell r="N2147"/>
        </row>
        <row r="2148">
          <cell r="A2148">
            <v>20232145</v>
          </cell>
          <cell r="B2148"/>
          <cell r="C2148"/>
          <cell r="D2148"/>
          <cell r="E2148"/>
          <cell r="F2148"/>
          <cell r="G2148"/>
          <cell r="H2148"/>
          <cell r="I2148"/>
          <cell r="J2148"/>
          <cell r="K2148"/>
          <cell r="L2148"/>
          <cell r="M2148"/>
          <cell r="N2148"/>
        </row>
        <row r="2149">
          <cell r="A2149">
            <v>20232146</v>
          </cell>
          <cell r="B2149"/>
          <cell r="C2149"/>
          <cell r="D2149"/>
          <cell r="E2149"/>
          <cell r="F2149"/>
          <cell r="G2149"/>
          <cell r="H2149"/>
          <cell r="I2149"/>
          <cell r="J2149"/>
          <cell r="K2149"/>
          <cell r="L2149"/>
          <cell r="M2149"/>
          <cell r="N2149"/>
        </row>
        <row r="2150">
          <cell r="A2150">
            <v>20232147</v>
          </cell>
          <cell r="B2150"/>
          <cell r="C2150"/>
          <cell r="D2150"/>
          <cell r="E2150"/>
          <cell r="F2150"/>
          <cell r="G2150"/>
          <cell r="H2150"/>
          <cell r="I2150"/>
          <cell r="J2150"/>
          <cell r="K2150"/>
          <cell r="L2150"/>
          <cell r="M2150"/>
          <cell r="N2150"/>
        </row>
        <row r="2151">
          <cell r="A2151">
            <v>20232148</v>
          </cell>
          <cell r="B2151"/>
          <cell r="C2151"/>
          <cell r="D2151"/>
          <cell r="E2151"/>
          <cell r="F2151"/>
          <cell r="G2151"/>
          <cell r="H2151"/>
          <cell r="I2151"/>
          <cell r="J2151"/>
          <cell r="K2151"/>
          <cell r="L2151"/>
          <cell r="M2151"/>
          <cell r="N2151"/>
        </row>
        <row r="2152">
          <cell r="A2152">
            <v>20232149</v>
          </cell>
          <cell r="B2152"/>
          <cell r="C2152"/>
          <cell r="D2152"/>
          <cell r="E2152"/>
          <cell r="F2152"/>
          <cell r="G2152"/>
          <cell r="H2152"/>
          <cell r="I2152"/>
          <cell r="J2152"/>
          <cell r="K2152"/>
          <cell r="L2152"/>
          <cell r="M2152"/>
          <cell r="N2152"/>
        </row>
        <row r="2153">
          <cell r="A2153">
            <v>20232150</v>
          </cell>
          <cell r="B2153"/>
          <cell r="C2153"/>
          <cell r="D2153"/>
          <cell r="E2153"/>
          <cell r="F2153"/>
          <cell r="G2153"/>
          <cell r="H2153"/>
          <cell r="I2153"/>
          <cell r="J2153"/>
          <cell r="K2153"/>
          <cell r="L2153"/>
          <cell r="M2153"/>
          <cell r="N2153"/>
        </row>
        <row r="2154">
          <cell r="A2154">
            <v>20232151</v>
          </cell>
          <cell r="B2154"/>
          <cell r="C2154"/>
          <cell r="D2154"/>
          <cell r="E2154"/>
          <cell r="F2154"/>
          <cell r="G2154"/>
          <cell r="H2154"/>
          <cell r="I2154"/>
          <cell r="J2154"/>
          <cell r="K2154"/>
          <cell r="L2154"/>
          <cell r="M2154"/>
          <cell r="N2154"/>
        </row>
        <row r="2155">
          <cell r="A2155">
            <v>20232152</v>
          </cell>
          <cell r="B2155"/>
          <cell r="C2155"/>
          <cell r="D2155"/>
          <cell r="E2155"/>
          <cell r="F2155"/>
          <cell r="G2155"/>
          <cell r="H2155"/>
          <cell r="I2155"/>
          <cell r="J2155"/>
          <cell r="K2155"/>
          <cell r="L2155"/>
          <cell r="M2155"/>
          <cell r="N2155"/>
        </row>
        <row r="2156">
          <cell r="A2156">
            <v>20232153</v>
          </cell>
          <cell r="B2156"/>
          <cell r="C2156"/>
          <cell r="D2156"/>
          <cell r="E2156"/>
          <cell r="F2156"/>
          <cell r="G2156"/>
          <cell r="H2156"/>
          <cell r="I2156"/>
          <cell r="J2156"/>
          <cell r="K2156"/>
          <cell r="L2156"/>
          <cell r="M2156"/>
          <cell r="N2156"/>
        </row>
        <row r="2157">
          <cell r="A2157">
            <v>20232154</v>
          </cell>
          <cell r="B2157"/>
          <cell r="C2157"/>
          <cell r="D2157"/>
          <cell r="E2157"/>
          <cell r="F2157"/>
          <cell r="G2157"/>
          <cell r="H2157"/>
          <cell r="I2157"/>
          <cell r="J2157"/>
          <cell r="K2157"/>
          <cell r="L2157"/>
          <cell r="M2157"/>
          <cell r="N2157"/>
        </row>
        <row r="2158">
          <cell r="A2158">
            <v>20232155</v>
          </cell>
          <cell r="B2158"/>
          <cell r="C2158"/>
          <cell r="D2158"/>
          <cell r="E2158"/>
          <cell r="F2158"/>
          <cell r="G2158"/>
          <cell r="H2158"/>
          <cell r="I2158"/>
          <cell r="J2158"/>
          <cell r="K2158"/>
          <cell r="L2158"/>
          <cell r="M2158"/>
          <cell r="N2158"/>
        </row>
        <row r="2159">
          <cell r="A2159">
            <v>20232156</v>
          </cell>
          <cell r="B2159"/>
          <cell r="C2159"/>
          <cell r="D2159"/>
          <cell r="E2159"/>
          <cell r="F2159"/>
          <cell r="G2159"/>
          <cell r="H2159"/>
          <cell r="I2159"/>
          <cell r="J2159"/>
          <cell r="K2159"/>
          <cell r="L2159"/>
          <cell r="M2159"/>
          <cell r="N2159"/>
        </row>
        <row r="2160">
          <cell r="A2160">
            <v>20232157</v>
          </cell>
          <cell r="B2160"/>
          <cell r="C2160"/>
          <cell r="D2160"/>
          <cell r="E2160"/>
          <cell r="F2160"/>
          <cell r="G2160"/>
          <cell r="H2160"/>
          <cell r="I2160"/>
          <cell r="J2160"/>
          <cell r="K2160"/>
          <cell r="L2160"/>
          <cell r="M2160"/>
          <cell r="N2160"/>
        </row>
        <row r="2161">
          <cell r="A2161">
            <v>20232158</v>
          </cell>
          <cell r="B2161"/>
          <cell r="C2161"/>
          <cell r="D2161"/>
          <cell r="E2161"/>
          <cell r="F2161"/>
          <cell r="G2161"/>
          <cell r="H2161"/>
          <cell r="I2161"/>
          <cell r="J2161"/>
          <cell r="K2161"/>
          <cell r="L2161"/>
          <cell r="M2161"/>
          <cell r="N2161"/>
        </row>
        <row r="2162">
          <cell r="A2162">
            <v>20232159</v>
          </cell>
          <cell r="B2162"/>
          <cell r="C2162"/>
          <cell r="D2162"/>
          <cell r="E2162"/>
          <cell r="F2162"/>
          <cell r="G2162"/>
          <cell r="H2162"/>
          <cell r="I2162"/>
          <cell r="J2162"/>
          <cell r="K2162"/>
          <cell r="L2162"/>
          <cell r="M2162"/>
          <cell r="N2162"/>
        </row>
        <row r="2163">
          <cell r="A2163">
            <v>20232160</v>
          </cell>
          <cell r="B2163"/>
          <cell r="C2163"/>
          <cell r="D2163"/>
          <cell r="E2163"/>
          <cell r="F2163"/>
          <cell r="G2163"/>
          <cell r="H2163"/>
          <cell r="I2163"/>
          <cell r="J2163"/>
          <cell r="K2163"/>
          <cell r="L2163"/>
          <cell r="M2163"/>
          <cell r="N2163"/>
        </row>
        <row r="2164">
          <cell r="A2164">
            <v>20232161</v>
          </cell>
          <cell r="B2164"/>
          <cell r="C2164"/>
          <cell r="D2164"/>
          <cell r="E2164"/>
          <cell r="F2164"/>
          <cell r="G2164"/>
          <cell r="H2164"/>
          <cell r="I2164"/>
          <cell r="J2164"/>
          <cell r="K2164"/>
          <cell r="L2164"/>
          <cell r="M2164"/>
          <cell r="N2164"/>
        </row>
        <row r="2165">
          <cell r="A2165">
            <v>20232162</v>
          </cell>
          <cell r="B2165"/>
          <cell r="C2165"/>
          <cell r="D2165"/>
          <cell r="E2165"/>
          <cell r="F2165"/>
          <cell r="G2165"/>
          <cell r="H2165"/>
          <cell r="I2165"/>
          <cell r="J2165"/>
          <cell r="K2165"/>
          <cell r="L2165"/>
          <cell r="M2165"/>
          <cell r="N2165"/>
        </row>
        <row r="2166">
          <cell r="A2166">
            <v>20232163</v>
          </cell>
          <cell r="B2166"/>
          <cell r="C2166"/>
          <cell r="D2166"/>
          <cell r="E2166"/>
          <cell r="F2166"/>
          <cell r="G2166"/>
          <cell r="H2166"/>
          <cell r="I2166"/>
          <cell r="J2166"/>
          <cell r="K2166"/>
          <cell r="L2166"/>
          <cell r="M2166"/>
          <cell r="N2166"/>
        </row>
        <row r="2167">
          <cell r="A2167">
            <v>20232164</v>
          </cell>
          <cell r="B2167"/>
          <cell r="C2167"/>
          <cell r="D2167"/>
          <cell r="E2167"/>
          <cell r="F2167"/>
          <cell r="G2167"/>
          <cell r="H2167"/>
          <cell r="I2167"/>
          <cell r="J2167"/>
          <cell r="K2167"/>
          <cell r="L2167"/>
          <cell r="M2167"/>
          <cell r="N2167"/>
        </row>
        <row r="2168">
          <cell r="A2168">
            <v>20232165</v>
          </cell>
          <cell r="B2168"/>
          <cell r="C2168"/>
          <cell r="D2168"/>
          <cell r="E2168"/>
          <cell r="F2168"/>
          <cell r="G2168"/>
          <cell r="H2168"/>
          <cell r="I2168"/>
          <cell r="J2168"/>
          <cell r="K2168"/>
          <cell r="L2168"/>
          <cell r="M2168"/>
          <cell r="N2168"/>
        </row>
        <row r="2169">
          <cell r="A2169">
            <v>20232166</v>
          </cell>
          <cell r="B2169"/>
          <cell r="C2169"/>
          <cell r="D2169"/>
          <cell r="E2169"/>
          <cell r="F2169"/>
          <cell r="G2169"/>
          <cell r="H2169"/>
          <cell r="I2169"/>
          <cell r="J2169"/>
          <cell r="K2169"/>
          <cell r="L2169"/>
          <cell r="M2169"/>
          <cell r="N2169"/>
        </row>
        <row r="2170">
          <cell r="A2170">
            <v>20232167</v>
          </cell>
          <cell r="B2170"/>
          <cell r="C2170"/>
          <cell r="D2170"/>
          <cell r="E2170"/>
          <cell r="F2170"/>
          <cell r="G2170"/>
          <cell r="H2170"/>
          <cell r="I2170"/>
          <cell r="J2170"/>
          <cell r="K2170"/>
          <cell r="L2170"/>
          <cell r="M2170"/>
          <cell r="N2170"/>
        </row>
        <row r="2171">
          <cell r="A2171">
            <v>20232168</v>
          </cell>
          <cell r="B2171"/>
          <cell r="C2171"/>
          <cell r="D2171"/>
          <cell r="E2171"/>
          <cell r="F2171"/>
          <cell r="G2171"/>
          <cell r="H2171"/>
          <cell r="I2171"/>
          <cell r="J2171"/>
          <cell r="K2171"/>
          <cell r="L2171"/>
          <cell r="M2171"/>
          <cell r="N2171"/>
        </row>
        <row r="2172">
          <cell r="A2172">
            <v>20232169</v>
          </cell>
          <cell r="B2172"/>
          <cell r="C2172"/>
          <cell r="D2172"/>
          <cell r="E2172"/>
          <cell r="F2172"/>
          <cell r="G2172"/>
          <cell r="H2172"/>
          <cell r="I2172"/>
          <cell r="J2172"/>
          <cell r="K2172"/>
          <cell r="L2172"/>
          <cell r="M2172"/>
          <cell r="N2172"/>
        </row>
        <row r="2173">
          <cell r="A2173">
            <v>20232170</v>
          </cell>
          <cell r="B2173"/>
          <cell r="C2173"/>
          <cell r="D2173"/>
          <cell r="E2173"/>
          <cell r="F2173"/>
          <cell r="G2173"/>
          <cell r="H2173"/>
          <cell r="I2173"/>
          <cell r="J2173"/>
          <cell r="K2173"/>
          <cell r="L2173"/>
          <cell r="M2173"/>
          <cell r="N2173"/>
        </row>
        <row r="2174">
          <cell r="A2174">
            <v>20232171</v>
          </cell>
          <cell r="B2174"/>
          <cell r="C2174"/>
          <cell r="D2174"/>
          <cell r="E2174"/>
          <cell r="F2174"/>
          <cell r="G2174"/>
          <cell r="H2174"/>
          <cell r="I2174"/>
          <cell r="J2174"/>
          <cell r="K2174"/>
          <cell r="L2174"/>
          <cell r="M2174"/>
          <cell r="N2174"/>
        </row>
        <row r="2175">
          <cell r="A2175">
            <v>20232172</v>
          </cell>
          <cell r="B2175"/>
          <cell r="C2175"/>
          <cell r="D2175"/>
          <cell r="E2175"/>
          <cell r="F2175"/>
          <cell r="G2175"/>
          <cell r="H2175"/>
          <cell r="I2175"/>
          <cell r="J2175"/>
          <cell r="K2175"/>
          <cell r="L2175"/>
          <cell r="M2175"/>
          <cell r="N2175"/>
        </row>
        <row r="2176">
          <cell r="A2176">
            <v>20232173</v>
          </cell>
          <cell r="B2176"/>
          <cell r="C2176"/>
          <cell r="D2176"/>
          <cell r="E2176"/>
          <cell r="F2176"/>
          <cell r="G2176"/>
          <cell r="H2176"/>
          <cell r="I2176"/>
          <cell r="J2176"/>
          <cell r="K2176"/>
          <cell r="L2176"/>
          <cell r="M2176"/>
          <cell r="N2176"/>
        </row>
        <row r="2177">
          <cell r="A2177">
            <v>20232174</v>
          </cell>
          <cell r="B2177"/>
          <cell r="C2177"/>
          <cell r="D2177"/>
          <cell r="E2177"/>
          <cell r="F2177"/>
          <cell r="G2177"/>
          <cell r="H2177"/>
          <cell r="I2177"/>
          <cell r="J2177"/>
          <cell r="K2177"/>
          <cell r="L2177"/>
          <cell r="M2177"/>
          <cell r="N2177"/>
        </row>
        <row r="2178">
          <cell r="A2178">
            <v>20232175</v>
          </cell>
          <cell r="B2178"/>
          <cell r="C2178"/>
          <cell r="D2178"/>
          <cell r="E2178"/>
          <cell r="F2178"/>
          <cell r="G2178"/>
          <cell r="H2178"/>
          <cell r="I2178"/>
          <cell r="J2178"/>
          <cell r="K2178"/>
          <cell r="L2178"/>
          <cell r="M2178"/>
          <cell r="N2178"/>
        </row>
        <row r="2179">
          <cell r="A2179">
            <v>20232176</v>
          </cell>
          <cell r="B2179"/>
          <cell r="C2179"/>
          <cell r="D2179"/>
          <cell r="E2179"/>
          <cell r="F2179"/>
          <cell r="G2179"/>
          <cell r="H2179"/>
          <cell r="I2179"/>
          <cell r="J2179"/>
          <cell r="K2179"/>
          <cell r="L2179"/>
          <cell r="M2179"/>
          <cell r="N2179"/>
        </row>
        <row r="2180">
          <cell r="A2180">
            <v>20232177</v>
          </cell>
          <cell r="B2180"/>
          <cell r="C2180"/>
          <cell r="D2180"/>
          <cell r="E2180"/>
          <cell r="F2180"/>
          <cell r="G2180"/>
          <cell r="H2180"/>
          <cell r="I2180"/>
          <cell r="J2180"/>
          <cell r="K2180"/>
          <cell r="L2180"/>
          <cell r="M2180"/>
          <cell r="N2180"/>
        </row>
        <row r="2181">
          <cell r="A2181">
            <v>20232178</v>
          </cell>
          <cell r="B2181"/>
          <cell r="C2181"/>
          <cell r="D2181"/>
          <cell r="E2181"/>
          <cell r="F2181"/>
          <cell r="G2181"/>
          <cell r="H2181"/>
          <cell r="I2181"/>
          <cell r="J2181"/>
          <cell r="K2181"/>
          <cell r="L2181"/>
          <cell r="M2181"/>
          <cell r="N2181"/>
        </row>
        <row r="2182">
          <cell r="A2182">
            <v>20232179</v>
          </cell>
          <cell r="B2182"/>
          <cell r="C2182"/>
          <cell r="D2182"/>
          <cell r="E2182"/>
          <cell r="F2182"/>
          <cell r="G2182"/>
          <cell r="H2182"/>
          <cell r="I2182"/>
          <cell r="J2182"/>
          <cell r="K2182"/>
          <cell r="L2182"/>
          <cell r="M2182"/>
          <cell r="N2182"/>
        </row>
        <row r="2183">
          <cell r="A2183">
            <v>20232180</v>
          </cell>
          <cell r="B2183"/>
          <cell r="C2183"/>
          <cell r="D2183"/>
          <cell r="E2183"/>
          <cell r="F2183"/>
          <cell r="G2183"/>
          <cell r="H2183"/>
          <cell r="I2183"/>
          <cell r="J2183"/>
          <cell r="K2183"/>
          <cell r="L2183"/>
          <cell r="M2183"/>
          <cell r="N2183"/>
        </row>
        <row r="2184">
          <cell r="A2184">
            <v>20232181</v>
          </cell>
          <cell r="B2184"/>
          <cell r="C2184"/>
          <cell r="D2184"/>
          <cell r="E2184"/>
          <cell r="F2184"/>
          <cell r="G2184"/>
          <cell r="H2184"/>
          <cell r="I2184"/>
          <cell r="J2184"/>
          <cell r="K2184"/>
          <cell r="L2184"/>
          <cell r="M2184"/>
          <cell r="N2184"/>
        </row>
        <row r="2185">
          <cell r="A2185">
            <v>20232182</v>
          </cell>
          <cell r="B2185"/>
          <cell r="C2185"/>
          <cell r="D2185"/>
          <cell r="E2185"/>
          <cell r="F2185"/>
          <cell r="G2185"/>
          <cell r="H2185"/>
          <cell r="I2185"/>
          <cell r="J2185"/>
          <cell r="K2185"/>
          <cell r="L2185"/>
          <cell r="M2185"/>
          <cell r="N2185"/>
        </row>
        <row r="2186">
          <cell r="A2186">
            <v>20232183</v>
          </cell>
          <cell r="B2186"/>
          <cell r="C2186"/>
          <cell r="D2186"/>
          <cell r="E2186"/>
          <cell r="F2186"/>
          <cell r="G2186"/>
          <cell r="H2186"/>
          <cell r="I2186"/>
          <cell r="J2186"/>
          <cell r="K2186"/>
          <cell r="L2186"/>
          <cell r="M2186"/>
          <cell r="N2186"/>
        </row>
        <row r="2187">
          <cell r="A2187">
            <v>20232184</v>
          </cell>
          <cell r="B2187"/>
          <cell r="C2187"/>
          <cell r="D2187"/>
          <cell r="E2187"/>
          <cell r="F2187"/>
          <cell r="G2187"/>
          <cell r="H2187"/>
          <cell r="I2187"/>
          <cell r="J2187"/>
          <cell r="K2187"/>
          <cell r="L2187"/>
          <cell r="M2187"/>
          <cell r="N2187"/>
        </row>
        <row r="2188">
          <cell r="A2188">
            <v>20232185</v>
          </cell>
          <cell r="B2188"/>
          <cell r="C2188"/>
          <cell r="D2188"/>
          <cell r="E2188"/>
          <cell r="F2188"/>
          <cell r="G2188"/>
          <cell r="H2188"/>
          <cell r="I2188"/>
          <cell r="J2188"/>
          <cell r="K2188"/>
          <cell r="L2188"/>
          <cell r="M2188"/>
          <cell r="N2188"/>
        </row>
        <row r="2189">
          <cell r="A2189">
            <v>20232186</v>
          </cell>
          <cell r="B2189"/>
          <cell r="C2189"/>
          <cell r="D2189"/>
          <cell r="E2189"/>
          <cell r="F2189"/>
          <cell r="G2189"/>
          <cell r="H2189"/>
          <cell r="I2189"/>
          <cell r="J2189"/>
          <cell r="K2189"/>
          <cell r="L2189"/>
          <cell r="M2189"/>
          <cell r="N2189"/>
        </row>
        <row r="2190">
          <cell r="A2190">
            <v>20232187</v>
          </cell>
          <cell r="B2190"/>
          <cell r="C2190"/>
          <cell r="D2190"/>
          <cell r="E2190"/>
          <cell r="F2190"/>
          <cell r="G2190"/>
          <cell r="H2190"/>
          <cell r="I2190"/>
          <cell r="J2190"/>
          <cell r="K2190"/>
          <cell r="L2190"/>
          <cell r="M2190"/>
          <cell r="N2190"/>
        </row>
        <row r="2191">
          <cell r="A2191">
            <v>20232188</v>
          </cell>
          <cell r="B2191"/>
          <cell r="C2191"/>
          <cell r="D2191"/>
          <cell r="E2191"/>
          <cell r="F2191"/>
          <cell r="G2191"/>
          <cell r="H2191"/>
          <cell r="I2191"/>
          <cell r="J2191"/>
          <cell r="K2191"/>
          <cell r="L2191"/>
          <cell r="M2191"/>
          <cell r="N2191"/>
        </row>
        <row r="2192">
          <cell r="A2192">
            <v>20232189</v>
          </cell>
          <cell r="B2192"/>
          <cell r="C2192"/>
          <cell r="D2192"/>
          <cell r="E2192"/>
          <cell r="F2192"/>
          <cell r="G2192"/>
          <cell r="H2192"/>
          <cell r="I2192"/>
          <cell r="J2192"/>
          <cell r="K2192"/>
          <cell r="L2192"/>
          <cell r="M2192"/>
          <cell r="N2192"/>
        </row>
        <row r="2193">
          <cell r="A2193">
            <v>20232190</v>
          </cell>
          <cell r="B2193"/>
          <cell r="C2193"/>
          <cell r="D2193"/>
          <cell r="E2193"/>
          <cell r="F2193"/>
          <cell r="G2193"/>
          <cell r="H2193"/>
          <cell r="I2193"/>
          <cell r="J2193"/>
          <cell r="K2193"/>
          <cell r="L2193"/>
          <cell r="M2193"/>
          <cell r="N2193"/>
        </row>
        <row r="2194">
          <cell r="A2194">
            <v>20232191</v>
          </cell>
          <cell r="B2194"/>
          <cell r="C2194"/>
          <cell r="D2194"/>
          <cell r="E2194"/>
          <cell r="F2194"/>
          <cell r="G2194"/>
          <cell r="H2194"/>
          <cell r="I2194"/>
          <cell r="J2194"/>
          <cell r="K2194"/>
          <cell r="L2194"/>
          <cell r="M2194"/>
          <cell r="N2194"/>
        </row>
        <row r="2195">
          <cell r="A2195">
            <v>20232192</v>
          </cell>
          <cell r="B2195"/>
          <cell r="C2195"/>
          <cell r="D2195"/>
          <cell r="E2195"/>
          <cell r="F2195"/>
          <cell r="G2195"/>
          <cell r="H2195"/>
          <cell r="I2195"/>
          <cell r="J2195"/>
          <cell r="K2195"/>
          <cell r="L2195"/>
          <cell r="M2195"/>
          <cell r="N2195"/>
        </row>
        <row r="2196">
          <cell r="A2196">
            <v>20232193</v>
          </cell>
          <cell r="B2196"/>
          <cell r="C2196"/>
          <cell r="D2196"/>
          <cell r="E2196"/>
          <cell r="F2196"/>
          <cell r="G2196"/>
          <cell r="H2196"/>
          <cell r="I2196"/>
          <cell r="J2196"/>
          <cell r="K2196"/>
          <cell r="L2196"/>
          <cell r="M2196"/>
          <cell r="N2196"/>
        </row>
      </sheetData>
      <sheetData sheetId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Usuarios"/>
      <sheetName val="ESPEC_INF"/>
      <sheetName val="REPORT"/>
      <sheetName val="FORMATO"/>
      <sheetName val="STATUS_SEND_EMAIL"/>
      <sheetName val="STATUS_REQUEST"/>
      <sheetName val="REG_PROCESS"/>
      <sheetName val="REG_REQUEST"/>
      <sheetName val="REG_REQUEST_EDIT"/>
      <sheetName val="Registro Pruebas Metrologia Rev"/>
    </sheetNames>
    <definedNames>
      <definedName name="Sheet1.MacroSINPAR"/>
      <definedName name="Sheet1.MacroSINPAR10"/>
      <definedName name="Sheet1.MacroSINPAR11"/>
      <definedName name="Sheet1.MacroSINPAR12"/>
      <definedName name="Sheet1.MacroSINPAR2"/>
      <definedName name="Sheet1.MacroSINPAR3"/>
      <definedName name="Sheet1.MacroSINPAR4"/>
      <definedName name="Sheet1.MacroSINPAR5"/>
      <definedName name="Sheet1.MacroSINPAR6"/>
      <definedName name="Sheet1.MacroSINPAR7"/>
      <definedName name="Sheet1.MacroSINPAR8"/>
      <definedName name="Sheet1.MacroSINPAR9"/>
    </definedNames>
    <sheetDataSet>
      <sheetData sheetId="0"/>
      <sheetData sheetId="1">
        <row r="7">
          <cell r="C7" t="str">
            <v>Administrador</v>
          </cell>
        </row>
      </sheetData>
      <sheetData sheetId="2">
        <row r="5">
          <cell r="H5" t="str">
            <v>Aglaé Guajardo</v>
          </cell>
        </row>
      </sheetData>
      <sheetData sheetId="3"/>
      <sheetData sheetId="4"/>
      <sheetData sheetId="5"/>
      <sheetData sheetId="6"/>
      <sheetData sheetId="7">
        <row r="9">
          <cell r="A9">
            <v>20210001</v>
          </cell>
        </row>
      </sheetData>
      <sheetData sheetId="8">
        <row r="9">
          <cell r="A9">
            <v>20210001</v>
          </cell>
        </row>
      </sheetData>
      <sheetData sheetId="9">
        <row r="3">
          <cell r="A3"/>
        </row>
      </sheetData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72909-54F5-4F0E-9232-AC2B1509726E}">
  <sheetPr codeName="Sheet10">
    <tabColor theme="4" tint="0.39997558519241921"/>
    <pageSetUpPr fitToPage="1"/>
  </sheetPr>
  <dimension ref="A1:AD55"/>
  <sheetViews>
    <sheetView tabSelected="1" view="pageBreakPreview" zoomScale="115" zoomScaleNormal="100" zoomScaleSheetLayoutView="115" workbookViewId="0">
      <selection activeCell="G3" sqref="G3:H3"/>
    </sheetView>
  </sheetViews>
  <sheetFormatPr defaultColWidth="8" defaultRowHeight="15" x14ac:dyDescent="0.25"/>
  <cols>
    <col min="1" max="26" width="5.25" style="6" customWidth="1"/>
    <col min="27" max="27" width="0.25" style="6" customWidth="1"/>
    <col min="28" max="28" width="7.375" style="6" customWidth="1"/>
    <col min="29" max="16384" width="8" style="6"/>
  </cols>
  <sheetData>
    <row r="1" spans="1:29" ht="14.25" customHeight="1" x14ac:dyDescent="0.25">
      <c r="A1" s="84" t="s">
        <v>0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1"/>
      <c r="T1" s="2" t="s">
        <v>1</v>
      </c>
      <c r="U1" s="3"/>
      <c r="V1" s="4"/>
      <c r="W1" s="4"/>
      <c r="X1" s="4"/>
      <c r="Y1" s="4"/>
      <c r="Z1" s="5"/>
      <c r="AB1" s="7"/>
      <c r="AC1" s="7"/>
    </row>
    <row r="2" spans="1:29" ht="12" customHeight="1" x14ac:dyDescent="0.25">
      <c r="A2" s="8" t="s">
        <v>2</v>
      </c>
      <c r="B2" s="9"/>
      <c r="C2" s="86" t="str">
        <f>VLOOKUP(G3,[6]MATRIZ!$A:$N,6,FALSE)</f>
        <v>34257328A</v>
      </c>
      <c r="D2" s="86"/>
      <c r="E2" s="86"/>
      <c r="F2" s="10" t="s">
        <v>3</v>
      </c>
      <c r="G2" s="87" t="str">
        <f>VLOOKUP(G3,[6]MATRIZ!$A:$N,7,FALSE)</f>
        <v>N/A</v>
      </c>
      <c r="H2" s="86"/>
      <c r="I2" s="10" t="s">
        <v>4</v>
      </c>
      <c r="J2" s="11"/>
      <c r="K2" s="70" t="s">
        <v>81</v>
      </c>
      <c r="L2" s="70"/>
      <c r="M2" s="12" t="s">
        <v>5</v>
      </c>
      <c r="N2" s="88">
        <f>VLOOKUP(G3,[6]MATRIZ!$A:$N,2,FALSE)</f>
        <v>44970</v>
      </c>
      <c r="O2" s="88"/>
      <c r="P2" s="88"/>
      <c r="Q2" s="57" t="s">
        <v>79</v>
      </c>
      <c r="R2" s="58" t="str">
        <f>VLOOKUP(G3,[6]MATRIZ!$A:$N,4,FALSE)</f>
        <v>714-3</v>
      </c>
      <c r="V2" s="89" t="s">
        <v>6</v>
      </c>
      <c r="Z2" s="13"/>
      <c r="AB2" s="7"/>
      <c r="AC2" s="7"/>
    </row>
    <row r="3" spans="1:29" ht="12" customHeight="1" x14ac:dyDescent="0.25">
      <c r="A3" s="8" t="s">
        <v>7</v>
      </c>
      <c r="B3" s="9"/>
      <c r="C3" s="90" t="str">
        <f>VLOOKUP(G3,[6]MATRIZ!$A:$N,14,FALSE)</f>
        <v>CH34259297 A15</v>
      </c>
      <c r="D3" s="90"/>
      <c r="E3" s="90"/>
      <c r="F3" s="10" t="s">
        <v>8</v>
      </c>
      <c r="G3" s="91">
        <v>20231031</v>
      </c>
      <c r="H3" s="91"/>
      <c r="I3" s="10" t="s">
        <v>9</v>
      </c>
      <c r="J3" s="11"/>
      <c r="K3" s="92" t="str">
        <f>VLOOKUP(G3,[6]MATRIZ!$A:$N,9,FALSE) &amp; " PCS"</f>
        <v>4 PCS</v>
      </c>
      <c r="L3" s="92"/>
      <c r="M3" s="14" t="s">
        <v>10</v>
      </c>
      <c r="N3" s="93" t="str">
        <f>VLOOKUP(G3,[6]MATRIZ!$A:$N,12,FALSE)</f>
        <v>Nohemi</v>
      </c>
      <c r="O3" s="93"/>
      <c r="P3" s="93"/>
      <c r="Q3" s="57" t="s">
        <v>80</v>
      </c>
      <c r="R3" s="59">
        <f>VLOOKUP(G3,[6]MATRIZ!$A:$N,3,FALSE)</f>
        <v>1</v>
      </c>
      <c r="V3" s="89"/>
      <c r="Z3" s="13"/>
      <c r="AB3" s="7"/>
      <c r="AC3" s="7"/>
    </row>
    <row r="4" spans="1:29" ht="12" customHeight="1" x14ac:dyDescent="0.25">
      <c r="A4" s="8"/>
      <c r="B4" s="9"/>
      <c r="C4" s="9"/>
      <c r="D4" s="15"/>
      <c r="E4" s="16"/>
      <c r="F4" s="9"/>
      <c r="G4" s="9"/>
      <c r="H4" s="9"/>
      <c r="I4" s="17"/>
      <c r="J4" s="9"/>
      <c r="K4" s="9"/>
      <c r="V4" s="18"/>
      <c r="Z4" s="13"/>
      <c r="AB4" s="7"/>
      <c r="AC4" s="7"/>
    </row>
    <row r="5" spans="1:29" ht="12" customHeight="1" x14ac:dyDescent="0.25">
      <c r="A5" s="80" t="s">
        <v>11</v>
      </c>
      <c r="B5" s="81" t="s">
        <v>12</v>
      </c>
      <c r="C5" s="19" t="s">
        <v>13</v>
      </c>
      <c r="D5" s="20">
        <v>15</v>
      </c>
      <c r="E5" s="19" t="s">
        <v>13</v>
      </c>
      <c r="F5" s="20">
        <v>16</v>
      </c>
      <c r="G5" s="19" t="s">
        <v>13</v>
      </c>
      <c r="H5" s="20">
        <v>17</v>
      </c>
      <c r="I5" s="19" t="s">
        <v>13</v>
      </c>
      <c r="J5" s="20" t="s">
        <v>82</v>
      </c>
      <c r="K5" s="19" t="s">
        <v>13</v>
      </c>
      <c r="L5" s="20" t="s">
        <v>83</v>
      </c>
      <c r="M5" s="19" t="s">
        <v>13</v>
      </c>
      <c r="N5" s="20"/>
      <c r="O5" s="19" t="s">
        <v>13</v>
      </c>
      <c r="P5" s="20"/>
      <c r="Q5" s="19" t="s">
        <v>13</v>
      </c>
      <c r="R5" s="20"/>
      <c r="S5" s="19" t="s">
        <v>13</v>
      </c>
      <c r="T5" s="20"/>
      <c r="U5" s="19" t="s">
        <v>13</v>
      </c>
      <c r="V5" s="20"/>
      <c r="W5" s="19" t="s">
        <v>13</v>
      </c>
      <c r="X5" s="20"/>
      <c r="Y5" s="19" t="s">
        <v>13</v>
      </c>
      <c r="Z5" s="20"/>
      <c r="AB5" s="7"/>
      <c r="AC5" s="7"/>
    </row>
    <row r="6" spans="1:29" ht="12" customHeight="1" x14ac:dyDescent="0.25">
      <c r="A6" s="80"/>
      <c r="B6" s="82"/>
      <c r="C6" s="21" t="s">
        <v>14</v>
      </c>
      <c r="D6" s="22" t="s">
        <v>84</v>
      </c>
      <c r="E6" s="21" t="s">
        <v>14</v>
      </c>
      <c r="F6" s="22" t="s">
        <v>85</v>
      </c>
      <c r="G6" s="21" t="s">
        <v>14</v>
      </c>
      <c r="H6" s="22" t="s">
        <v>84</v>
      </c>
      <c r="I6" s="21" t="s">
        <v>14</v>
      </c>
      <c r="J6" s="22" t="s">
        <v>86</v>
      </c>
      <c r="K6" s="21" t="s">
        <v>14</v>
      </c>
      <c r="L6" s="22" t="s">
        <v>86</v>
      </c>
      <c r="M6" s="21" t="s">
        <v>14</v>
      </c>
      <c r="N6" s="22"/>
      <c r="O6" s="21" t="s">
        <v>14</v>
      </c>
      <c r="P6" s="22"/>
      <c r="Q6" s="21" t="s">
        <v>14</v>
      </c>
      <c r="R6" s="22"/>
      <c r="S6" s="21" t="s">
        <v>14</v>
      </c>
      <c r="T6" s="22"/>
      <c r="U6" s="21" t="s">
        <v>14</v>
      </c>
      <c r="V6" s="22"/>
      <c r="W6" s="21" t="s">
        <v>14</v>
      </c>
      <c r="X6" s="22"/>
      <c r="Y6" s="21" t="s">
        <v>14</v>
      </c>
      <c r="Z6" s="22"/>
      <c r="AB6" s="7"/>
      <c r="AC6" s="7"/>
    </row>
    <row r="7" spans="1:29" ht="12" customHeight="1" x14ac:dyDescent="0.25">
      <c r="A7" s="80"/>
      <c r="B7" s="82"/>
      <c r="C7" s="23" t="s">
        <v>15</v>
      </c>
      <c r="D7" s="24">
        <v>90</v>
      </c>
      <c r="E7" s="23" t="s">
        <v>15</v>
      </c>
      <c r="F7" s="24">
        <v>58.5</v>
      </c>
      <c r="G7" s="23" t="s">
        <v>15</v>
      </c>
      <c r="H7" s="24">
        <v>90</v>
      </c>
      <c r="I7" s="23" t="s">
        <v>15</v>
      </c>
      <c r="J7" s="24">
        <v>2</v>
      </c>
      <c r="K7" s="23" t="s">
        <v>15</v>
      </c>
      <c r="L7" s="24">
        <v>2</v>
      </c>
      <c r="M7" s="23" t="s">
        <v>15</v>
      </c>
      <c r="N7" s="24"/>
      <c r="O7" s="23" t="s">
        <v>15</v>
      </c>
      <c r="P7" s="24"/>
      <c r="Q7" s="23" t="s">
        <v>15</v>
      </c>
      <c r="R7" s="24"/>
      <c r="S7" s="23" t="s">
        <v>15</v>
      </c>
      <c r="T7" s="24"/>
      <c r="U7" s="23" t="s">
        <v>15</v>
      </c>
      <c r="V7" s="24"/>
      <c r="W7" s="23" t="s">
        <v>15</v>
      </c>
      <c r="X7" s="24"/>
      <c r="Y7" s="23" t="s">
        <v>15</v>
      </c>
      <c r="Z7" s="24"/>
      <c r="AB7" s="7"/>
      <c r="AC7" s="7"/>
    </row>
    <row r="8" spans="1:29" ht="12" customHeight="1" x14ac:dyDescent="0.25">
      <c r="A8" s="80"/>
      <c r="B8" s="82"/>
      <c r="C8" s="23" t="s">
        <v>16</v>
      </c>
      <c r="D8" s="25">
        <f>+D7+0.36</f>
        <v>90.36</v>
      </c>
      <c r="E8" s="23" t="s">
        <v>16</v>
      </c>
      <c r="F8" s="25">
        <f>+F7+0.25</f>
        <v>58.75</v>
      </c>
      <c r="G8" s="23" t="s">
        <v>16</v>
      </c>
      <c r="H8" s="25">
        <f t="shared" ref="H8" si="0">+H7+0.36</f>
        <v>90.36</v>
      </c>
      <c r="I8" s="23" t="s">
        <v>16</v>
      </c>
      <c r="J8" s="25">
        <f>+J7+0.2</f>
        <v>2.2000000000000002</v>
      </c>
      <c r="K8" s="23" t="s">
        <v>16</v>
      </c>
      <c r="L8" s="25">
        <f>+L7+0.2</f>
        <v>2.2000000000000002</v>
      </c>
      <c r="M8" s="23" t="s">
        <v>16</v>
      </c>
      <c r="N8" s="25"/>
      <c r="O8" s="23" t="s">
        <v>16</v>
      </c>
      <c r="P8" s="25"/>
      <c r="Q8" s="23" t="s">
        <v>16</v>
      </c>
      <c r="R8" s="25"/>
      <c r="S8" s="23" t="s">
        <v>16</v>
      </c>
      <c r="T8" s="25"/>
      <c r="U8" s="23" t="s">
        <v>16</v>
      </c>
      <c r="V8" s="25"/>
      <c r="W8" s="23" t="s">
        <v>16</v>
      </c>
      <c r="X8" s="25"/>
      <c r="Y8" s="23" t="s">
        <v>16</v>
      </c>
      <c r="Z8" s="25"/>
      <c r="AB8" s="7"/>
      <c r="AC8" s="7"/>
    </row>
    <row r="9" spans="1:29" ht="12" customHeight="1" x14ac:dyDescent="0.25">
      <c r="A9" s="80"/>
      <c r="B9" s="82"/>
      <c r="C9" s="23" t="s">
        <v>17</v>
      </c>
      <c r="D9" s="25">
        <f>+D7-0.36</f>
        <v>89.64</v>
      </c>
      <c r="E9" s="23" t="s">
        <v>17</v>
      </c>
      <c r="F9" s="25">
        <f>+F7-0.15</f>
        <v>58.35</v>
      </c>
      <c r="G9" s="23" t="s">
        <v>17</v>
      </c>
      <c r="H9" s="25">
        <f t="shared" ref="H9" si="1">+H7-0.36</f>
        <v>89.64</v>
      </c>
      <c r="I9" s="23" t="s">
        <v>17</v>
      </c>
      <c r="J9" s="25">
        <f>+J7-0.2</f>
        <v>1.8</v>
      </c>
      <c r="K9" s="23" t="s">
        <v>17</v>
      </c>
      <c r="L9" s="25">
        <f>+L7-0.2</f>
        <v>1.8</v>
      </c>
      <c r="M9" s="23" t="s">
        <v>17</v>
      </c>
      <c r="N9" s="25"/>
      <c r="O9" s="23" t="s">
        <v>17</v>
      </c>
      <c r="P9" s="25"/>
      <c r="Q9" s="23" t="s">
        <v>17</v>
      </c>
      <c r="R9" s="25"/>
      <c r="S9" s="23" t="s">
        <v>17</v>
      </c>
      <c r="T9" s="25"/>
      <c r="U9" s="23" t="s">
        <v>17</v>
      </c>
      <c r="V9" s="25"/>
      <c r="W9" s="23" t="s">
        <v>17</v>
      </c>
      <c r="X9" s="25"/>
      <c r="Y9" s="23" t="s">
        <v>17</v>
      </c>
      <c r="Z9" s="25"/>
      <c r="AB9" s="7"/>
      <c r="AC9" s="7"/>
    </row>
    <row r="10" spans="1:29" x14ac:dyDescent="0.25">
      <c r="A10" s="80"/>
      <c r="B10" s="83"/>
      <c r="C10" s="23" t="s">
        <v>18</v>
      </c>
      <c r="D10" s="26" t="s">
        <v>30</v>
      </c>
      <c r="E10" s="23" t="s">
        <v>18</v>
      </c>
      <c r="F10" s="26" t="s">
        <v>30</v>
      </c>
      <c r="G10" s="23" t="s">
        <v>18</v>
      </c>
      <c r="H10" s="26" t="s">
        <v>30</v>
      </c>
      <c r="I10" s="23" t="s">
        <v>18</v>
      </c>
      <c r="J10" s="26" t="s">
        <v>87</v>
      </c>
      <c r="K10" s="23" t="s">
        <v>18</v>
      </c>
      <c r="L10" s="26" t="s">
        <v>87</v>
      </c>
      <c r="M10" s="23" t="s">
        <v>18</v>
      </c>
      <c r="N10" s="26"/>
      <c r="O10" s="23" t="s">
        <v>18</v>
      </c>
      <c r="P10" s="26"/>
      <c r="Q10" s="23" t="s">
        <v>18</v>
      </c>
      <c r="R10" s="26"/>
      <c r="S10" s="23" t="s">
        <v>18</v>
      </c>
      <c r="T10" s="26"/>
      <c r="U10" s="23" t="s">
        <v>18</v>
      </c>
      <c r="V10" s="26"/>
      <c r="W10" s="23" t="s">
        <v>18</v>
      </c>
      <c r="X10" s="26"/>
      <c r="Y10" s="23" t="s">
        <v>18</v>
      </c>
      <c r="Z10" s="26"/>
      <c r="AB10" s="7"/>
      <c r="AC10" s="7"/>
    </row>
    <row r="11" spans="1:29" x14ac:dyDescent="0.25">
      <c r="A11" s="27">
        <v>1</v>
      </c>
      <c r="B11" s="27" t="s">
        <v>81</v>
      </c>
      <c r="C11" s="60">
        <v>90.03</v>
      </c>
      <c r="D11" s="60"/>
      <c r="E11" s="60">
        <v>58.64</v>
      </c>
      <c r="F11" s="60"/>
      <c r="G11" s="78">
        <v>90.22</v>
      </c>
      <c r="H11" s="79"/>
      <c r="I11" s="78">
        <v>2.37</v>
      </c>
      <c r="J11" s="79"/>
      <c r="K11" s="78">
        <v>2.2400000000000002</v>
      </c>
      <c r="L11" s="79"/>
      <c r="M11" s="78"/>
      <c r="N11" s="79"/>
      <c r="O11" s="78"/>
      <c r="P11" s="79"/>
      <c r="Q11" s="78"/>
      <c r="R11" s="79"/>
      <c r="S11" s="78"/>
      <c r="T11" s="79"/>
      <c r="U11" s="78"/>
      <c r="V11" s="79"/>
      <c r="W11" s="78"/>
      <c r="X11" s="79"/>
      <c r="Y11" s="78"/>
      <c r="Z11" s="79"/>
      <c r="AB11" s="7"/>
      <c r="AC11" s="7"/>
    </row>
    <row r="12" spans="1:29" x14ac:dyDescent="0.25">
      <c r="A12" s="27">
        <v>2</v>
      </c>
      <c r="B12" s="27" t="s">
        <v>81</v>
      </c>
      <c r="C12" s="60">
        <v>89.77</v>
      </c>
      <c r="D12" s="60"/>
      <c r="E12" s="60">
        <v>58.61</v>
      </c>
      <c r="F12" s="60"/>
      <c r="G12" s="78">
        <v>90.03</v>
      </c>
      <c r="H12" s="79"/>
      <c r="I12" s="78">
        <v>2.44</v>
      </c>
      <c r="J12" s="79"/>
      <c r="K12" s="78">
        <v>2.2999999999999998</v>
      </c>
      <c r="L12" s="79"/>
      <c r="M12" s="78"/>
      <c r="N12" s="79"/>
      <c r="O12" s="78"/>
      <c r="P12" s="79"/>
      <c r="Q12" s="78"/>
      <c r="R12" s="79"/>
      <c r="S12" s="78"/>
      <c r="T12" s="79"/>
      <c r="U12" s="78"/>
      <c r="V12" s="79"/>
      <c r="W12" s="78"/>
      <c r="X12" s="79"/>
      <c r="Y12" s="78"/>
      <c r="Z12" s="79"/>
    </row>
    <row r="13" spans="1:29" x14ac:dyDescent="0.25">
      <c r="A13" s="27">
        <v>3</v>
      </c>
      <c r="B13" s="27" t="s">
        <v>81</v>
      </c>
      <c r="C13" s="60">
        <v>89.91</v>
      </c>
      <c r="D13" s="60"/>
      <c r="E13" s="60">
        <v>58.62</v>
      </c>
      <c r="F13" s="60"/>
      <c r="G13" s="78">
        <v>90.1</v>
      </c>
      <c r="H13" s="79"/>
      <c r="I13" s="78">
        <v>2.41</v>
      </c>
      <c r="J13" s="79"/>
      <c r="K13" s="78">
        <v>2.2799999999999998</v>
      </c>
      <c r="L13" s="79"/>
      <c r="M13" s="78"/>
      <c r="N13" s="79"/>
      <c r="O13" s="78"/>
      <c r="P13" s="79"/>
      <c r="Q13" s="78"/>
      <c r="R13" s="79"/>
      <c r="S13" s="78"/>
      <c r="T13" s="79"/>
      <c r="U13" s="78"/>
      <c r="V13" s="79"/>
      <c r="W13" s="78"/>
      <c r="X13" s="79"/>
      <c r="Y13" s="78"/>
      <c r="Z13" s="79"/>
    </row>
    <row r="14" spans="1:29" x14ac:dyDescent="0.25">
      <c r="A14" s="27">
        <v>4</v>
      </c>
      <c r="B14" s="27" t="s">
        <v>81</v>
      </c>
      <c r="C14" s="60">
        <v>89.78</v>
      </c>
      <c r="D14" s="60"/>
      <c r="E14" s="60">
        <v>58.61</v>
      </c>
      <c r="F14" s="60"/>
      <c r="G14" s="78">
        <v>89.99</v>
      </c>
      <c r="H14" s="79"/>
      <c r="I14" s="78">
        <v>2.4700000000000002</v>
      </c>
      <c r="J14" s="79"/>
      <c r="K14" s="78">
        <v>2.2999999999999998</v>
      </c>
      <c r="L14" s="79"/>
      <c r="M14" s="78"/>
      <c r="N14" s="79"/>
      <c r="O14" s="78"/>
      <c r="P14" s="79"/>
      <c r="Q14" s="78"/>
      <c r="R14" s="79"/>
      <c r="S14" s="78"/>
      <c r="T14" s="79"/>
      <c r="U14" s="78"/>
      <c r="V14" s="79"/>
      <c r="W14" s="78"/>
      <c r="X14" s="79"/>
      <c r="Y14" s="78"/>
      <c r="Z14" s="79"/>
    </row>
    <row r="15" spans="1:29" x14ac:dyDescent="0.25">
      <c r="A15" s="27"/>
      <c r="B15" s="27"/>
      <c r="C15" s="60"/>
      <c r="D15" s="60"/>
      <c r="E15" s="60"/>
      <c r="F15" s="60"/>
      <c r="G15" s="78"/>
      <c r="H15" s="79"/>
      <c r="I15" s="78"/>
      <c r="J15" s="79"/>
      <c r="K15" s="78"/>
      <c r="L15" s="79"/>
      <c r="M15" s="78"/>
      <c r="N15" s="79"/>
      <c r="O15" s="78"/>
      <c r="P15" s="79"/>
      <c r="Q15" s="78"/>
      <c r="R15" s="79"/>
      <c r="S15" s="78"/>
      <c r="T15" s="79"/>
      <c r="U15" s="78"/>
      <c r="V15" s="79"/>
      <c r="W15" s="78"/>
      <c r="X15" s="79"/>
      <c r="Y15" s="78"/>
      <c r="Z15" s="79"/>
    </row>
    <row r="16" spans="1:29" x14ac:dyDescent="0.25">
      <c r="A16" s="27"/>
      <c r="B16" s="27"/>
      <c r="C16" s="60"/>
      <c r="D16" s="60"/>
      <c r="E16" s="60"/>
      <c r="F16" s="60"/>
      <c r="G16" s="78"/>
      <c r="H16" s="79"/>
      <c r="I16" s="78"/>
      <c r="J16" s="79"/>
      <c r="K16" s="78"/>
      <c r="L16" s="79"/>
      <c r="M16" s="78"/>
      <c r="N16" s="79"/>
      <c r="O16" s="78"/>
      <c r="P16" s="79"/>
      <c r="Q16" s="78"/>
      <c r="R16" s="79"/>
      <c r="S16" s="78"/>
      <c r="T16" s="79"/>
      <c r="U16" s="78"/>
      <c r="V16" s="79"/>
      <c r="W16" s="78"/>
      <c r="X16" s="79"/>
      <c r="Y16" s="78"/>
      <c r="Z16" s="79"/>
    </row>
    <row r="17" spans="1:30" x14ac:dyDescent="0.25">
      <c r="A17" s="27"/>
      <c r="B17" s="27"/>
      <c r="C17" s="60"/>
      <c r="D17" s="60"/>
      <c r="E17" s="60"/>
      <c r="F17" s="60"/>
      <c r="G17" s="78"/>
      <c r="H17" s="79"/>
      <c r="I17" s="78"/>
      <c r="J17" s="79"/>
      <c r="K17" s="78"/>
      <c r="L17" s="79"/>
      <c r="M17" s="78"/>
      <c r="N17" s="79"/>
      <c r="O17" s="78"/>
      <c r="P17" s="79"/>
      <c r="Q17" s="78"/>
      <c r="R17" s="79"/>
      <c r="S17" s="78"/>
      <c r="T17" s="79"/>
      <c r="U17" s="78"/>
      <c r="V17" s="79"/>
      <c r="W17" s="78"/>
      <c r="X17" s="79"/>
      <c r="Y17" s="78"/>
      <c r="Z17" s="79"/>
    </row>
    <row r="18" spans="1:30" x14ac:dyDescent="0.25">
      <c r="A18" s="27"/>
      <c r="B18" s="27"/>
      <c r="C18" s="60"/>
      <c r="D18" s="60"/>
      <c r="E18" s="60"/>
      <c r="F18" s="60"/>
      <c r="G18" s="78"/>
      <c r="H18" s="79"/>
      <c r="I18" s="78"/>
      <c r="J18" s="79"/>
      <c r="K18" s="78"/>
      <c r="L18" s="79"/>
      <c r="M18" s="78"/>
      <c r="N18" s="79"/>
      <c r="O18" s="78"/>
      <c r="P18" s="79"/>
      <c r="Q18" s="78"/>
      <c r="R18" s="79"/>
      <c r="S18" s="78"/>
      <c r="T18" s="79"/>
      <c r="U18" s="78"/>
      <c r="V18" s="79"/>
      <c r="W18" s="78"/>
      <c r="X18" s="79"/>
      <c r="Y18" s="78"/>
      <c r="Z18" s="79"/>
      <c r="AA18" s="28"/>
    </row>
    <row r="19" spans="1:30" x14ac:dyDescent="0.25">
      <c r="A19" s="27"/>
      <c r="B19" s="27"/>
      <c r="C19" s="60"/>
      <c r="D19" s="60"/>
      <c r="E19" s="60"/>
      <c r="F19" s="60"/>
      <c r="G19" s="78"/>
      <c r="H19" s="79"/>
      <c r="I19" s="78"/>
      <c r="J19" s="79"/>
      <c r="K19" s="78"/>
      <c r="L19" s="79"/>
      <c r="M19" s="78"/>
      <c r="N19" s="79"/>
      <c r="O19" s="78"/>
      <c r="P19" s="79"/>
      <c r="Q19" s="78"/>
      <c r="R19" s="79"/>
      <c r="S19" s="78"/>
      <c r="T19" s="79"/>
      <c r="U19" s="78"/>
      <c r="V19" s="79"/>
      <c r="W19" s="78"/>
      <c r="X19" s="79"/>
      <c r="Y19" s="78"/>
      <c r="Z19" s="79"/>
      <c r="AA19" s="29"/>
      <c r="AB19" s="7"/>
    </row>
    <row r="20" spans="1:30" x14ac:dyDescent="0.25">
      <c r="A20" s="27"/>
      <c r="B20" s="27"/>
      <c r="C20" s="60"/>
      <c r="D20" s="60"/>
      <c r="E20" s="60"/>
      <c r="F20" s="60"/>
      <c r="G20" s="78"/>
      <c r="H20" s="79"/>
      <c r="I20" s="78"/>
      <c r="J20" s="79"/>
      <c r="K20" s="78"/>
      <c r="L20" s="79"/>
      <c r="M20" s="78"/>
      <c r="N20" s="79"/>
      <c r="O20" s="78"/>
      <c r="P20" s="79"/>
      <c r="Q20" s="78"/>
      <c r="R20" s="79"/>
      <c r="S20" s="78"/>
      <c r="T20" s="79"/>
      <c r="U20" s="78"/>
      <c r="V20" s="79"/>
      <c r="W20" s="78"/>
      <c r="X20" s="79"/>
      <c r="Y20" s="78"/>
      <c r="Z20" s="79"/>
      <c r="AA20" s="29"/>
      <c r="AB20" s="7"/>
    </row>
    <row r="21" spans="1:30" x14ac:dyDescent="0.25">
      <c r="A21" s="27"/>
      <c r="B21" s="27"/>
      <c r="C21" s="60"/>
      <c r="D21" s="60"/>
      <c r="E21" s="60"/>
      <c r="F21" s="60"/>
      <c r="G21" s="78"/>
      <c r="H21" s="79"/>
      <c r="I21" s="78"/>
      <c r="J21" s="79"/>
      <c r="K21" s="78"/>
      <c r="L21" s="79"/>
      <c r="M21" s="78"/>
      <c r="N21" s="79"/>
      <c r="O21" s="78"/>
      <c r="P21" s="79"/>
      <c r="Q21" s="78"/>
      <c r="R21" s="79"/>
      <c r="S21" s="78"/>
      <c r="T21" s="79"/>
      <c r="U21" s="78"/>
      <c r="V21" s="79"/>
      <c r="W21" s="78"/>
      <c r="X21" s="79"/>
      <c r="Y21" s="78"/>
      <c r="Z21" s="79"/>
      <c r="AA21" s="29"/>
      <c r="AB21" s="7"/>
    </row>
    <row r="22" spans="1:30" x14ac:dyDescent="0.25">
      <c r="A22" s="27"/>
      <c r="B22" s="27"/>
      <c r="C22" s="60"/>
      <c r="D22" s="60"/>
      <c r="E22" s="60"/>
      <c r="F22" s="60"/>
      <c r="G22" s="78"/>
      <c r="H22" s="79"/>
      <c r="I22" s="78"/>
      <c r="J22" s="79"/>
      <c r="K22" s="78"/>
      <c r="L22" s="79"/>
      <c r="M22" s="78"/>
      <c r="N22" s="79"/>
      <c r="O22" s="78"/>
      <c r="P22" s="79"/>
      <c r="Q22" s="78"/>
      <c r="R22" s="79"/>
      <c r="S22" s="78"/>
      <c r="T22" s="79"/>
      <c r="U22" s="78"/>
      <c r="V22" s="79"/>
      <c r="W22" s="78"/>
      <c r="X22" s="79"/>
      <c r="Y22" s="78"/>
      <c r="Z22" s="79"/>
    </row>
    <row r="23" spans="1:30" x14ac:dyDescent="0.25">
      <c r="A23" s="27"/>
      <c r="B23" s="27"/>
      <c r="C23" s="60"/>
      <c r="D23" s="60"/>
      <c r="E23" s="60"/>
      <c r="F23" s="60"/>
      <c r="G23" s="78"/>
      <c r="H23" s="79"/>
      <c r="I23" s="78"/>
      <c r="J23" s="79"/>
      <c r="K23" s="78"/>
      <c r="L23" s="79"/>
      <c r="M23" s="78"/>
      <c r="N23" s="79"/>
      <c r="O23" s="78"/>
      <c r="P23" s="79"/>
      <c r="Q23" s="78"/>
      <c r="R23" s="79"/>
      <c r="S23" s="78"/>
      <c r="T23" s="79"/>
      <c r="U23" s="78"/>
      <c r="V23" s="79"/>
      <c r="W23" s="78"/>
      <c r="X23" s="79"/>
      <c r="Y23" s="78"/>
      <c r="Z23" s="79"/>
      <c r="AC23" s="7"/>
      <c r="AD23" s="7"/>
    </row>
    <row r="24" spans="1:30" x14ac:dyDescent="0.25">
      <c r="A24" s="27"/>
      <c r="B24" s="27"/>
      <c r="C24" s="60"/>
      <c r="D24" s="60"/>
      <c r="E24" s="60"/>
      <c r="F24" s="60"/>
      <c r="G24" s="78"/>
      <c r="H24" s="79"/>
      <c r="I24" s="78"/>
      <c r="J24" s="79"/>
      <c r="K24" s="78"/>
      <c r="L24" s="79"/>
      <c r="M24" s="78"/>
      <c r="N24" s="79"/>
      <c r="O24" s="78"/>
      <c r="P24" s="79"/>
      <c r="Q24" s="78"/>
      <c r="R24" s="79"/>
      <c r="S24" s="78"/>
      <c r="T24" s="79"/>
      <c r="U24" s="78"/>
      <c r="V24" s="79"/>
      <c r="W24" s="78"/>
      <c r="X24" s="79"/>
      <c r="Y24" s="78"/>
      <c r="Z24" s="79"/>
      <c r="AC24" s="7"/>
      <c r="AD24" s="7"/>
    </row>
    <row r="25" spans="1:30" x14ac:dyDescent="0.25">
      <c r="A25" s="27"/>
      <c r="B25" s="27"/>
      <c r="C25" s="60"/>
      <c r="D25" s="60"/>
      <c r="E25" s="60"/>
      <c r="F25" s="60"/>
      <c r="G25" s="78"/>
      <c r="H25" s="79"/>
      <c r="I25" s="78"/>
      <c r="J25" s="79"/>
      <c r="K25" s="78"/>
      <c r="L25" s="79"/>
      <c r="M25" s="78"/>
      <c r="N25" s="79"/>
      <c r="O25" s="78"/>
      <c r="P25" s="79"/>
      <c r="Q25" s="78"/>
      <c r="R25" s="79"/>
      <c r="S25" s="78"/>
      <c r="T25" s="79"/>
      <c r="U25" s="78"/>
      <c r="V25" s="79"/>
      <c r="W25" s="78"/>
      <c r="X25" s="79"/>
      <c r="Y25" s="78"/>
      <c r="Z25" s="79"/>
    </row>
    <row r="26" spans="1:30" x14ac:dyDescent="0.25">
      <c r="A26" s="27"/>
      <c r="B26" s="27"/>
      <c r="C26" s="60"/>
      <c r="D26" s="60"/>
      <c r="E26" s="60"/>
      <c r="F26" s="60"/>
      <c r="G26" s="78"/>
      <c r="H26" s="79"/>
      <c r="I26" s="78"/>
      <c r="J26" s="79"/>
      <c r="K26" s="78"/>
      <c r="L26" s="79"/>
      <c r="M26" s="78"/>
      <c r="N26" s="79"/>
      <c r="O26" s="78"/>
      <c r="P26" s="79"/>
      <c r="Q26" s="78"/>
      <c r="R26" s="79"/>
      <c r="S26" s="78"/>
      <c r="T26" s="79"/>
      <c r="U26" s="78"/>
      <c r="V26" s="79"/>
      <c r="W26" s="78"/>
      <c r="X26" s="79"/>
      <c r="Y26" s="78"/>
      <c r="Z26" s="79"/>
    </row>
    <row r="27" spans="1:30" x14ac:dyDescent="0.25">
      <c r="A27" s="27"/>
      <c r="B27" s="27"/>
      <c r="C27" s="60"/>
      <c r="D27" s="60"/>
      <c r="E27" s="60"/>
      <c r="F27" s="60"/>
      <c r="G27" s="78"/>
      <c r="H27" s="79"/>
      <c r="I27" s="78"/>
      <c r="J27" s="79"/>
      <c r="K27" s="78"/>
      <c r="L27" s="79"/>
      <c r="M27" s="78"/>
      <c r="N27" s="79"/>
      <c r="O27" s="78"/>
      <c r="P27" s="79"/>
      <c r="Q27" s="78"/>
      <c r="R27" s="79"/>
      <c r="S27" s="78"/>
      <c r="T27" s="79"/>
      <c r="U27" s="78"/>
      <c r="V27" s="79"/>
      <c r="W27" s="78"/>
      <c r="X27" s="79"/>
      <c r="Y27" s="78"/>
      <c r="Z27" s="79"/>
    </row>
    <row r="28" spans="1:30" x14ac:dyDescent="0.25">
      <c r="A28" s="27"/>
      <c r="B28" s="27"/>
      <c r="C28" s="60"/>
      <c r="D28" s="60"/>
      <c r="E28" s="60"/>
      <c r="F28" s="60"/>
      <c r="G28" s="78"/>
      <c r="H28" s="79"/>
      <c r="I28" s="78"/>
      <c r="J28" s="79"/>
      <c r="K28" s="78"/>
      <c r="L28" s="79"/>
      <c r="M28" s="78"/>
      <c r="N28" s="79"/>
      <c r="O28" s="78"/>
      <c r="P28" s="79"/>
      <c r="Q28" s="78"/>
      <c r="R28" s="79"/>
      <c r="S28" s="78"/>
      <c r="T28" s="79"/>
      <c r="U28" s="78"/>
      <c r="V28" s="79"/>
      <c r="W28" s="78"/>
      <c r="X28" s="79"/>
      <c r="Y28" s="78"/>
      <c r="Z28" s="79"/>
    </row>
    <row r="29" spans="1:30" x14ac:dyDescent="0.25">
      <c r="A29" s="27"/>
      <c r="B29" s="27"/>
      <c r="C29" s="60"/>
      <c r="D29" s="60"/>
      <c r="E29" s="60"/>
      <c r="F29" s="60"/>
      <c r="G29" s="78"/>
      <c r="H29" s="79"/>
      <c r="I29" s="78"/>
      <c r="J29" s="79"/>
      <c r="K29" s="78"/>
      <c r="L29" s="79"/>
      <c r="M29" s="78"/>
      <c r="N29" s="79"/>
      <c r="O29" s="78"/>
      <c r="P29" s="79"/>
      <c r="Q29" s="78"/>
      <c r="R29" s="79"/>
      <c r="S29" s="78"/>
      <c r="T29" s="79"/>
      <c r="U29" s="78"/>
      <c r="V29" s="79"/>
      <c r="W29" s="78"/>
      <c r="X29" s="79"/>
      <c r="Y29" s="78"/>
      <c r="Z29" s="79"/>
    </row>
    <row r="30" spans="1:30" x14ac:dyDescent="0.25">
      <c r="A30" s="27"/>
      <c r="B30" s="27"/>
      <c r="C30" s="60"/>
      <c r="D30" s="60"/>
      <c r="E30" s="60"/>
      <c r="F30" s="60"/>
      <c r="G30" s="78"/>
      <c r="H30" s="79"/>
      <c r="I30" s="78"/>
      <c r="J30" s="79"/>
      <c r="K30" s="78"/>
      <c r="L30" s="79"/>
      <c r="M30" s="78"/>
      <c r="N30" s="79"/>
      <c r="O30" s="78"/>
      <c r="P30" s="79"/>
      <c r="Q30" s="78"/>
      <c r="R30" s="79"/>
      <c r="S30" s="78"/>
      <c r="T30" s="79"/>
      <c r="U30" s="78"/>
      <c r="V30" s="79"/>
      <c r="W30" s="78"/>
      <c r="X30" s="79"/>
      <c r="Y30" s="78"/>
      <c r="Z30" s="79"/>
    </row>
    <row r="31" spans="1:30" x14ac:dyDescent="0.25">
      <c r="A31" s="27"/>
      <c r="B31" s="27"/>
      <c r="C31" s="60"/>
      <c r="D31" s="60"/>
      <c r="E31" s="60"/>
      <c r="F31" s="60"/>
      <c r="G31" s="78"/>
      <c r="H31" s="79"/>
      <c r="I31" s="78"/>
      <c r="J31" s="79"/>
      <c r="K31" s="78"/>
      <c r="L31" s="79"/>
      <c r="M31" s="78"/>
      <c r="N31" s="79"/>
      <c r="O31" s="78"/>
      <c r="P31" s="79"/>
      <c r="Q31" s="78"/>
      <c r="R31" s="79"/>
      <c r="S31" s="78"/>
      <c r="T31" s="79"/>
      <c r="U31" s="78"/>
      <c r="V31" s="79"/>
      <c r="W31" s="78"/>
      <c r="X31" s="79"/>
      <c r="Y31" s="78"/>
      <c r="Z31" s="79"/>
    </row>
    <row r="32" spans="1:30" x14ac:dyDescent="0.25">
      <c r="A32" s="27"/>
      <c r="B32" s="27"/>
      <c r="C32" s="60"/>
      <c r="D32" s="60"/>
      <c r="E32" s="60"/>
      <c r="F32" s="60"/>
      <c r="G32" s="78"/>
      <c r="H32" s="79"/>
      <c r="I32" s="78"/>
      <c r="J32" s="79"/>
      <c r="K32" s="78"/>
      <c r="L32" s="79"/>
      <c r="M32" s="78"/>
      <c r="N32" s="79"/>
      <c r="O32" s="78"/>
      <c r="P32" s="79"/>
      <c r="Q32" s="78"/>
      <c r="R32" s="79"/>
      <c r="S32" s="78"/>
      <c r="T32" s="79"/>
      <c r="U32" s="78"/>
      <c r="V32" s="79"/>
      <c r="W32" s="78"/>
      <c r="X32" s="79"/>
      <c r="Y32" s="78"/>
      <c r="Z32" s="79"/>
    </row>
    <row r="33" spans="1:26" x14ac:dyDescent="0.25">
      <c r="A33" s="27"/>
      <c r="B33" s="27"/>
      <c r="C33" s="60"/>
      <c r="D33" s="60"/>
      <c r="E33" s="60"/>
      <c r="F33" s="60"/>
      <c r="G33" s="78"/>
      <c r="H33" s="79"/>
      <c r="I33" s="78"/>
      <c r="J33" s="79"/>
      <c r="K33" s="78"/>
      <c r="L33" s="79"/>
      <c r="M33" s="78"/>
      <c r="N33" s="79"/>
      <c r="O33" s="78"/>
      <c r="P33" s="79"/>
      <c r="Q33" s="78"/>
      <c r="R33" s="79"/>
      <c r="S33" s="78"/>
      <c r="T33" s="79"/>
      <c r="U33" s="78"/>
      <c r="V33" s="79"/>
      <c r="W33" s="78"/>
      <c r="X33" s="79"/>
      <c r="Y33" s="78"/>
      <c r="Z33" s="79"/>
    </row>
    <row r="34" spans="1:26" x14ac:dyDescent="0.25">
      <c r="A34" s="27"/>
      <c r="B34" s="27"/>
      <c r="C34" s="60"/>
      <c r="D34" s="60"/>
      <c r="E34" s="60"/>
      <c r="F34" s="60"/>
      <c r="G34" s="78"/>
      <c r="H34" s="79"/>
      <c r="I34" s="78"/>
      <c r="J34" s="79"/>
      <c r="K34" s="78"/>
      <c r="L34" s="79"/>
      <c r="M34" s="78"/>
      <c r="N34" s="79"/>
      <c r="O34" s="78"/>
      <c r="P34" s="79"/>
      <c r="Q34" s="78"/>
      <c r="R34" s="79"/>
      <c r="S34" s="78"/>
      <c r="T34" s="79"/>
      <c r="U34" s="78"/>
      <c r="V34" s="79"/>
      <c r="W34" s="78"/>
      <c r="X34" s="79"/>
      <c r="Y34" s="78"/>
      <c r="Z34" s="79"/>
    </row>
    <row r="35" spans="1:26" x14ac:dyDescent="0.25">
      <c r="A35" s="27"/>
      <c r="B35" s="27"/>
      <c r="C35" s="60"/>
      <c r="D35" s="60"/>
      <c r="E35" s="60"/>
      <c r="F35" s="60"/>
      <c r="G35" s="78"/>
      <c r="H35" s="79"/>
      <c r="I35" s="78"/>
      <c r="J35" s="79"/>
      <c r="K35" s="78"/>
      <c r="L35" s="79"/>
      <c r="M35" s="78"/>
      <c r="N35" s="79"/>
      <c r="O35" s="78"/>
      <c r="P35" s="79"/>
      <c r="Q35" s="78"/>
      <c r="R35" s="79"/>
      <c r="S35" s="78"/>
      <c r="T35" s="79"/>
      <c r="U35" s="78"/>
      <c r="V35" s="79"/>
      <c r="W35" s="78"/>
      <c r="X35" s="79"/>
      <c r="Y35" s="78"/>
      <c r="Z35" s="79"/>
    </row>
    <row r="36" spans="1:26" x14ac:dyDescent="0.25">
      <c r="A36" s="27"/>
      <c r="B36" s="27"/>
      <c r="C36" s="60"/>
      <c r="D36" s="60"/>
      <c r="E36" s="60"/>
      <c r="F36" s="60"/>
      <c r="G36" s="78"/>
      <c r="H36" s="79"/>
      <c r="I36" s="78"/>
      <c r="J36" s="79"/>
      <c r="K36" s="78"/>
      <c r="L36" s="79"/>
      <c r="M36" s="78"/>
      <c r="N36" s="79"/>
      <c r="O36" s="78"/>
      <c r="P36" s="79"/>
      <c r="Q36" s="78"/>
      <c r="R36" s="79"/>
      <c r="S36" s="78"/>
      <c r="T36" s="79"/>
      <c r="U36" s="78"/>
      <c r="V36" s="79"/>
      <c r="W36" s="78"/>
      <c r="X36" s="79"/>
      <c r="Y36" s="78"/>
      <c r="Z36" s="79"/>
    </row>
    <row r="37" spans="1:26" x14ac:dyDescent="0.25">
      <c r="A37" s="27"/>
      <c r="B37" s="27"/>
      <c r="C37" s="60"/>
      <c r="D37" s="60"/>
      <c r="E37" s="60"/>
      <c r="F37" s="60"/>
      <c r="G37" s="78"/>
      <c r="H37" s="79"/>
      <c r="I37" s="78"/>
      <c r="J37" s="79"/>
      <c r="K37" s="78"/>
      <c r="L37" s="79"/>
      <c r="M37" s="78"/>
      <c r="N37" s="79"/>
      <c r="O37" s="78"/>
      <c r="P37" s="79"/>
      <c r="Q37" s="78"/>
      <c r="R37" s="79"/>
      <c r="S37" s="78"/>
      <c r="T37" s="79"/>
      <c r="U37" s="78"/>
      <c r="V37" s="79"/>
      <c r="W37" s="78"/>
      <c r="X37" s="79"/>
      <c r="Y37" s="78"/>
      <c r="Z37" s="79"/>
    </row>
    <row r="38" spans="1:26" x14ac:dyDescent="0.25">
      <c r="A38" s="27"/>
      <c r="B38" s="27"/>
      <c r="C38" s="60"/>
      <c r="D38" s="60"/>
      <c r="E38" s="60"/>
      <c r="F38" s="60"/>
      <c r="G38" s="78"/>
      <c r="H38" s="79"/>
      <c r="I38" s="78"/>
      <c r="J38" s="79"/>
      <c r="K38" s="78"/>
      <c r="L38" s="79"/>
      <c r="M38" s="78"/>
      <c r="N38" s="79"/>
      <c r="O38" s="78"/>
      <c r="P38" s="79"/>
      <c r="Q38" s="78"/>
      <c r="R38" s="79"/>
      <c r="S38" s="78"/>
      <c r="T38" s="79"/>
      <c r="U38" s="78"/>
      <c r="V38" s="79"/>
      <c r="W38" s="78"/>
      <c r="X38" s="79"/>
      <c r="Y38" s="78"/>
      <c r="Z38" s="79"/>
    </row>
    <row r="39" spans="1:26" x14ac:dyDescent="0.25">
      <c r="A39" s="27"/>
      <c r="B39" s="27"/>
      <c r="C39" s="60"/>
      <c r="D39" s="60"/>
      <c r="E39" s="60"/>
      <c r="F39" s="60"/>
      <c r="G39" s="78"/>
      <c r="H39" s="79"/>
      <c r="I39" s="78"/>
      <c r="J39" s="79"/>
      <c r="K39" s="78"/>
      <c r="L39" s="79"/>
      <c r="M39" s="78"/>
      <c r="N39" s="79"/>
      <c r="O39" s="78"/>
      <c r="P39" s="79"/>
      <c r="Q39" s="78"/>
      <c r="R39" s="79"/>
      <c r="S39" s="78"/>
      <c r="T39" s="79"/>
      <c r="U39" s="78"/>
      <c r="V39" s="79"/>
      <c r="W39" s="78"/>
      <c r="X39" s="79"/>
      <c r="Y39" s="78"/>
      <c r="Z39" s="79"/>
    </row>
    <row r="40" spans="1:26" x14ac:dyDescent="0.25">
      <c r="A40" s="27"/>
      <c r="B40" s="27"/>
      <c r="C40" s="60"/>
      <c r="D40" s="60"/>
      <c r="E40" s="60"/>
      <c r="F40" s="60"/>
      <c r="G40" s="78"/>
      <c r="H40" s="79"/>
      <c r="I40" s="78"/>
      <c r="J40" s="79"/>
      <c r="K40" s="78"/>
      <c r="L40" s="79"/>
      <c r="M40" s="78"/>
      <c r="N40" s="79"/>
      <c r="O40" s="78"/>
      <c r="P40" s="79"/>
      <c r="Q40" s="78"/>
      <c r="R40" s="79"/>
      <c r="S40" s="78"/>
      <c r="T40" s="79"/>
      <c r="U40" s="78"/>
      <c r="V40" s="79"/>
      <c r="W40" s="78"/>
      <c r="X40" s="79"/>
      <c r="Y40" s="78"/>
      <c r="Z40" s="79"/>
    </row>
    <row r="41" spans="1:26" ht="12" customHeight="1" x14ac:dyDescent="0.25">
      <c r="A41" s="76"/>
      <c r="B41" s="77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</row>
    <row r="42" spans="1:26" ht="12" customHeight="1" x14ac:dyDescent="0.25">
      <c r="A42" s="62" t="s">
        <v>19</v>
      </c>
      <c r="B42" s="63"/>
      <c r="C42" s="63"/>
      <c r="D42" s="63"/>
      <c r="E42" s="63"/>
      <c r="F42" s="63"/>
      <c r="G42" s="63"/>
      <c r="H42" s="63"/>
      <c r="I42" s="63"/>
      <c r="J42" s="30"/>
      <c r="K42" s="64" t="s">
        <v>20</v>
      </c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6"/>
    </row>
    <row r="43" spans="1:26" ht="12" customHeight="1" x14ac:dyDescent="0.25">
      <c r="A43" s="8" t="s">
        <v>21</v>
      </c>
      <c r="B43" s="9"/>
      <c r="C43" s="9"/>
      <c r="D43" s="9"/>
      <c r="E43" s="9" t="s">
        <v>22</v>
      </c>
      <c r="F43" s="9"/>
      <c r="G43" s="9"/>
      <c r="H43" s="9" t="s">
        <v>23</v>
      </c>
      <c r="I43" s="9"/>
      <c r="J43" s="31"/>
      <c r="K43" s="32" t="s">
        <v>24</v>
      </c>
      <c r="L43" s="9"/>
      <c r="M43" s="9"/>
      <c r="N43" s="9" t="s">
        <v>25</v>
      </c>
      <c r="O43" s="9"/>
      <c r="P43" s="9" t="s">
        <v>26</v>
      </c>
      <c r="Q43" s="9"/>
      <c r="S43" s="9" t="s">
        <v>27</v>
      </c>
      <c r="T43" s="9"/>
      <c r="U43" s="9"/>
      <c r="V43" s="9"/>
      <c r="W43" s="9" t="s">
        <v>28</v>
      </c>
      <c r="X43" s="9"/>
      <c r="Y43" s="9"/>
      <c r="Z43" s="31"/>
    </row>
    <row r="44" spans="1:26" ht="12" customHeight="1" x14ac:dyDescent="0.25">
      <c r="A44" s="8" t="s">
        <v>29</v>
      </c>
      <c r="B44" s="9"/>
      <c r="C44" s="9"/>
      <c r="D44" s="9"/>
      <c r="E44" s="9" t="s">
        <v>30</v>
      </c>
      <c r="F44" s="9"/>
      <c r="G44" s="9"/>
      <c r="H44" s="9" t="s">
        <v>31</v>
      </c>
      <c r="I44" s="9"/>
      <c r="J44" s="31"/>
      <c r="K44" s="8" t="s">
        <v>32</v>
      </c>
      <c r="L44" s="9"/>
      <c r="M44" s="9"/>
      <c r="N44" s="9" t="s">
        <v>33</v>
      </c>
      <c r="O44" s="9"/>
      <c r="P44" s="9" t="s">
        <v>34</v>
      </c>
      <c r="Q44" s="9"/>
      <c r="S44" s="9" t="s">
        <v>35</v>
      </c>
      <c r="T44" s="9"/>
      <c r="U44" s="9"/>
      <c r="V44" s="9"/>
      <c r="W44" s="9"/>
      <c r="X44" s="9"/>
      <c r="Y44" s="9"/>
      <c r="Z44" s="31"/>
    </row>
    <row r="45" spans="1:26" ht="12" customHeight="1" x14ac:dyDescent="0.25">
      <c r="A45" s="8" t="s">
        <v>36</v>
      </c>
      <c r="B45" s="9"/>
      <c r="C45" s="9"/>
      <c r="D45" s="9"/>
      <c r="E45" s="9" t="s">
        <v>37</v>
      </c>
      <c r="F45" s="9"/>
      <c r="G45" s="9"/>
      <c r="H45" s="9" t="s">
        <v>38</v>
      </c>
      <c r="I45" s="9"/>
      <c r="J45" s="31"/>
      <c r="K45" s="8" t="s">
        <v>39</v>
      </c>
      <c r="L45" s="9"/>
      <c r="M45" s="9"/>
      <c r="N45" s="9" t="s">
        <v>40</v>
      </c>
      <c r="O45" s="9"/>
      <c r="P45" s="9" t="s">
        <v>41</v>
      </c>
      <c r="Q45" s="9"/>
      <c r="S45" s="9" t="s">
        <v>42</v>
      </c>
      <c r="T45" s="9"/>
      <c r="U45" s="9"/>
      <c r="V45" s="9"/>
      <c r="W45" s="9"/>
      <c r="X45" s="9"/>
      <c r="Y45" s="9"/>
      <c r="Z45" s="31"/>
    </row>
    <row r="46" spans="1:26" ht="12" customHeight="1" x14ac:dyDescent="0.25">
      <c r="A46" s="33" t="s">
        <v>43</v>
      </c>
      <c r="B46" s="34"/>
      <c r="C46" s="34"/>
      <c r="D46" s="34"/>
      <c r="E46" s="34" t="s">
        <v>44</v>
      </c>
      <c r="F46" s="34"/>
      <c r="G46" s="34"/>
      <c r="H46" s="34" t="s">
        <v>45</v>
      </c>
      <c r="I46" s="34"/>
      <c r="J46" s="35"/>
      <c r="K46" s="33" t="s">
        <v>46</v>
      </c>
      <c r="L46" s="36"/>
      <c r="M46" s="36"/>
      <c r="N46" s="34" t="s">
        <v>47</v>
      </c>
      <c r="O46" s="34"/>
      <c r="P46" s="34" t="s">
        <v>48</v>
      </c>
      <c r="Q46" s="36"/>
      <c r="R46" s="36"/>
      <c r="S46" s="34" t="s">
        <v>49</v>
      </c>
      <c r="T46" s="36"/>
      <c r="U46" s="36"/>
      <c r="V46" s="36"/>
      <c r="W46" s="36"/>
      <c r="X46" s="36"/>
      <c r="Y46" s="36"/>
      <c r="Z46" s="37"/>
    </row>
    <row r="47" spans="1:26" ht="12" customHeight="1" x14ac:dyDescent="0.3">
      <c r="A47" s="38" t="s">
        <v>50</v>
      </c>
      <c r="B47" s="9"/>
      <c r="C47" s="67"/>
      <c r="D47" s="67"/>
      <c r="E47" s="67"/>
      <c r="F47" s="67"/>
      <c r="G47" s="67"/>
      <c r="H47" s="67"/>
      <c r="I47" s="67"/>
      <c r="J47" s="67"/>
      <c r="K47" s="67"/>
      <c r="L47" s="67"/>
      <c r="M47" s="67"/>
      <c r="N47" s="67"/>
      <c r="O47" s="67"/>
      <c r="P47" s="67"/>
      <c r="Q47" s="67"/>
      <c r="R47" s="67"/>
      <c r="S47" s="67"/>
      <c r="T47" s="67"/>
      <c r="U47" s="67"/>
      <c r="V47" s="67"/>
      <c r="W47" s="67"/>
      <c r="X47" s="67"/>
      <c r="Y47" s="67"/>
      <c r="Z47" s="68"/>
    </row>
    <row r="48" spans="1:26" ht="12" customHeight="1" x14ac:dyDescent="0.25">
      <c r="A48" s="69"/>
      <c r="B48" s="70"/>
      <c r="C48" s="70"/>
      <c r="D48" s="70"/>
      <c r="E48" s="70"/>
      <c r="F48" s="70"/>
      <c r="G48" s="70"/>
      <c r="H48" s="70"/>
      <c r="I48" s="70"/>
      <c r="J48" s="70"/>
      <c r="K48" s="70"/>
      <c r="L48" s="70"/>
      <c r="M48" s="70"/>
      <c r="N48" s="70"/>
      <c r="O48" s="70"/>
      <c r="P48" s="70"/>
      <c r="Q48" s="70"/>
      <c r="R48" s="70"/>
      <c r="S48" s="70"/>
      <c r="T48" s="70"/>
      <c r="U48" s="70"/>
      <c r="V48" s="70"/>
      <c r="W48" s="70"/>
      <c r="X48" s="70"/>
      <c r="Y48" s="70"/>
      <c r="Z48" s="71"/>
    </row>
    <row r="49" spans="1:26" ht="12" customHeight="1" x14ac:dyDescent="0.25">
      <c r="A49" s="39" t="s">
        <v>51</v>
      </c>
      <c r="B49" s="40"/>
      <c r="C49" s="72" t="s">
        <v>52</v>
      </c>
      <c r="D49" s="72"/>
      <c r="E49" s="73" t="s">
        <v>88</v>
      </c>
      <c r="F49" s="73"/>
      <c r="G49" s="34"/>
      <c r="H49" s="41" t="s">
        <v>53</v>
      </c>
      <c r="I49" s="34"/>
      <c r="J49" s="34"/>
      <c r="K49" s="34"/>
      <c r="L49" s="74" t="s">
        <v>54</v>
      </c>
      <c r="M49" s="74"/>
      <c r="N49" s="36"/>
      <c r="O49" s="36"/>
      <c r="P49" s="42" t="s">
        <v>55</v>
      </c>
      <c r="Q49" s="42"/>
      <c r="R49" s="42"/>
      <c r="S49" s="36"/>
      <c r="T49" s="36"/>
      <c r="U49" s="36"/>
      <c r="V49" s="36"/>
      <c r="W49" s="75" t="s">
        <v>56</v>
      </c>
      <c r="X49" s="75"/>
      <c r="Y49" s="36"/>
      <c r="Z49" s="37"/>
    </row>
    <row r="50" spans="1:26" ht="12" customHeight="1" x14ac:dyDescent="0.25">
      <c r="C50" s="9"/>
      <c r="D50" s="9"/>
      <c r="E50" s="9"/>
      <c r="F50" s="9"/>
      <c r="G50" s="9"/>
      <c r="H50" s="9"/>
      <c r="I50" s="9"/>
      <c r="J50" s="9"/>
      <c r="K50" s="9"/>
    </row>
    <row r="51" spans="1:26" ht="12" customHeight="1" x14ac:dyDescent="0.25">
      <c r="C51" s="9"/>
      <c r="D51" s="9"/>
      <c r="E51" s="9"/>
      <c r="F51" s="9"/>
      <c r="G51" s="9"/>
      <c r="H51" s="9"/>
      <c r="I51" s="9"/>
      <c r="J51" s="9"/>
      <c r="K51" s="9"/>
    </row>
    <row r="52" spans="1:26" ht="12" customHeight="1" x14ac:dyDescent="0.25">
      <c r="C52" s="9"/>
      <c r="D52" s="9"/>
      <c r="E52" s="9"/>
      <c r="F52" s="9"/>
      <c r="G52" s="9"/>
      <c r="H52" s="9"/>
      <c r="I52" s="9"/>
      <c r="J52" s="9"/>
      <c r="K52" s="9"/>
    </row>
    <row r="53" spans="1:26" ht="11.25" hidden="1" customHeight="1" x14ac:dyDescent="0.25">
      <c r="C53" s="43"/>
      <c r="D53" s="44"/>
      <c r="E53" s="43"/>
      <c r="F53" s="9"/>
      <c r="G53" s="9"/>
      <c r="H53" s="9"/>
      <c r="I53" s="9"/>
      <c r="J53" s="9"/>
      <c r="K53" s="9"/>
    </row>
    <row r="54" spans="1:26" ht="11.25" customHeight="1" x14ac:dyDescent="0.25"/>
    <row r="55" spans="1:26" ht="11.25" customHeight="1" x14ac:dyDescent="0.25"/>
  </sheetData>
  <sheetProtection selectLockedCells="1" selectUnlockedCells="1"/>
  <mergeCells count="393">
    <mergeCell ref="A1:R1"/>
    <mergeCell ref="C2:E2"/>
    <mergeCell ref="G2:H2"/>
    <mergeCell ref="K2:L2"/>
    <mergeCell ref="N2:P2"/>
    <mergeCell ref="V2:V3"/>
    <mergeCell ref="C3:E3"/>
    <mergeCell ref="G3:H3"/>
    <mergeCell ref="K3:L3"/>
    <mergeCell ref="N3:P3"/>
    <mergeCell ref="W11:X11"/>
    <mergeCell ref="Y11:Z11"/>
    <mergeCell ref="A5:A10"/>
    <mergeCell ref="B5:B10"/>
    <mergeCell ref="C11:D11"/>
    <mergeCell ref="E11:F11"/>
    <mergeCell ref="G11:H11"/>
    <mergeCell ref="I11:J11"/>
    <mergeCell ref="K11:L11"/>
    <mergeCell ref="M11:N11"/>
    <mergeCell ref="O11:P11"/>
    <mergeCell ref="Q11:R11"/>
    <mergeCell ref="S11:T11"/>
    <mergeCell ref="U11:V11"/>
    <mergeCell ref="W12:X12"/>
    <mergeCell ref="Y12:Z12"/>
    <mergeCell ref="C12:D12"/>
    <mergeCell ref="E12:F12"/>
    <mergeCell ref="G12:H12"/>
    <mergeCell ref="I12:J12"/>
    <mergeCell ref="K12:L12"/>
    <mergeCell ref="M12:N12"/>
    <mergeCell ref="O13:P13"/>
    <mergeCell ref="Q13:R13"/>
    <mergeCell ref="S13:T13"/>
    <mergeCell ref="U13:V13"/>
    <mergeCell ref="W13:X13"/>
    <mergeCell ref="Y13:Z13"/>
    <mergeCell ref="C13:D13"/>
    <mergeCell ref="E13:F13"/>
    <mergeCell ref="G13:H13"/>
    <mergeCell ref="I13:J13"/>
    <mergeCell ref="K13:L13"/>
    <mergeCell ref="M13:N13"/>
    <mergeCell ref="O12:P12"/>
    <mergeCell ref="Q12:R12"/>
    <mergeCell ref="S12:T12"/>
    <mergeCell ref="U12:V12"/>
    <mergeCell ref="W14:X14"/>
    <mergeCell ref="Y14:Z14"/>
    <mergeCell ref="C14:D14"/>
    <mergeCell ref="E14:F14"/>
    <mergeCell ref="G14:H14"/>
    <mergeCell ref="I14:J14"/>
    <mergeCell ref="K14:L14"/>
    <mergeCell ref="M14:N14"/>
    <mergeCell ref="O15:P15"/>
    <mergeCell ref="Q15:R15"/>
    <mergeCell ref="S15:T15"/>
    <mergeCell ref="U15:V15"/>
    <mergeCell ref="W15:X15"/>
    <mergeCell ref="Y15:Z15"/>
    <mergeCell ref="C15:D15"/>
    <mergeCell ref="E15:F15"/>
    <mergeCell ref="G15:H15"/>
    <mergeCell ref="I15:J15"/>
    <mergeCell ref="K15:L15"/>
    <mergeCell ref="M15:N15"/>
    <mergeCell ref="O14:P14"/>
    <mergeCell ref="Q14:R14"/>
    <mergeCell ref="S14:T14"/>
    <mergeCell ref="U14:V14"/>
    <mergeCell ref="O16:P16"/>
    <mergeCell ref="Q16:R16"/>
    <mergeCell ref="S16:T16"/>
    <mergeCell ref="U16:V16"/>
    <mergeCell ref="W16:X16"/>
    <mergeCell ref="Y16:Z16"/>
    <mergeCell ref="C16:D16"/>
    <mergeCell ref="E16:F16"/>
    <mergeCell ref="G16:H16"/>
    <mergeCell ref="I16:J16"/>
    <mergeCell ref="K16:L16"/>
    <mergeCell ref="M16:N16"/>
    <mergeCell ref="O17:P17"/>
    <mergeCell ref="Q17:R17"/>
    <mergeCell ref="S17:T17"/>
    <mergeCell ref="U17:V17"/>
    <mergeCell ref="W17:X17"/>
    <mergeCell ref="Y17:Z17"/>
    <mergeCell ref="G17:H17"/>
    <mergeCell ref="I17:J17"/>
    <mergeCell ref="K17:L17"/>
    <mergeCell ref="M17:N17"/>
    <mergeCell ref="O18:P18"/>
    <mergeCell ref="Q18:R18"/>
    <mergeCell ref="S18:T18"/>
    <mergeCell ref="U18:V18"/>
    <mergeCell ref="W18:X18"/>
    <mergeCell ref="Y18:Z18"/>
    <mergeCell ref="G18:H18"/>
    <mergeCell ref="I18:J18"/>
    <mergeCell ref="K18:L18"/>
    <mergeCell ref="M18:N18"/>
    <mergeCell ref="O19:P19"/>
    <mergeCell ref="Q19:R19"/>
    <mergeCell ref="S19:T19"/>
    <mergeCell ref="U19:V19"/>
    <mergeCell ref="W19:X19"/>
    <mergeCell ref="Y19:Z19"/>
    <mergeCell ref="G19:H19"/>
    <mergeCell ref="I19:J19"/>
    <mergeCell ref="K19:L19"/>
    <mergeCell ref="M19:N19"/>
    <mergeCell ref="O20:P20"/>
    <mergeCell ref="Q20:R20"/>
    <mergeCell ref="S20:T20"/>
    <mergeCell ref="U20:V20"/>
    <mergeCell ref="W20:X20"/>
    <mergeCell ref="Y20:Z20"/>
    <mergeCell ref="G20:H20"/>
    <mergeCell ref="I20:J20"/>
    <mergeCell ref="K20:L20"/>
    <mergeCell ref="M20:N20"/>
    <mergeCell ref="O21:P21"/>
    <mergeCell ref="Q21:R21"/>
    <mergeCell ref="S21:T21"/>
    <mergeCell ref="U21:V21"/>
    <mergeCell ref="W21:X21"/>
    <mergeCell ref="Y21:Z21"/>
    <mergeCell ref="G21:H21"/>
    <mergeCell ref="I21:J21"/>
    <mergeCell ref="K21:L21"/>
    <mergeCell ref="M21:N21"/>
    <mergeCell ref="O22:P22"/>
    <mergeCell ref="Q22:R22"/>
    <mergeCell ref="S22:T22"/>
    <mergeCell ref="U22:V22"/>
    <mergeCell ref="W22:X22"/>
    <mergeCell ref="Y22:Z22"/>
    <mergeCell ref="G22:H22"/>
    <mergeCell ref="I22:J22"/>
    <mergeCell ref="K22:L22"/>
    <mergeCell ref="M22:N22"/>
    <mergeCell ref="O23:P23"/>
    <mergeCell ref="Q23:R23"/>
    <mergeCell ref="S23:T23"/>
    <mergeCell ref="U23:V23"/>
    <mergeCell ref="W23:X23"/>
    <mergeCell ref="Y23:Z23"/>
    <mergeCell ref="C23:D23"/>
    <mergeCell ref="E23:F23"/>
    <mergeCell ref="G23:H23"/>
    <mergeCell ref="I23:J23"/>
    <mergeCell ref="K23:L23"/>
    <mergeCell ref="M23:N23"/>
    <mergeCell ref="O24:P24"/>
    <mergeCell ref="Q24:R24"/>
    <mergeCell ref="S24:T24"/>
    <mergeCell ref="U24:V24"/>
    <mergeCell ref="W24:X24"/>
    <mergeCell ref="Y24:Z24"/>
    <mergeCell ref="C24:D24"/>
    <mergeCell ref="E24:F24"/>
    <mergeCell ref="G24:H24"/>
    <mergeCell ref="I24:J24"/>
    <mergeCell ref="K24:L24"/>
    <mergeCell ref="M24:N24"/>
    <mergeCell ref="O25:P25"/>
    <mergeCell ref="Q25:R25"/>
    <mergeCell ref="S25:T25"/>
    <mergeCell ref="U25:V25"/>
    <mergeCell ref="W25:X25"/>
    <mergeCell ref="Y25:Z25"/>
    <mergeCell ref="C25:D25"/>
    <mergeCell ref="E25:F25"/>
    <mergeCell ref="G25:H25"/>
    <mergeCell ref="I25:J25"/>
    <mergeCell ref="K25:L25"/>
    <mergeCell ref="M25:N25"/>
    <mergeCell ref="O26:P26"/>
    <mergeCell ref="Q26:R26"/>
    <mergeCell ref="S26:T26"/>
    <mergeCell ref="U26:V26"/>
    <mergeCell ref="W26:X26"/>
    <mergeCell ref="Y26:Z26"/>
    <mergeCell ref="C26:D26"/>
    <mergeCell ref="E26:F26"/>
    <mergeCell ref="G26:H26"/>
    <mergeCell ref="I26:J26"/>
    <mergeCell ref="K26:L26"/>
    <mergeCell ref="M26:N26"/>
    <mergeCell ref="O27:P27"/>
    <mergeCell ref="Q27:R27"/>
    <mergeCell ref="S27:T27"/>
    <mergeCell ref="U27:V27"/>
    <mergeCell ref="W27:X27"/>
    <mergeCell ref="Y27:Z27"/>
    <mergeCell ref="C27:D27"/>
    <mergeCell ref="E27:F27"/>
    <mergeCell ref="G27:H27"/>
    <mergeCell ref="I27:J27"/>
    <mergeCell ref="K27:L27"/>
    <mergeCell ref="M27:N27"/>
    <mergeCell ref="O28:P28"/>
    <mergeCell ref="Q28:R28"/>
    <mergeCell ref="S28:T28"/>
    <mergeCell ref="U28:V28"/>
    <mergeCell ref="W28:X28"/>
    <mergeCell ref="Y28:Z28"/>
    <mergeCell ref="C28:D28"/>
    <mergeCell ref="E28:F28"/>
    <mergeCell ref="G28:H28"/>
    <mergeCell ref="I28:J28"/>
    <mergeCell ref="K28:L28"/>
    <mergeCell ref="M28:N28"/>
    <mergeCell ref="O29:P29"/>
    <mergeCell ref="Q29:R29"/>
    <mergeCell ref="S29:T29"/>
    <mergeCell ref="U29:V29"/>
    <mergeCell ref="W29:X29"/>
    <mergeCell ref="Y29:Z29"/>
    <mergeCell ref="C29:D29"/>
    <mergeCell ref="E29:F29"/>
    <mergeCell ref="G29:H29"/>
    <mergeCell ref="I29:J29"/>
    <mergeCell ref="K29:L29"/>
    <mergeCell ref="M29:N29"/>
    <mergeCell ref="O30:P30"/>
    <mergeCell ref="Q30:R30"/>
    <mergeCell ref="S30:T30"/>
    <mergeCell ref="U30:V30"/>
    <mergeCell ref="W30:X30"/>
    <mergeCell ref="Y30:Z30"/>
    <mergeCell ref="C30:D30"/>
    <mergeCell ref="E30:F30"/>
    <mergeCell ref="G30:H30"/>
    <mergeCell ref="I30:J30"/>
    <mergeCell ref="K30:L30"/>
    <mergeCell ref="M30:N30"/>
    <mergeCell ref="O31:P31"/>
    <mergeCell ref="Q31:R31"/>
    <mergeCell ref="S31:T31"/>
    <mergeCell ref="U31:V31"/>
    <mergeCell ref="W31:X31"/>
    <mergeCell ref="Y31:Z31"/>
    <mergeCell ref="C31:D31"/>
    <mergeCell ref="E31:F31"/>
    <mergeCell ref="G31:H31"/>
    <mergeCell ref="I31:J31"/>
    <mergeCell ref="K31:L31"/>
    <mergeCell ref="M31:N31"/>
    <mergeCell ref="O32:P32"/>
    <mergeCell ref="Q32:R32"/>
    <mergeCell ref="S32:T32"/>
    <mergeCell ref="U32:V32"/>
    <mergeCell ref="W32:X32"/>
    <mergeCell ref="Y32:Z32"/>
    <mergeCell ref="C32:D32"/>
    <mergeCell ref="E32:F32"/>
    <mergeCell ref="G32:H32"/>
    <mergeCell ref="I32:J32"/>
    <mergeCell ref="K32:L32"/>
    <mergeCell ref="M32:N32"/>
    <mergeCell ref="O33:P33"/>
    <mergeCell ref="Q33:R33"/>
    <mergeCell ref="S33:T33"/>
    <mergeCell ref="U33:V33"/>
    <mergeCell ref="W33:X33"/>
    <mergeCell ref="Y33:Z33"/>
    <mergeCell ref="C33:D33"/>
    <mergeCell ref="E33:F33"/>
    <mergeCell ref="G33:H33"/>
    <mergeCell ref="I33:J33"/>
    <mergeCell ref="K33:L33"/>
    <mergeCell ref="M33:N33"/>
    <mergeCell ref="O34:P34"/>
    <mergeCell ref="Q34:R34"/>
    <mergeCell ref="S34:T34"/>
    <mergeCell ref="U34:V34"/>
    <mergeCell ref="W34:X34"/>
    <mergeCell ref="Y34:Z34"/>
    <mergeCell ref="C34:D34"/>
    <mergeCell ref="E34:F34"/>
    <mergeCell ref="G34:H34"/>
    <mergeCell ref="I34:J34"/>
    <mergeCell ref="K34:L34"/>
    <mergeCell ref="M34:N34"/>
    <mergeCell ref="O35:P35"/>
    <mergeCell ref="Q35:R35"/>
    <mergeCell ref="S35:T35"/>
    <mergeCell ref="U35:V35"/>
    <mergeCell ref="W35:X35"/>
    <mergeCell ref="Y35:Z35"/>
    <mergeCell ref="C35:D35"/>
    <mergeCell ref="E35:F35"/>
    <mergeCell ref="G35:H35"/>
    <mergeCell ref="I35:J35"/>
    <mergeCell ref="K35:L35"/>
    <mergeCell ref="M35:N35"/>
    <mergeCell ref="O36:P36"/>
    <mergeCell ref="Q36:R36"/>
    <mergeCell ref="S36:T36"/>
    <mergeCell ref="U36:V36"/>
    <mergeCell ref="W36:X36"/>
    <mergeCell ref="Y36:Z36"/>
    <mergeCell ref="C36:D36"/>
    <mergeCell ref="E36:F36"/>
    <mergeCell ref="G36:H36"/>
    <mergeCell ref="I36:J36"/>
    <mergeCell ref="K36:L36"/>
    <mergeCell ref="M36:N36"/>
    <mergeCell ref="O37:P37"/>
    <mergeCell ref="Q37:R37"/>
    <mergeCell ref="S37:T37"/>
    <mergeCell ref="U37:V37"/>
    <mergeCell ref="W37:X37"/>
    <mergeCell ref="Y37:Z37"/>
    <mergeCell ref="C37:D37"/>
    <mergeCell ref="E37:F37"/>
    <mergeCell ref="G37:H37"/>
    <mergeCell ref="I37:J37"/>
    <mergeCell ref="K37:L37"/>
    <mergeCell ref="M37:N37"/>
    <mergeCell ref="O38:P38"/>
    <mergeCell ref="Q38:R38"/>
    <mergeCell ref="S38:T38"/>
    <mergeCell ref="U38:V38"/>
    <mergeCell ref="W38:X38"/>
    <mergeCell ref="Y38:Z38"/>
    <mergeCell ref="C38:D38"/>
    <mergeCell ref="E38:F38"/>
    <mergeCell ref="G38:H38"/>
    <mergeCell ref="I38:J38"/>
    <mergeCell ref="K38:L38"/>
    <mergeCell ref="M38:N38"/>
    <mergeCell ref="O39:P39"/>
    <mergeCell ref="Q39:R39"/>
    <mergeCell ref="S39:T39"/>
    <mergeCell ref="U39:V39"/>
    <mergeCell ref="W39:X39"/>
    <mergeCell ref="Y39:Z39"/>
    <mergeCell ref="C39:D39"/>
    <mergeCell ref="E39:F39"/>
    <mergeCell ref="G39:H39"/>
    <mergeCell ref="I39:J39"/>
    <mergeCell ref="K39:L39"/>
    <mergeCell ref="M39:N39"/>
    <mergeCell ref="O40:P40"/>
    <mergeCell ref="Q40:R40"/>
    <mergeCell ref="S40:T40"/>
    <mergeCell ref="U40:V40"/>
    <mergeCell ref="W40:X40"/>
    <mergeCell ref="Y40:Z40"/>
    <mergeCell ref="C40:D40"/>
    <mergeCell ref="E40:F40"/>
    <mergeCell ref="G40:H40"/>
    <mergeCell ref="I40:J40"/>
    <mergeCell ref="K40:L40"/>
    <mergeCell ref="M40:N40"/>
    <mergeCell ref="Y41:Z41"/>
    <mergeCell ref="A42:I42"/>
    <mergeCell ref="K42:Z42"/>
    <mergeCell ref="C47:Z47"/>
    <mergeCell ref="A48:Z48"/>
    <mergeCell ref="C49:D49"/>
    <mergeCell ref="E49:F49"/>
    <mergeCell ref="L49:M49"/>
    <mergeCell ref="W49:X49"/>
    <mergeCell ref="M41:N41"/>
    <mergeCell ref="O41:P41"/>
    <mergeCell ref="Q41:R41"/>
    <mergeCell ref="S41:T41"/>
    <mergeCell ref="U41:V41"/>
    <mergeCell ref="W41:X41"/>
    <mergeCell ref="A41:B41"/>
    <mergeCell ref="C41:D41"/>
    <mergeCell ref="E41:F41"/>
    <mergeCell ref="G41:H41"/>
    <mergeCell ref="I41:J41"/>
    <mergeCell ref="K41:L41"/>
    <mergeCell ref="C22:D22"/>
    <mergeCell ref="E22:F22"/>
    <mergeCell ref="C17:D17"/>
    <mergeCell ref="E17:F17"/>
    <mergeCell ref="C18:D18"/>
    <mergeCell ref="E18:F18"/>
    <mergeCell ref="C19:D19"/>
    <mergeCell ref="E19:F19"/>
    <mergeCell ref="C20:D20"/>
    <mergeCell ref="E20:F20"/>
    <mergeCell ref="C21:D21"/>
    <mergeCell ref="E21:F21"/>
  </mergeCells>
  <phoneticPr fontId="23" type="noConversion"/>
  <conditionalFormatting sqref="C11:Z40">
    <cfRule type="cellIs" dxfId="12" priority="1" operator="equal">
      <formula>""</formula>
    </cfRule>
  </conditionalFormatting>
  <conditionalFormatting sqref="E11:F40">
    <cfRule type="cellIs" dxfId="11" priority="12" operator="between">
      <formula>$F$8</formula>
      <formula>$F$9</formula>
    </cfRule>
  </conditionalFormatting>
  <conditionalFormatting sqref="G11:H40">
    <cfRule type="cellIs" dxfId="10" priority="11" operator="between">
      <formula>$H$8</formula>
      <formula>$H$9</formula>
    </cfRule>
  </conditionalFormatting>
  <conditionalFormatting sqref="I11:J40">
    <cfRule type="cellIs" dxfId="9" priority="10" operator="between">
      <formula>$J$8</formula>
      <formula>$J$9</formula>
    </cfRule>
  </conditionalFormatting>
  <conditionalFormatting sqref="K11:L40">
    <cfRule type="cellIs" dxfId="8" priority="9" operator="between">
      <formula>$L$8</formula>
      <formula>$L$9</formula>
    </cfRule>
  </conditionalFormatting>
  <conditionalFormatting sqref="M11:N40">
    <cfRule type="cellIs" dxfId="7" priority="8" operator="between">
      <formula>$N$8</formula>
      <formula>$N$9</formula>
    </cfRule>
  </conditionalFormatting>
  <conditionalFormatting sqref="O11:P40">
    <cfRule type="cellIs" dxfId="6" priority="7" operator="between">
      <formula>$P$8</formula>
      <formula>$P$9</formula>
    </cfRule>
  </conditionalFormatting>
  <conditionalFormatting sqref="Q11:R40">
    <cfRule type="cellIs" dxfId="5" priority="6" operator="between">
      <formula>$R$8</formula>
      <formula>$R$9</formula>
    </cfRule>
  </conditionalFormatting>
  <conditionalFormatting sqref="S11:T40">
    <cfRule type="cellIs" dxfId="4" priority="5" operator="between">
      <formula>$T$8</formula>
      <formula>$T$9</formula>
    </cfRule>
  </conditionalFormatting>
  <conditionalFormatting sqref="U11:V40">
    <cfRule type="cellIs" dxfId="3" priority="4" operator="between">
      <formula>$V$8</formula>
      <formula>$V$9</formula>
    </cfRule>
  </conditionalFormatting>
  <conditionalFormatting sqref="W11:X40">
    <cfRule type="cellIs" dxfId="2" priority="3" operator="between">
      <formula>$X$8</formula>
      <formula>$X$9</formula>
    </cfRule>
  </conditionalFormatting>
  <conditionalFormatting sqref="Y11:Z40">
    <cfRule type="cellIs" dxfId="1" priority="2" operator="between">
      <formula>$Z$8</formula>
      <formula>$Z$9</formula>
    </cfRule>
  </conditionalFormatting>
  <conditionalFormatting sqref="C11:D40">
    <cfRule type="cellIs" dxfId="0" priority="13" operator="between">
      <formula>$D$9</formula>
      <formula>$D$8</formula>
    </cfRule>
  </conditionalFormatting>
  <dataValidations count="2">
    <dataValidation type="list" errorStyle="warning" allowBlank="1" showInputMessage="1" showErrorMessage="1" sqref="D6 V6 X6 Z6 H6 N6 P6 R6 T6 J6 F6 L6" xr:uid="{71A67418-B6B2-4628-823A-B5D7410CCB1A}">
      <formula1>CARACTERISTICAS</formula1>
    </dataValidation>
    <dataValidation type="list" allowBlank="1" showInputMessage="1" showErrorMessage="1" sqref="D10 V10 X10 Z10 H10 N10 P10 R10 T10 J10 F10 L10" xr:uid="{A3DA949A-00B3-43CF-BFE8-B3A163E4BE6A}">
      <formula1>EQUIPO</formula1>
    </dataValidation>
  </dataValidations>
  <pageMargins left="0.5" right="0.25" top="0.25" bottom="0.25" header="0.05" footer="0"/>
  <pageSetup scale="84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7]!Sheet1.MacroSINPAR">
                <anchor moveWithCells="1" sizeWithCells="1">
                  <from>
                    <xdr:col>2</xdr:col>
                    <xdr:colOff>47625</xdr:colOff>
                    <xdr:row>40</xdr:row>
                    <xdr:rowOff>38100</xdr:rowOff>
                  </from>
                  <to>
                    <xdr:col>3</xdr:col>
                    <xdr:colOff>276225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7]!Sheet1.MacroSINPAR2">
                <anchor moveWithCells="1" sizeWithCells="1">
                  <from>
                    <xdr:col>4</xdr:col>
                    <xdr:colOff>47625</xdr:colOff>
                    <xdr:row>40</xdr:row>
                    <xdr:rowOff>38100</xdr:rowOff>
                  </from>
                  <to>
                    <xdr:col>5</xdr:col>
                    <xdr:colOff>276225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7]!Sheet1.MacroSINPAR3">
                <anchor moveWithCells="1" sizeWithCells="1">
                  <from>
                    <xdr:col>6</xdr:col>
                    <xdr:colOff>47625</xdr:colOff>
                    <xdr:row>40</xdr:row>
                    <xdr:rowOff>38100</xdr:rowOff>
                  </from>
                  <to>
                    <xdr:col>7</xdr:col>
                    <xdr:colOff>276225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7]!Sheet1.MacroSINPAR4">
                <anchor moveWithCells="1" sizeWithCells="1">
                  <from>
                    <xdr:col>8</xdr:col>
                    <xdr:colOff>47625</xdr:colOff>
                    <xdr:row>40</xdr:row>
                    <xdr:rowOff>38100</xdr:rowOff>
                  </from>
                  <to>
                    <xdr:col>9</xdr:col>
                    <xdr:colOff>276225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7]!Sheet1.MacroSINPAR5">
                <anchor moveWithCells="1" sizeWithCells="1">
                  <from>
                    <xdr:col>10</xdr:col>
                    <xdr:colOff>47625</xdr:colOff>
                    <xdr:row>40</xdr:row>
                    <xdr:rowOff>38100</xdr:rowOff>
                  </from>
                  <to>
                    <xdr:col>11</xdr:col>
                    <xdr:colOff>276225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7]!Sheet1.MacroSINPAR6">
                <anchor moveWithCells="1" sizeWithCells="1">
                  <from>
                    <xdr:col>12</xdr:col>
                    <xdr:colOff>47625</xdr:colOff>
                    <xdr:row>40</xdr:row>
                    <xdr:rowOff>38100</xdr:rowOff>
                  </from>
                  <to>
                    <xdr:col>13</xdr:col>
                    <xdr:colOff>276225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7]!Sheet1.MacroSINPAR7">
                <anchor moveWithCells="1" sizeWithCells="1">
                  <from>
                    <xdr:col>14</xdr:col>
                    <xdr:colOff>47625</xdr:colOff>
                    <xdr:row>40</xdr:row>
                    <xdr:rowOff>38100</xdr:rowOff>
                  </from>
                  <to>
                    <xdr:col>15</xdr:col>
                    <xdr:colOff>276225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7]!Sheet1.MacroSINPAR8">
                <anchor moveWithCells="1" sizeWithCells="1">
                  <from>
                    <xdr:col>16</xdr:col>
                    <xdr:colOff>47625</xdr:colOff>
                    <xdr:row>40</xdr:row>
                    <xdr:rowOff>38100</xdr:rowOff>
                  </from>
                  <to>
                    <xdr:col>17</xdr:col>
                    <xdr:colOff>276225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7]!Sheet1.MacroSINPAR9">
                <anchor moveWithCells="1" sizeWithCells="1">
                  <from>
                    <xdr:col>18</xdr:col>
                    <xdr:colOff>47625</xdr:colOff>
                    <xdr:row>40</xdr:row>
                    <xdr:rowOff>38100</xdr:rowOff>
                  </from>
                  <to>
                    <xdr:col>19</xdr:col>
                    <xdr:colOff>276225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7]!Sheet1.MacroSINPAR10">
                <anchor moveWithCells="1" sizeWithCells="1">
                  <from>
                    <xdr:col>20</xdr:col>
                    <xdr:colOff>47625</xdr:colOff>
                    <xdr:row>40</xdr:row>
                    <xdr:rowOff>38100</xdr:rowOff>
                  </from>
                  <to>
                    <xdr:col>21</xdr:col>
                    <xdr:colOff>276225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7]!Sheet1.MacroSINPAR11">
                <anchor moveWithCells="1" sizeWithCells="1">
                  <from>
                    <xdr:col>22</xdr:col>
                    <xdr:colOff>47625</xdr:colOff>
                    <xdr:row>40</xdr:row>
                    <xdr:rowOff>38100</xdr:rowOff>
                  </from>
                  <to>
                    <xdr:col>23</xdr:col>
                    <xdr:colOff>276225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7]!Sheet1.MacroSINPAR12">
                <anchor moveWithCells="1" sizeWithCells="1">
                  <from>
                    <xdr:col>24</xdr:col>
                    <xdr:colOff>47625</xdr:colOff>
                    <xdr:row>40</xdr:row>
                    <xdr:rowOff>38100</xdr:rowOff>
                  </from>
                  <to>
                    <xdr:col>25</xdr:col>
                    <xdr:colOff>276225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>
                <anchor moveWithCells="1" sizeWithCells="1">
                  <from>
                    <xdr:col>0</xdr:col>
                    <xdr:colOff>38100</xdr:colOff>
                    <xdr:row>40</xdr:row>
                    <xdr:rowOff>19050</xdr:rowOff>
                  </from>
                  <to>
                    <xdr:col>1</xdr:col>
                    <xdr:colOff>323850</xdr:colOff>
                    <xdr:row>40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A9F22-694C-407A-8F17-3F315EAD4D26}">
  <dimension ref="B3:C18"/>
  <sheetViews>
    <sheetView workbookViewId="0"/>
  </sheetViews>
  <sheetFormatPr defaultRowHeight="14.25" x14ac:dyDescent="0.2"/>
  <sheetData>
    <row r="3" spans="2:3" x14ac:dyDescent="0.2">
      <c r="B3" s="45" t="s">
        <v>58</v>
      </c>
      <c r="C3" s="46" t="s">
        <v>59</v>
      </c>
    </row>
    <row r="4" spans="2:3" ht="27" x14ac:dyDescent="0.2">
      <c r="B4" s="47" t="s">
        <v>60</v>
      </c>
      <c r="C4" s="48"/>
    </row>
    <row r="5" spans="2:3" ht="27" x14ac:dyDescent="0.2">
      <c r="B5" s="49" t="s">
        <v>61</v>
      </c>
      <c r="C5" s="50" t="s">
        <v>62</v>
      </c>
    </row>
    <row r="6" spans="2:3" ht="27" x14ac:dyDescent="0.2">
      <c r="B6" s="49" t="s">
        <v>63</v>
      </c>
      <c r="C6" s="50"/>
    </row>
    <row r="7" spans="2:3" ht="27" x14ac:dyDescent="0.2">
      <c r="B7" s="49" t="s">
        <v>64</v>
      </c>
      <c r="C7" s="50" t="s">
        <v>64</v>
      </c>
    </row>
    <row r="8" spans="2:3" ht="27" x14ac:dyDescent="0.2">
      <c r="B8" s="49" t="s">
        <v>65</v>
      </c>
      <c r="C8" s="50" t="s">
        <v>65</v>
      </c>
    </row>
    <row r="9" spans="2:3" ht="27" x14ac:dyDescent="0.2">
      <c r="B9" s="49" t="s">
        <v>66</v>
      </c>
      <c r="C9" s="50" t="s">
        <v>67</v>
      </c>
    </row>
    <row r="10" spans="2:3" ht="27" x14ac:dyDescent="0.2">
      <c r="B10" s="49" t="s">
        <v>57</v>
      </c>
      <c r="C10" s="50" t="s">
        <v>68</v>
      </c>
    </row>
    <row r="11" spans="2:3" ht="27" x14ac:dyDescent="0.2">
      <c r="B11" s="49" t="s">
        <v>69</v>
      </c>
      <c r="C11" s="50" t="s">
        <v>70</v>
      </c>
    </row>
    <row r="12" spans="2:3" ht="27" x14ac:dyDescent="0.2">
      <c r="B12" s="49" t="s">
        <v>71</v>
      </c>
      <c r="C12" s="50" t="s">
        <v>72</v>
      </c>
    </row>
    <row r="13" spans="2:3" ht="27" x14ac:dyDescent="0.2">
      <c r="B13" s="49" t="s">
        <v>73</v>
      </c>
      <c r="C13" s="50" t="s">
        <v>74</v>
      </c>
    </row>
    <row r="14" spans="2:3" ht="26.25" customHeight="1" x14ac:dyDescent="0.2">
      <c r="B14" s="51"/>
      <c r="C14" s="52"/>
    </row>
    <row r="15" spans="2:3" ht="27" x14ac:dyDescent="0.2">
      <c r="B15" s="53" t="s">
        <v>75</v>
      </c>
      <c r="C15" s="52"/>
    </row>
    <row r="16" spans="2:3" ht="27" x14ac:dyDescent="0.2">
      <c r="B16" s="54" t="s">
        <v>76</v>
      </c>
      <c r="C16" s="52"/>
    </row>
    <row r="17" spans="2:3" ht="27" x14ac:dyDescent="0.2">
      <c r="B17" s="49" t="s">
        <v>77</v>
      </c>
      <c r="C17" s="52"/>
    </row>
    <row r="18" spans="2:3" x14ac:dyDescent="0.2">
      <c r="B18" s="55" t="s">
        <v>78</v>
      </c>
      <c r="C18" s="56">
        <v>248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REPORTE</vt:lpstr>
      <vt:lpstr>SYMBOL</vt:lpstr>
      <vt:lpstr>REPORTE!Print_Area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Abel Cerda</dc:creator>
  <cp:lastModifiedBy>Esther Ruiz N. Ruiz</cp:lastModifiedBy>
  <cp:lastPrinted>2023-02-02T18:44:57Z</cp:lastPrinted>
  <dcterms:created xsi:type="dcterms:W3CDTF">2022-12-21T22:23:54Z</dcterms:created>
  <dcterms:modified xsi:type="dcterms:W3CDTF">2023-02-13T15:55:30Z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294a1c8-9899-41e7-8f6e-8b1b3c79592a_Enabled">
    <vt:lpwstr>true</vt:lpwstr>
  </property>
  <property fmtid="{D5CDD505-2E9C-101B-9397-08002B2CF9AE}" pid="3" name="MSIP_Label_7294a1c8-9899-41e7-8f6e-8b1b3c79592a_SetDate">
    <vt:lpwstr>2022-12-21T22:25:26Z</vt:lpwstr>
  </property>
  <property fmtid="{D5CDD505-2E9C-101B-9397-08002B2CF9AE}" pid="4" name="MSIP_Label_7294a1c8-9899-41e7-8f6e-8b1b3c79592a_Method">
    <vt:lpwstr>Privileged</vt:lpwstr>
  </property>
  <property fmtid="{D5CDD505-2E9C-101B-9397-08002B2CF9AE}" pid="5" name="MSIP_Label_7294a1c8-9899-41e7-8f6e-8b1b3c79592a_Name">
    <vt:lpwstr>Internal sub2 (no marking)</vt:lpwstr>
  </property>
  <property fmtid="{D5CDD505-2E9C-101B-9397-08002B2CF9AE}" pid="6" name="MSIP_Label_7294a1c8-9899-41e7-8f6e-8b1b3c79592a_SiteId">
    <vt:lpwstr>eb70b763-b6d7-4486-8555-8831709a784e</vt:lpwstr>
  </property>
  <property fmtid="{D5CDD505-2E9C-101B-9397-08002B2CF9AE}" pid="7" name="MSIP_Label_7294a1c8-9899-41e7-8f6e-8b1b3c79592a_ActionId">
    <vt:lpwstr>26f888c7-1c92-47ec-a8b0-74e12f8e190a</vt:lpwstr>
  </property>
  <property fmtid="{D5CDD505-2E9C-101B-9397-08002B2CF9AE}" pid="8" name="MSIP_Label_7294a1c8-9899-41e7-8f6e-8b1b3c79592a_ContentBits">
    <vt:lpwstr>0</vt:lpwstr>
  </property>
</Properties>
</file>