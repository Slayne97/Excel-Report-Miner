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updateLinks="never"/>
  <mc:AlternateContent xmlns:mc="http://schemas.openxmlformats.org/markup-compatibility/2006">
    <mc:Choice Requires="x15">
      <x15ac:absPath xmlns:x15ac="http://schemas.microsoft.com/office/spreadsheetml/2010/11/ac" url="\\ad.trw.com\reynosa2\Departments\QM\Receiving Inspection\05_Receiving Inspection\18-Reportes de RI\Files-anteriores\Matriz Especiales 2023\Reportes Excel\"/>
    </mc:Choice>
  </mc:AlternateContent>
  <xr:revisionPtr revIDLastSave="0" documentId="13_ncr:1_{8C83232F-51EC-45E1-9974-117C3B243AD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8" r:id="rId1"/>
  </sheets>
  <externalReferences>
    <externalReference r:id="rId2"/>
    <externalReference r:id="rId3"/>
  </externalReferences>
  <definedNames>
    <definedName name="CARACTERISTICAS">[1]ESPEC_INF!$K$5:$K$25</definedName>
    <definedName name="EQUIPO">[1]ESPEC_INF!$L$5:$L$25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8" l="1"/>
  <c r="R27" i="8"/>
  <c r="P27" i="8"/>
  <c r="N27" i="8"/>
  <c r="L27" i="8"/>
  <c r="J27" i="8"/>
  <c r="H27" i="8"/>
  <c r="F27" i="8"/>
  <c r="D27" i="8"/>
  <c r="R26" i="8"/>
  <c r="P26" i="8"/>
  <c r="N26" i="8"/>
  <c r="L26" i="8"/>
  <c r="J26" i="8"/>
  <c r="H26" i="8"/>
  <c r="F26" i="8"/>
  <c r="D26" i="8"/>
  <c r="Z9" i="8"/>
  <c r="X9" i="8"/>
  <c r="V9" i="8"/>
  <c r="T9" i="8"/>
  <c r="R9" i="8"/>
  <c r="P9" i="8"/>
  <c r="N9" i="8"/>
  <c r="L9" i="8"/>
  <c r="J9" i="8"/>
  <c r="H9" i="8"/>
  <c r="F9" i="8"/>
  <c r="D9" i="8"/>
  <c r="Z8" i="8"/>
  <c r="X8" i="8"/>
  <c r="V8" i="8"/>
  <c r="T8" i="8"/>
  <c r="R8" i="8"/>
  <c r="P8" i="8"/>
  <c r="N8" i="8"/>
  <c r="L8" i="8"/>
  <c r="J8" i="8"/>
  <c r="H8" i="8"/>
  <c r="F8" i="8"/>
  <c r="D8" i="8"/>
  <c r="N3" i="8"/>
  <c r="N2" i="8"/>
  <c r="K2" i="8"/>
  <c r="C3" i="8"/>
  <c r="C2" i="8"/>
  <c r="G2" i="8"/>
  <c r="A11" i="8" a="1"/>
  <c r="A31" i="8" s="1"/>
  <c r="A32" i="8" l="1"/>
  <c r="A11" i="8"/>
  <c r="A29" i="8" s="1"/>
  <c r="A30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<sst xmlns="http://schemas.openxmlformats.org/spreadsheetml/2006/main" count="237" uniqueCount="86">
  <si>
    <t>D</t>
  </si>
  <si>
    <t>Control Item.</t>
  </si>
  <si>
    <t>Revision:</t>
  </si>
  <si>
    <t>Lote #:</t>
  </si>
  <si>
    <t>Log #:</t>
  </si>
  <si>
    <t>Proveedor:</t>
  </si>
  <si>
    <t>Cantidad:</t>
  </si>
  <si>
    <t>Pasa:</t>
  </si>
  <si>
    <t xml:space="preserve">                                            RECEIVING INSPECTION REPORT.</t>
  </si>
  <si>
    <t>Muestra.</t>
  </si>
  <si>
    <t>MC = Micrometro.</t>
  </si>
  <si>
    <t>VR = Vernier.</t>
  </si>
  <si>
    <t>PG = Pin Gage.</t>
  </si>
  <si>
    <t>ROM = Rom Optical.</t>
  </si>
  <si>
    <t>SG = Shadowgraph.</t>
  </si>
  <si>
    <t>CMM</t>
  </si>
  <si>
    <t>HT = Durometro</t>
  </si>
  <si>
    <t>BG = Block Gage</t>
  </si>
  <si>
    <t>ALT = Altimeter</t>
  </si>
  <si>
    <t>T M= Cinta Metrica</t>
  </si>
  <si>
    <t>Equipo.</t>
  </si>
  <si>
    <t>THK = Thickness</t>
  </si>
  <si>
    <t>PAR = Paralelismo.</t>
  </si>
  <si>
    <t>D = Diametro</t>
  </si>
  <si>
    <t>T = True Position.</t>
  </si>
  <si>
    <t>B = Basica</t>
  </si>
  <si>
    <t>AL= Altura</t>
  </si>
  <si>
    <t>A = Angulo</t>
  </si>
  <si>
    <t>PL = Planicidad</t>
  </si>
  <si>
    <t>F = Fuerza</t>
  </si>
  <si>
    <t>PR = Perfil</t>
  </si>
  <si>
    <t>R = Radio</t>
  </si>
  <si>
    <t>HT = Dureza</t>
  </si>
  <si>
    <t>L = Longitud</t>
  </si>
  <si>
    <t>CIL = Cilindro</t>
  </si>
  <si>
    <t>PERP = Perpendicularidad</t>
  </si>
  <si>
    <t>DIS = Distancia</t>
  </si>
  <si>
    <t>PAR = Paralelismo</t>
  </si>
  <si>
    <t>Comentarios:</t>
  </si>
  <si>
    <t>No Pasa:</t>
  </si>
  <si>
    <r>
      <rPr>
        <b/>
        <sz val="7"/>
        <color indexed="8"/>
        <rFont val="Century Gothic"/>
        <family val="2"/>
      </rPr>
      <t>Nota:</t>
    </r>
    <r>
      <rPr>
        <sz val="7"/>
        <color indexed="8"/>
        <rFont val="Century Gothic"/>
        <family val="2"/>
      </rPr>
      <t xml:space="preserve"> Circular en Rojo </t>
    </r>
  </si>
  <si>
    <t>QA's NTP.</t>
  </si>
  <si>
    <t>Caracteristicas.</t>
  </si>
  <si>
    <t>Pag 1 of 1.</t>
  </si>
  <si>
    <t>Tecnico:</t>
  </si>
  <si>
    <t>Num. de Parte:</t>
  </si>
  <si>
    <t xml:space="preserve">Cav # </t>
  </si>
  <si>
    <t>ST= Spring Tester</t>
  </si>
  <si>
    <t>MF= Microscopio</t>
  </si>
  <si>
    <t xml:space="preserve">L. Inf.     </t>
  </si>
  <si>
    <t xml:space="preserve">QA #     </t>
  </si>
  <si>
    <t xml:space="preserve">Caract:  </t>
  </si>
  <si>
    <t xml:space="preserve">Nom:    </t>
  </si>
  <si>
    <t xml:space="preserve">L. Sup.    </t>
  </si>
  <si>
    <t xml:space="preserve">Equipo: </t>
  </si>
  <si>
    <t xml:space="preserve">Fecha/ Hora </t>
  </si>
  <si>
    <t>F-QUA-28-05   Agosto 10,2018</t>
  </si>
  <si>
    <t>QA#</t>
  </si>
  <si>
    <t xml:space="preserve">Caract: </t>
  </si>
  <si>
    <t>DIS</t>
  </si>
  <si>
    <t>Nom:</t>
  </si>
  <si>
    <t>L. Sup.:</t>
  </si>
  <si>
    <t xml:space="preserve">L. Inf.: </t>
  </si>
  <si>
    <t>VR</t>
  </si>
  <si>
    <t>Z</t>
  </si>
  <si>
    <t>A</t>
  </si>
  <si>
    <t>ROM</t>
  </si>
  <si>
    <t>N/A</t>
  </si>
  <si>
    <t>10x1</t>
  </si>
  <si>
    <t>10x2</t>
  </si>
  <si>
    <t>10x3</t>
  </si>
  <si>
    <t>10x4</t>
  </si>
  <si>
    <t>10x5</t>
  </si>
  <si>
    <t>11x1</t>
  </si>
  <si>
    <t>11x2</t>
  </si>
  <si>
    <t>11x3</t>
  </si>
  <si>
    <t>11x4</t>
  </si>
  <si>
    <t>AL</t>
  </si>
  <si>
    <t>ALT</t>
  </si>
  <si>
    <t>Equipo:</t>
  </si>
  <si>
    <t>X</t>
  </si>
  <si>
    <t>9x1</t>
  </si>
  <si>
    <t>9x2</t>
  </si>
  <si>
    <t>9x3</t>
  </si>
  <si>
    <t>9x4</t>
  </si>
  <si>
    <t>9x5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</si>
</sst>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19" x14ac:knownFonts="1">
    <font>
      <sz val="11"/>
      <color theme="1"/>
      <name val="Calibri"/>
      <family val="2"/>
      <scheme val="minor"/>
    </font>
    <font>
      <sz val="7"/>
      <color indexed="8"/>
      <name val="Century Gothic"/>
      <family val="2"/>
    </font>
    <font>
      <b/>
      <sz val="7"/>
      <color indexed="8"/>
      <name val="Century Gothic"/>
      <family val="2"/>
    </font>
    <font>
      <b/>
      <sz val="7"/>
      <name val="Century Gothic"/>
      <family val="2"/>
    </font>
    <font>
      <sz val="7"/>
      <name val="Century Gothic"/>
      <family val="2"/>
    </font>
    <font>
      <sz val="6"/>
      <name val="Century Gothic"/>
      <family val="2"/>
    </font>
    <font>
      <sz val="11"/>
      <color theme="1"/>
      <name val="Calibri"/>
      <family val="2"/>
      <scheme val="minor"/>
    </font>
    <font>
      <sz val="12"/>
      <color theme="3"/>
      <name val="Britannic Bold"/>
      <family val="2"/>
    </font>
    <font>
      <sz val="7"/>
      <color theme="1"/>
      <name val="Century Gothic"/>
      <family val="2"/>
    </font>
    <font>
      <b/>
      <sz val="7"/>
      <color theme="1"/>
      <name val="Century Gothic"/>
      <family val="2"/>
    </font>
    <font>
      <sz val="7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7.5"/>
      <color theme="1"/>
      <name val="Century Gothic"/>
      <family val="2"/>
    </font>
    <font>
      <b/>
      <sz val="9"/>
      <color theme="1"/>
      <name val="Century Gothic"/>
      <family val="2"/>
    </font>
    <font>
      <sz val="11"/>
      <color theme="1"/>
      <name val="Calibri"/>
      <family val="2"/>
    </font>
    <font>
      <sz val="11"/>
      <color theme="3"/>
      <name val="Britannic Bold"/>
      <family val="2"/>
    </font>
    <font>
      <b/>
      <sz val="29"/>
      <color theme="3"/>
      <name val="Century Gothic"/>
      <family val="2"/>
    </font>
    <font>
      <sz val="32"/>
      <color theme="3"/>
      <name val="Century Gothic"/>
      <family val="2"/>
    </font>
    <font>
      <sz val="9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6" fillId="0" borderId="0"/>
  </cellStyleXfs>
  <cellXfs count="75">
    <xf numFmtId="0" fontId="0" fillId="0" borderId="0" xfId="0"/>
    <xf numFmtId="0" fontId="7" fillId="0" borderId="0" xfId="0" applyFont="1" applyAlignment="1"/>
    <xf numFmtId="0" fontId="8" fillId="0" borderId="0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3" fillId="2" borderId="1" xfId="0" applyFont="1" applyFill="1" applyBorder="1" applyAlignment="1"/>
    <xf numFmtId="0" fontId="8" fillId="0" borderId="2" xfId="0" applyFont="1" applyBorder="1"/>
    <xf numFmtId="0" fontId="0" fillId="0" borderId="0" xfId="0"/>
    <xf numFmtId="0" fontId="0" fillId="0" borderId="3" xfId="0" applyBorder="1"/>
    <xf numFmtId="0" fontId="8" fillId="0" borderId="0" xfId="0" applyFont="1"/>
    <xf numFmtId="0" fontId="8" fillId="0" borderId="3" xfId="0" applyFont="1" applyBorder="1"/>
    <xf numFmtId="0" fontId="8" fillId="0" borderId="0" xfId="0" applyFont="1" applyBorder="1"/>
    <xf numFmtId="0" fontId="8" fillId="0" borderId="0" xfId="0" applyFont="1" applyFill="1"/>
    <xf numFmtId="0" fontId="9" fillId="0" borderId="0" xfId="0" applyFont="1"/>
    <xf numFmtId="0" fontId="7" fillId="0" borderId="0" xfId="0" applyFont="1" applyBorder="1" applyAlignment="1"/>
    <xf numFmtId="0" fontId="8" fillId="0" borderId="1" xfId="0" applyFont="1" applyBorder="1" applyAlignment="1">
      <alignment horizontal="right" vertical="center" wrapText="1"/>
    </xf>
    <xf numFmtId="0" fontId="10" fillId="0" borderId="4" xfId="0" applyFont="1" applyBorder="1"/>
    <xf numFmtId="0" fontId="8" fillId="0" borderId="5" xfId="0" applyFont="1" applyBorder="1"/>
    <xf numFmtId="0" fontId="8" fillId="0" borderId="4" xfId="0" applyFont="1" applyBorder="1"/>
    <xf numFmtId="0" fontId="8" fillId="0" borderId="6" xfId="0" applyFont="1" applyBorder="1"/>
    <xf numFmtId="0" fontId="0" fillId="0" borderId="7" xfId="0" applyBorder="1"/>
    <xf numFmtId="0" fontId="9" fillId="0" borderId="8" xfId="0" applyFont="1" applyBorder="1" applyAlignment="1">
      <alignment vertical="center"/>
    </xf>
    <xf numFmtId="0" fontId="8" fillId="0" borderId="7" xfId="0" applyFont="1" applyBorder="1"/>
    <xf numFmtId="0" fontId="10" fillId="0" borderId="0" xfId="0" applyFont="1"/>
    <xf numFmtId="0" fontId="4" fillId="0" borderId="0" xfId="0" applyFont="1" applyBorder="1" applyAlignment="1"/>
    <xf numFmtId="0" fontId="5" fillId="0" borderId="0" xfId="0" applyFont="1" applyAlignment="1">
      <alignment horizontal="left" vertical="center"/>
    </xf>
    <xf numFmtId="0" fontId="8" fillId="0" borderId="9" xfId="0" applyFont="1" applyBorder="1" applyAlignment="1">
      <alignment horizontal="center" vertical="center" wrapText="1"/>
    </xf>
    <xf numFmtId="0" fontId="9" fillId="0" borderId="3" xfId="0" applyFont="1" applyBorder="1"/>
    <xf numFmtId="0" fontId="11" fillId="0" borderId="3" xfId="0" applyFont="1" applyBorder="1"/>
    <xf numFmtId="0" fontId="10" fillId="0" borderId="3" xfId="0" applyFont="1" applyBorder="1"/>
    <xf numFmtId="0" fontId="13" fillId="0" borderId="3" xfId="0" applyFont="1" applyBorder="1"/>
    <xf numFmtId="0" fontId="14" fillId="0" borderId="3" xfId="0" applyFont="1" applyBorder="1" applyAlignment="1">
      <alignment horizontal="center"/>
    </xf>
    <xf numFmtId="0" fontId="7" fillId="0" borderId="1" xfId="1" applyFont="1" applyBorder="1"/>
    <xf numFmtId="0" fontId="9" fillId="0" borderId="1" xfId="1" applyFont="1" applyBorder="1" applyAlignment="1">
      <alignment horizontal="center"/>
    </xf>
    <xf numFmtId="0" fontId="8" fillId="0" borderId="1" xfId="1" applyFont="1" applyBorder="1" applyAlignment="1">
      <alignment horizontal="center"/>
    </xf>
    <xf numFmtId="0" fontId="6" fillId="0" borderId="1" xfId="1" applyBorder="1"/>
    <xf numFmtId="0" fontId="6" fillId="0" borderId="8" xfId="1" applyBorder="1"/>
    <xf numFmtId="0" fontId="6" fillId="0" borderId="0" xfId="1"/>
    <xf numFmtId="0" fontId="6" fillId="0" borderId="5" xfId="1" applyBorder="1"/>
    <xf numFmtId="0" fontId="17" fillId="0" borderId="3" xfId="1" applyFont="1" applyBorder="1" applyAlignment="1">
      <alignment vertical="center"/>
    </xf>
    <xf numFmtId="0" fontId="8" fillId="0" borderId="10" xfId="1" applyFont="1" applyBorder="1"/>
    <xf numFmtId="0" fontId="12" fillId="0" borderId="11" xfId="1" applyFont="1" applyBorder="1" applyAlignment="1">
      <alignment horizontal="center" vertical="center"/>
    </xf>
    <xf numFmtId="0" fontId="8" fillId="3" borderId="10" xfId="1" applyFont="1" applyFill="1" applyBorder="1" applyAlignment="1">
      <alignment vertical="center" wrapText="1"/>
    </xf>
    <xf numFmtId="0" fontId="12" fillId="3" borderId="7" xfId="1" applyFont="1" applyFill="1" applyBorder="1" applyAlignment="1">
      <alignment horizontal="center" vertical="center" wrapText="1"/>
    </xf>
    <xf numFmtId="0" fontId="8" fillId="3" borderId="10" xfId="1" applyFont="1" applyFill="1" applyBorder="1"/>
    <xf numFmtId="2" fontId="12" fillId="3" borderId="11" xfId="1" quotePrefix="1" applyNumberFormat="1" applyFont="1" applyFill="1" applyBorder="1" applyAlignment="1" applyProtection="1">
      <alignment horizontal="center"/>
      <protection hidden="1"/>
    </xf>
    <xf numFmtId="2" fontId="12" fillId="3" borderId="11" xfId="1" applyNumberFormat="1" applyFont="1" applyFill="1" applyBorder="1" applyAlignment="1" applyProtection="1">
      <alignment horizontal="center"/>
      <protection hidden="1"/>
    </xf>
    <xf numFmtId="2" fontId="12" fillId="3" borderId="11" xfId="1" applyNumberFormat="1" applyFont="1" applyFill="1" applyBorder="1" applyAlignment="1">
      <alignment horizontal="center"/>
    </xf>
    <xf numFmtId="0" fontId="12" fillId="3" borderId="11" xfId="1" applyFont="1" applyFill="1" applyBorder="1" applyAlignment="1">
      <alignment horizontal="center" vertical="center"/>
    </xf>
    <xf numFmtId="0" fontId="15" fillId="0" borderId="0" xfId="0" applyFont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3" xfId="0" quotePrefix="1" applyFont="1" applyBorder="1" applyAlignment="1">
      <alignment horizontal="center"/>
    </xf>
    <xf numFmtId="164" fontId="4" fillId="0" borderId="3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2" xfId="0" quotePrefix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16" fillId="0" borderId="0" xfId="1" applyFont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9" fillId="0" borderId="9" xfId="0" applyFont="1" applyBorder="1" applyAlignment="1">
      <alignment horizontal="center" vertical="center" textRotation="180" wrapText="1"/>
    </xf>
    <xf numFmtId="0" fontId="9" fillId="0" borderId="12" xfId="0" applyFont="1" applyBorder="1" applyAlignment="1">
      <alignment horizontal="center" vertical="center" textRotation="180" wrapText="1"/>
    </xf>
    <xf numFmtId="0" fontId="9" fillId="0" borderId="13" xfId="0" applyFont="1" applyBorder="1" applyAlignment="1">
      <alignment horizontal="center" vertical="center" textRotation="180" wrapText="1"/>
    </xf>
    <xf numFmtId="0" fontId="9" fillId="0" borderId="14" xfId="0" applyFont="1" applyBorder="1" applyAlignment="1">
      <alignment horizontal="center" vertical="center" textRotation="180" wrapText="1"/>
    </xf>
    <xf numFmtId="2" fontId="8" fillId="4" borderId="10" xfId="0" applyNumberFormat="1" applyFont="1" applyFill="1" applyBorder="1" applyAlignment="1">
      <alignment horizontal="center" vertical="center" wrapText="1"/>
    </xf>
    <xf numFmtId="2" fontId="8" fillId="4" borderId="11" xfId="0" applyNumberFormat="1" applyFont="1" applyFill="1" applyBorder="1" applyAlignment="1">
      <alignment horizontal="center" vertical="center" wrapText="1"/>
    </xf>
    <xf numFmtId="2" fontId="8" fillId="4" borderId="9" xfId="0" applyNumberFormat="1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5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13" fillId="0" borderId="2" xfId="0" applyFont="1" applyBorder="1" applyAlignment="1">
      <alignment horizontal="center"/>
    </xf>
    <xf numFmtId="0" fontId="8" fillId="0" borderId="1" xfId="0" applyFont="1" applyBorder="1" applyAlignment="1">
      <alignment horizontal="left"/>
    </xf>
    <xf numFmtId="2" fontId="18" fillId="0" borderId="10" xfId="1" applyNumberFormat="1" applyFont="1" applyBorder="1" applyAlignment="1">
      <alignment horizontal="center"/>
    </xf>
    <xf numFmtId="2" fontId="18" fillId="0" borderId="11" xfId="1" applyNumberFormat="1" applyFont="1" applyBorder="1" applyAlignment="1">
      <alignment horizontal="center"/>
    </xf>
  </cellXfs>
  <cellStyles count="2">
    <cellStyle name="Normal" xfId="0" builtinId="0"/>
    <cellStyle name="Normal 9" xfId="1" xr:uid="{00000000-0005-0000-0000-000001000000}"/>
  </cellStyles>
  <dxfs count="31"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color theme="0"/>
      </font>
    </dxf>
    <dxf>
      <font>
        <color auto="1"/>
      </font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auto="1"/>
      </font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auto="1"/>
      </font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auto="1"/>
      </font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auto="1"/>
      </font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auto="1"/>
      </font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317500</xdr:colOff>
      <xdr:row>48</xdr:row>
      <xdr:rowOff>39689</xdr:rowOff>
    </xdr:from>
    <xdr:to>
      <xdr:col>11</xdr:col>
      <xdr:colOff>7937</xdr:colOff>
      <xdr:row>48</xdr:row>
      <xdr:rowOff>134938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302000" y="7310439"/>
          <a:ext cx="357187" cy="95249"/>
        </a:xfrm>
        <a:prstGeom prst="ellipse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18</xdr:col>
      <xdr:colOff>295274</xdr:colOff>
      <xdr:row>1</xdr:row>
      <xdr:rowOff>28574</xdr:rowOff>
    </xdr:from>
    <xdr:to>
      <xdr:col>20</xdr:col>
      <xdr:colOff>19047</xdr:colOff>
      <xdr:row>3</xdr:row>
      <xdr:rowOff>0</xdr:rowOff>
    </xdr:to>
    <xdr:sp macro="" textlink="">
      <xdr:nvSpPr>
        <xdr:cNvPr id="7" name="Isosceles Triangle 6">
          <a:extLst>
            <a:ext uri="{FF2B5EF4-FFF2-40B4-BE49-F238E27FC236}">
              <a16:creationId xmlns:a16="http://schemas.microsoft.com/office/drawing/2014/main" id="{164438A5-654F-4159-B039-A7CB4BFE5419}"/>
            </a:ext>
          </a:extLst>
        </xdr:cNvPr>
        <xdr:cNvSpPr/>
      </xdr:nvSpPr>
      <xdr:spPr>
        <a:xfrm rot="10800000">
          <a:off x="7496174" y="209549"/>
          <a:ext cx="523873" cy="276226"/>
        </a:xfrm>
        <a:prstGeom prst="triangl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23</xdr:col>
      <xdr:colOff>40835</xdr:colOff>
      <xdr:row>0</xdr:row>
      <xdr:rowOff>40680</xdr:rowOff>
    </xdr:from>
    <xdr:to>
      <xdr:col>24</xdr:col>
      <xdr:colOff>309109</xdr:colOff>
      <xdr:row>3</xdr:row>
      <xdr:rowOff>99900</xdr:rowOff>
    </xdr:to>
    <xdr:pic>
      <xdr:nvPicPr>
        <xdr:cNvPr id="8" name="Picture 5">
          <a:extLst>
            <a:ext uri="{FF2B5EF4-FFF2-40B4-BE49-F238E27FC236}">
              <a16:creationId xmlns:a16="http://schemas.microsoft.com/office/drawing/2014/main" id="{4E5D5C25-E4FD-47B8-8C49-0C30084050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4604" y="40680"/>
          <a:ext cx="627294" cy="5134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0</xdr:colOff>
      <xdr:row>28</xdr:row>
      <xdr:rowOff>0</xdr:rowOff>
    </xdr:from>
    <xdr:to>
      <xdr:col>6</xdr:col>
      <xdr:colOff>1</xdr:colOff>
      <xdr:row>29</xdr:row>
      <xdr:rowOff>7327</xdr:rowOff>
    </xdr:to>
    <xdr:sp macro="" textlink="">
      <xdr:nvSpPr>
        <xdr:cNvPr id="42" name="Oval 41">
          <a:extLst>
            <a:ext uri="{FF2B5EF4-FFF2-40B4-BE49-F238E27FC236}">
              <a16:creationId xmlns:a16="http://schemas.microsoft.com/office/drawing/2014/main" id="{9D0E6481-E06B-4D69-8D89-D86C603AAF4F}"/>
            </a:ext>
          </a:extLst>
        </xdr:cNvPr>
        <xdr:cNvSpPr/>
      </xdr:nvSpPr>
      <xdr:spPr>
        <a:xfrm>
          <a:off x="1377462" y="4249615"/>
          <a:ext cx="732693" cy="161193"/>
        </a:xfrm>
        <a:prstGeom prst="ellipse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6</xdr:col>
      <xdr:colOff>1</xdr:colOff>
      <xdr:row>32</xdr:row>
      <xdr:rowOff>7328</xdr:rowOff>
    </xdr:to>
    <xdr:sp macro="" textlink="">
      <xdr:nvSpPr>
        <xdr:cNvPr id="43" name="Oval 42">
          <a:extLst>
            <a:ext uri="{FF2B5EF4-FFF2-40B4-BE49-F238E27FC236}">
              <a16:creationId xmlns:a16="http://schemas.microsoft.com/office/drawing/2014/main" id="{6AC571EA-EC97-4F17-B95A-3EA7AA00DDBD}"/>
            </a:ext>
          </a:extLst>
        </xdr:cNvPr>
        <xdr:cNvSpPr/>
      </xdr:nvSpPr>
      <xdr:spPr>
        <a:xfrm>
          <a:off x="1377462" y="4711212"/>
          <a:ext cx="732693" cy="161193"/>
        </a:xfrm>
        <a:prstGeom prst="ellipse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353786</xdr:colOff>
      <xdr:row>30</xdr:row>
      <xdr:rowOff>7328</xdr:rowOff>
    </xdr:to>
    <xdr:sp macro="" textlink="">
      <xdr:nvSpPr>
        <xdr:cNvPr id="44" name="Oval 43">
          <a:extLst>
            <a:ext uri="{FF2B5EF4-FFF2-40B4-BE49-F238E27FC236}">
              <a16:creationId xmlns:a16="http://schemas.microsoft.com/office/drawing/2014/main" id="{D4AB8AED-9DC6-4343-A7C1-F90810D6F1F3}"/>
            </a:ext>
          </a:extLst>
        </xdr:cNvPr>
        <xdr:cNvSpPr/>
      </xdr:nvSpPr>
      <xdr:spPr>
        <a:xfrm>
          <a:off x="1377462" y="4403481"/>
          <a:ext cx="727459" cy="161193"/>
        </a:xfrm>
        <a:prstGeom prst="ellipse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4</xdr:col>
      <xdr:colOff>0</xdr:colOff>
      <xdr:row>30</xdr:row>
      <xdr:rowOff>1</xdr:rowOff>
    </xdr:from>
    <xdr:to>
      <xdr:col>5</xdr:col>
      <xdr:colOff>353786</xdr:colOff>
      <xdr:row>31</xdr:row>
      <xdr:rowOff>7328</xdr:rowOff>
    </xdr:to>
    <xdr:sp macro="" textlink="">
      <xdr:nvSpPr>
        <xdr:cNvPr id="45" name="Oval 44">
          <a:extLst>
            <a:ext uri="{FF2B5EF4-FFF2-40B4-BE49-F238E27FC236}">
              <a16:creationId xmlns:a16="http://schemas.microsoft.com/office/drawing/2014/main" id="{6A32CFE6-E9FF-4FE9-A857-A8F539B1BEB3}"/>
            </a:ext>
          </a:extLst>
        </xdr:cNvPr>
        <xdr:cNvSpPr/>
      </xdr:nvSpPr>
      <xdr:spPr>
        <a:xfrm>
          <a:off x="1377462" y="4557347"/>
          <a:ext cx="727459" cy="161193"/>
        </a:xfrm>
        <a:prstGeom prst="ellipse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6</xdr:col>
      <xdr:colOff>1</xdr:colOff>
      <xdr:row>14</xdr:row>
      <xdr:rowOff>7328</xdr:rowOff>
    </xdr:to>
    <xdr:sp macro="" textlink="">
      <xdr:nvSpPr>
        <xdr:cNvPr id="47" name="Oval 46">
          <a:extLst>
            <a:ext uri="{FF2B5EF4-FFF2-40B4-BE49-F238E27FC236}">
              <a16:creationId xmlns:a16="http://schemas.microsoft.com/office/drawing/2014/main" id="{35EDBDA8-5685-4DC3-9D01-74CB4FF15397}"/>
            </a:ext>
          </a:extLst>
        </xdr:cNvPr>
        <xdr:cNvSpPr/>
      </xdr:nvSpPr>
      <xdr:spPr>
        <a:xfrm>
          <a:off x="1377462" y="1941635"/>
          <a:ext cx="732693" cy="161193"/>
        </a:xfrm>
        <a:prstGeom prst="ellipse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353786</xdr:colOff>
      <xdr:row>12</xdr:row>
      <xdr:rowOff>7328</xdr:rowOff>
    </xdr:to>
    <xdr:sp macro="" textlink="">
      <xdr:nvSpPr>
        <xdr:cNvPr id="48" name="Oval 47">
          <a:extLst>
            <a:ext uri="{FF2B5EF4-FFF2-40B4-BE49-F238E27FC236}">
              <a16:creationId xmlns:a16="http://schemas.microsoft.com/office/drawing/2014/main" id="{C6F07AFD-6C5D-44EC-B02A-286F20059BBE}"/>
            </a:ext>
          </a:extLst>
        </xdr:cNvPr>
        <xdr:cNvSpPr/>
      </xdr:nvSpPr>
      <xdr:spPr>
        <a:xfrm>
          <a:off x="1377462" y="1633904"/>
          <a:ext cx="727459" cy="161193"/>
        </a:xfrm>
        <a:prstGeom prst="ellipse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14</xdr:col>
      <xdr:colOff>0</xdr:colOff>
      <xdr:row>31</xdr:row>
      <xdr:rowOff>0</xdr:rowOff>
    </xdr:from>
    <xdr:to>
      <xdr:col>16</xdr:col>
      <xdr:colOff>1</xdr:colOff>
      <xdr:row>32</xdr:row>
      <xdr:rowOff>7328</xdr:rowOff>
    </xdr:to>
    <xdr:sp macro="" textlink="">
      <xdr:nvSpPr>
        <xdr:cNvPr id="54" name="Oval 53">
          <a:extLst>
            <a:ext uri="{FF2B5EF4-FFF2-40B4-BE49-F238E27FC236}">
              <a16:creationId xmlns:a16="http://schemas.microsoft.com/office/drawing/2014/main" id="{3E527CA0-A606-4978-B3D1-293526248E10}"/>
            </a:ext>
          </a:extLst>
        </xdr:cNvPr>
        <xdr:cNvSpPr/>
      </xdr:nvSpPr>
      <xdr:spPr>
        <a:xfrm>
          <a:off x="5040923" y="4711212"/>
          <a:ext cx="732693" cy="161193"/>
        </a:xfrm>
        <a:prstGeom prst="ellipse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16</xdr:col>
      <xdr:colOff>0</xdr:colOff>
      <xdr:row>13</xdr:row>
      <xdr:rowOff>0</xdr:rowOff>
    </xdr:from>
    <xdr:to>
      <xdr:col>18</xdr:col>
      <xdr:colOff>0</xdr:colOff>
      <xdr:row>14</xdr:row>
      <xdr:rowOff>7328</xdr:rowOff>
    </xdr:to>
    <xdr:sp macro="" textlink="">
      <xdr:nvSpPr>
        <xdr:cNvPr id="55" name="Oval 54">
          <a:extLst>
            <a:ext uri="{FF2B5EF4-FFF2-40B4-BE49-F238E27FC236}">
              <a16:creationId xmlns:a16="http://schemas.microsoft.com/office/drawing/2014/main" id="{5EDD14A8-8929-4036-851E-71A032CFE628}"/>
            </a:ext>
          </a:extLst>
        </xdr:cNvPr>
        <xdr:cNvSpPr/>
      </xdr:nvSpPr>
      <xdr:spPr>
        <a:xfrm>
          <a:off x="5773615" y="1941635"/>
          <a:ext cx="732693" cy="161193"/>
        </a:xfrm>
        <a:prstGeom prst="ellipse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4</xdr:col>
      <xdr:colOff>0</xdr:colOff>
      <xdr:row>9</xdr:row>
      <xdr:rowOff>146538</xdr:rowOff>
    </xdr:from>
    <xdr:to>
      <xdr:col>6</xdr:col>
      <xdr:colOff>1</xdr:colOff>
      <xdr:row>11</xdr:row>
      <xdr:rowOff>7327</xdr:rowOff>
    </xdr:to>
    <xdr:sp macro="" textlink="">
      <xdr:nvSpPr>
        <xdr:cNvPr id="56" name="Oval 55">
          <a:extLst>
            <a:ext uri="{FF2B5EF4-FFF2-40B4-BE49-F238E27FC236}">
              <a16:creationId xmlns:a16="http://schemas.microsoft.com/office/drawing/2014/main" id="{C7464091-BEC9-46BC-8FE5-C587329FD1E0}"/>
            </a:ext>
          </a:extLst>
        </xdr:cNvPr>
        <xdr:cNvSpPr/>
      </xdr:nvSpPr>
      <xdr:spPr>
        <a:xfrm>
          <a:off x="1377462" y="1480038"/>
          <a:ext cx="732693" cy="161193"/>
        </a:xfrm>
        <a:prstGeom prst="ellipse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2</xdr:col>
      <xdr:colOff>0</xdr:colOff>
      <xdr:row>9</xdr:row>
      <xdr:rowOff>146538</xdr:rowOff>
    </xdr:from>
    <xdr:to>
      <xdr:col>4</xdr:col>
      <xdr:colOff>0</xdr:colOff>
      <xdr:row>11</xdr:row>
      <xdr:rowOff>7327</xdr:rowOff>
    </xdr:to>
    <xdr:sp macro="" textlink="">
      <xdr:nvSpPr>
        <xdr:cNvPr id="57" name="Oval 56">
          <a:extLst>
            <a:ext uri="{FF2B5EF4-FFF2-40B4-BE49-F238E27FC236}">
              <a16:creationId xmlns:a16="http://schemas.microsoft.com/office/drawing/2014/main" id="{01EC9D10-3108-43B1-AD1C-C96DFD2E7F14}"/>
            </a:ext>
          </a:extLst>
        </xdr:cNvPr>
        <xdr:cNvSpPr/>
      </xdr:nvSpPr>
      <xdr:spPr>
        <a:xfrm>
          <a:off x="644769" y="1480038"/>
          <a:ext cx="732693" cy="161193"/>
        </a:xfrm>
        <a:prstGeom prst="ellipse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endParaRPr 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trw\reynosa2\Departments\QM\Process%20Quality%20Engineering\MOTL\TestRequest_R.I._InProcess\Registro%20Pruebas%20Metrologia%20Rev.1.3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epartments/QM/Receiving%20Inspection/05_Receiving%20Inspection/18-Reportes%20de%20RI/Files-anteriores/Matriz%20Especiales%202023/Registro%20pruebas%20de%20metrologia%20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Usuarios"/>
      <sheetName val="ESPEC_INF"/>
      <sheetName val="FORMATO"/>
      <sheetName val="REPORT"/>
      <sheetName val="STATUS_SEND_EMAIL"/>
      <sheetName val="REG_PROCESS"/>
      <sheetName val="STATUS_REQUEST"/>
      <sheetName val="REG_REQUEST"/>
      <sheetName val="REG_REQUEST_EDIT"/>
      <sheetName val="Registro Pruebas Metrologia Rev"/>
    </sheetNames>
    <sheetDataSet>
      <sheetData sheetId="0"/>
      <sheetData sheetId="1">
        <row r="7">
          <cell r="C7" t="str">
            <v>Administrador</v>
          </cell>
        </row>
      </sheetData>
      <sheetData sheetId="2">
        <row r="5">
          <cell r="H5" t="str">
            <v>Aglaé Guajardo</v>
          </cell>
          <cell r="K5" t="str">
            <v>THK</v>
          </cell>
          <cell r="L5" t="str">
            <v>MC</v>
          </cell>
        </row>
        <row r="6">
          <cell r="K6" t="str">
            <v>PAR</v>
          </cell>
          <cell r="L6" t="str">
            <v>VR</v>
          </cell>
        </row>
        <row r="7">
          <cell r="K7" t="str">
            <v>D</v>
          </cell>
          <cell r="L7" t="str">
            <v>PG</v>
          </cell>
        </row>
        <row r="8">
          <cell r="K8" t="str">
            <v>B</v>
          </cell>
          <cell r="L8" t="str">
            <v>ROM</v>
          </cell>
        </row>
        <row r="9">
          <cell r="K9" t="str">
            <v>A</v>
          </cell>
          <cell r="L9" t="str">
            <v>SG</v>
          </cell>
        </row>
        <row r="10">
          <cell r="K10" t="str">
            <v>F</v>
          </cell>
          <cell r="L10" t="str">
            <v>TM</v>
          </cell>
        </row>
        <row r="11">
          <cell r="K11" t="str">
            <v>R</v>
          </cell>
          <cell r="L11" t="str">
            <v>HT</v>
          </cell>
        </row>
        <row r="12">
          <cell r="K12" t="str">
            <v>AL</v>
          </cell>
          <cell r="L12" t="str">
            <v>BG</v>
          </cell>
        </row>
        <row r="13">
          <cell r="K13" t="str">
            <v>PR</v>
          </cell>
          <cell r="L13" t="str">
            <v>ALT</v>
          </cell>
        </row>
        <row r="14">
          <cell r="K14" t="str">
            <v>HT</v>
          </cell>
          <cell r="L14" t="str">
            <v xml:space="preserve">T </v>
          </cell>
        </row>
        <row r="15">
          <cell r="K15" t="str">
            <v>PERP</v>
          </cell>
          <cell r="L15" t="str">
            <v>ST</v>
          </cell>
        </row>
        <row r="16">
          <cell r="K16" t="str">
            <v>CIL</v>
          </cell>
          <cell r="L16" t="str">
            <v>MF</v>
          </cell>
        </row>
        <row r="17">
          <cell r="K17" t="str">
            <v>DIS</v>
          </cell>
          <cell r="L17" t="str">
            <v>RO</v>
          </cell>
        </row>
        <row r="18">
          <cell r="K18" t="str">
            <v>CONC</v>
          </cell>
          <cell r="L18" t="str">
            <v>CMM</v>
          </cell>
        </row>
        <row r="19">
          <cell r="K19" t="str">
            <v>L</v>
          </cell>
          <cell r="L19" t="str">
            <v>CALC</v>
          </cell>
        </row>
        <row r="20">
          <cell r="K20">
            <v>0</v>
          </cell>
          <cell r="L20" t="str">
            <v>McBETH</v>
          </cell>
        </row>
        <row r="21">
          <cell r="K21">
            <v>0</v>
          </cell>
          <cell r="L21" t="str">
            <v>COLOR</v>
          </cell>
        </row>
        <row r="22">
          <cell r="K22">
            <v>0</v>
          </cell>
          <cell r="L22">
            <v>0</v>
          </cell>
        </row>
        <row r="23">
          <cell r="K23">
            <v>0</v>
          </cell>
          <cell r="L23">
            <v>0</v>
          </cell>
        </row>
        <row r="24">
          <cell r="K24">
            <v>0</v>
          </cell>
          <cell r="L24">
            <v>0</v>
          </cell>
        </row>
        <row r="25">
          <cell r="K25">
            <v>0</v>
          </cell>
          <cell r="L25">
            <v>0</v>
          </cell>
        </row>
      </sheetData>
      <sheetData sheetId="3"/>
      <sheetData sheetId="4"/>
      <sheetData sheetId="5"/>
      <sheetData sheetId="6">
        <row r="1">
          <cell r="I1">
            <v>0</v>
          </cell>
        </row>
      </sheetData>
      <sheetData sheetId="7"/>
      <sheetData sheetId="8"/>
      <sheetData sheetId="9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TRIZ"/>
      <sheetName val="FORMATO"/>
      <sheetName val="Sheet1"/>
      <sheetName val="Sheet3"/>
      <sheetName val="Registro pruebas de metrologia "/>
    </sheetNames>
    <sheetDataSet>
      <sheetData sheetId="0">
        <row r="3">
          <cell r="A3" t="str">
            <v>LOGO</v>
          </cell>
        </row>
        <row r="8">
          <cell r="A8">
            <v>20230005</v>
          </cell>
          <cell r="B8">
            <v>44929</v>
          </cell>
          <cell r="C8" t="str">
            <v>34359796B</v>
          </cell>
          <cell r="D8">
            <v>20221209</v>
          </cell>
          <cell r="E8" t="str">
            <v xml:space="preserve">Conforme al rip </v>
          </cell>
          <cell r="F8" t="str">
            <v>Nuevos programas</v>
          </cell>
          <cell r="G8">
            <v>44929</v>
          </cell>
          <cell r="H8" t="str">
            <v xml:space="preserve">Adela </v>
          </cell>
          <cell r="I8" t="str">
            <v>PASS</v>
          </cell>
          <cell r="J8" t="str">
            <v>N/A</v>
          </cell>
          <cell r="K8" t="str">
            <v>N/A</v>
          </cell>
          <cell r="L8" t="str">
            <v>2,200 PCS</v>
          </cell>
          <cell r="M8" t="str">
            <v>N/A</v>
          </cell>
        </row>
        <row r="9">
          <cell r="A9">
            <v>20230006</v>
          </cell>
          <cell r="B9">
            <v>44929</v>
          </cell>
          <cell r="C9" t="str">
            <v>34324760D</v>
          </cell>
          <cell r="D9" t="str">
            <v>N/A</v>
          </cell>
          <cell r="E9" t="str">
            <v>CONCENTRICIDAD</v>
          </cell>
          <cell r="F9" t="str">
            <v>EVELYN ESTUDILLO</v>
          </cell>
          <cell r="G9">
            <v>44929</v>
          </cell>
          <cell r="H9" t="str">
            <v>MAURICIO</v>
          </cell>
          <cell r="I9" t="str">
            <v>PASS</v>
          </cell>
          <cell r="J9" t="str">
            <v>SPR8</v>
          </cell>
          <cell r="K9" t="str">
            <v>720-1</v>
          </cell>
          <cell r="L9">
            <v>12</v>
          </cell>
          <cell r="M9" t="str">
            <v>CONCENTRICIDAD</v>
          </cell>
        </row>
        <row r="10">
          <cell r="A10">
            <v>20230007</v>
          </cell>
          <cell r="B10">
            <v>44929</v>
          </cell>
          <cell r="C10" t="str">
            <v>34361270A</v>
          </cell>
          <cell r="D10" t="str">
            <v>N/A</v>
          </cell>
          <cell r="E10" t="str">
            <v>CONCENTRICIDAD</v>
          </cell>
          <cell r="F10" t="str">
            <v>EVELYN ESTUDILLO</v>
          </cell>
          <cell r="G10">
            <v>44929</v>
          </cell>
          <cell r="H10" t="str">
            <v>MAURICIO</v>
          </cell>
          <cell r="I10" t="str">
            <v>PASS</v>
          </cell>
          <cell r="J10" t="str">
            <v>SPR8</v>
          </cell>
          <cell r="K10" t="str">
            <v>720-4</v>
          </cell>
          <cell r="L10">
            <v>12</v>
          </cell>
          <cell r="M10" t="str">
            <v>CONCENTRICIDAD</v>
          </cell>
        </row>
        <row r="11">
          <cell r="A11">
            <v>20230008</v>
          </cell>
          <cell r="B11">
            <v>44929</v>
          </cell>
          <cell r="C11" t="str">
            <v>34324760D</v>
          </cell>
          <cell r="D11" t="str">
            <v>N/A</v>
          </cell>
          <cell r="E11" t="str">
            <v>CONCENTRICIDAD</v>
          </cell>
          <cell r="F11" t="str">
            <v>EVELYN ESTUDILLO</v>
          </cell>
          <cell r="G11">
            <v>44929</v>
          </cell>
          <cell r="H11" t="str">
            <v>MAURICIO</v>
          </cell>
          <cell r="I11" t="str">
            <v>PASS</v>
          </cell>
          <cell r="J11" t="str">
            <v>SPR8</v>
          </cell>
          <cell r="K11" t="str">
            <v>720-5</v>
          </cell>
          <cell r="L11">
            <v>12</v>
          </cell>
          <cell r="M11" t="str">
            <v>CONCENTRICIDAD</v>
          </cell>
        </row>
        <row r="12">
          <cell r="A12">
            <v>20230009</v>
          </cell>
          <cell r="B12">
            <v>44929</v>
          </cell>
          <cell r="C12" t="str">
            <v>34235232G</v>
          </cell>
          <cell r="D12" t="str">
            <v>N/A</v>
          </cell>
          <cell r="E12" t="str">
            <v>CONCENTRICIDAD</v>
          </cell>
          <cell r="F12" t="str">
            <v>EVELYN ESTUDILLO</v>
          </cell>
          <cell r="G12">
            <v>44929</v>
          </cell>
          <cell r="H12" t="str">
            <v>MAURICIO</v>
          </cell>
          <cell r="I12" t="str">
            <v>PASS</v>
          </cell>
          <cell r="J12" t="str">
            <v>SPR8</v>
          </cell>
          <cell r="K12" t="str">
            <v>720-2</v>
          </cell>
          <cell r="L12">
            <v>12</v>
          </cell>
          <cell r="M12" t="str">
            <v>CONCENTRICIDAD</v>
          </cell>
        </row>
        <row r="13">
          <cell r="A13">
            <v>20230010</v>
          </cell>
          <cell r="B13">
            <v>44929</v>
          </cell>
          <cell r="C13" t="str">
            <v>34324760D</v>
          </cell>
          <cell r="D13" t="str">
            <v>N/A</v>
          </cell>
          <cell r="E13" t="str">
            <v>CONCENTRICIDAD</v>
          </cell>
          <cell r="F13" t="str">
            <v>EVELYN ESTUDILLO</v>
          </cell>
          <cell r="G13">
            <v>44929</v>
          </cell>
          <cell r="H13" t="str">
            <v>MAURICIO</v>
          </cell>
          <cell r="I13" t="str">
            <v>PASS</v>
          </cell>
          <cell r="J13" t="str">
            <v>SPR8</v>
          </cell>
          <cell r="K13" t="str">
            <v>720-1</v>
          </cell>
          <cell r="L13">
            <v>12</v>
          </cell>
          <cell r="M13" t="str">
            <v>CONCENTRICIDAD</v>
          </cell>
        </row>
        <row r="14">
          <cell r="A14">
            <v>20230011</v>
          </cell>
          <cell r="B14">
            <v>44929</v>
          </cell>
          <cell r="C14" t="str">
            <v>34361270A</v>
          </cell>
          <cell r="D14" t="str">
            <v>N/A</v>
          </cell>
          <cell r="E14" t="str">
            <v>CONCENTRICIDAD</v>
          </cell>
          <cell r="F14" t="str">
            <v>EVELYN ESTUDILLO</v>
          </cell>
          <cell r="G14">
            <v>44929</v>
          </cell>
          <cell r="H14" t="str">
            <v>MAURICIO</v>
          </cell>
          <cell r="I14" t="str">
            <v>PASS</v>
          </cell>
          <cell r="J14" t="str">
            <v>SPR8</v>
          </cell>
          <cell r="K14" t="str">
            <v>720-4</v>
          </cell>
          <cell r="L14">
            <v>12</v>
          </cell>
          <cell r="M14" t="str">
            <v>CONCENTRICIDAD</v>
          </cell>
        </row>
        <row r="15">
          <cell r="A15">
            <v>20230012</v>
          </cell>
          <cell r="B15">
            <v>44929</v>
          </cell>
          <cell r="C15" t="str">
            <v>34324760D</v>
          </cell>
          <cell r="D15" t="str">
            <v>N/A</v>
          </cell>
          <cell r="E15" t="str">
            <v>CONCENTRICIDAD</v>
          </cell>
          <cell r="F15" t="str">
            <v>EVELYN ESTUDILLO</v>
          </cell>
          <cell r="G15">
            <v>44929</v>
          </cell>
          <cell r="H15" t="str">
            <v>MAURICIO</v>
          </cell>
          <cell r="I15" t="str">
            <v>PASS</v>
          </cell>
          <cell r="J15" t="str">
            <v>SPR8</v>
          </cell>
          <cell r="K15" t="str">
            <v>720-5</v>
          </cell>
          <cell r="L15">
            <v>12</v>
          </cell>
          <cell r="M15" t="str">
            <v>CONCENTRICIDAD</v>
          </cell>
        </row>
        <row r="16">
          <cell r="A16">
            <v>20230013</v>
          </cell>
          <cell r="B16">
            <v>44929</v>
          </cell>
          <cell r="C16" t="str">
            <v>34235232G</v>
          </cell>
          <cell r="D16" t="str">
            <v>N/A</v>
          </cell>
          <cell r="E16" t="str">
            <v>CONCENTRICIDAD</v>
          </cell>
          <cell r="F16" t="str">
            <v>EVELYN ESTUDILLO</v>
          </cell>
          <cell r="G16">
            <v>44929</v>
          </cell>
          <cell r="H16" t="str">
            <v>MAURICIO</v>
          </cell>
          <cell r="I16" t="str">
            <v>PASS</v>
          </cell>
          <cell r="J16" t="str">
            <v>SPR8</v>
          </cell>
          <cell r="K16" t="str">
            <v>720-2</v>
          </cell>
          <cell r="L16">
            <v>12</v>
          </cell>
          <cell r="M16" t="str">
            <v>CONCENTRICIDAD</v>
          </cell>
        </row>
        <row r="17">
          <cell r="A17">
            <v>20230014</v>
          </cell>
          <cell r="B17">
            <v>44929</v>
          </cell>
          <cell r="C17" t="str">
            <v>DGW 3A</v>
          </cell>
          <cell r="D17" t="str">
            <v>N/A</v>
          </cell>
          <cell r="E17" t="str">
            <v>A,B</v>
          </cell>
          <cell r="F17" t="str">
            <v>Jesus sampayo</v>
          </cell>
          <cell r="G17">
            <v>44929</v>
          </cell>
          <cell r="H17" t="str">
            <v>Gilberto</v>
          </cell>
          <cell r="I17" t="str">
            <v>NO PASS</v>
          </cell>
          <cell r="J17" t="str">
            <v>N/A</v>
          </cell>
          <cell r="K17">
            <v>305</v>
          </cell>
          <cell r="L17">
            <v>2</v>
          </cell>
          <cell r="M17" t="str">
            <v>DWG GAUGE SLEEVE</v>
          </cell>
        </row>
        <row r="18">
          <cell r="A18">
            <v>20230015</v>
          </cell>
          <cell r="B18">
            <v>44929</v>
          </cell>
          <cell r="C18" t="str">
            <v>34296437C</v>
          </cell>
          <cell r="D18" t="str">
            <v>N/A</v>
          </cell>
          <cell r="E18" t="str">
            <v>CONCENTRICIDAD</v>
          </cell>
          <cell r="F18" t="str">
            <v>AUGUSTO</v>
          </cell>
          <cell r="G18">
            <v>44929</v>
          </cell>
          <cell r="H18" t="str">
            <v>Eric</v>
          </cell>
          <cell r="I18" t="str">
            <v>PASS</v>
          </cell>
          <cell r="J18" t="str">
            <v>SPR8</v>
          </cell>
          <cell r="K18" t="str">
            <v>720-1</v>
          </cell>
          <cell r="L18">
            <v>12</v>
          </cell>
          <cell r="M18"/>
        </row>
        <row r="19">
          <cell r="A19">
            <v>20230016</v>
          </cell>
          <cell r="B19">
            <v>44929</v>
          </cell>
          <cell r="C19" t="str">
            <v>34235232G</v>
          </cell>
          <cell r="D19" t="str">
            <v>N/A</v>
          </cell>
          <cell r="E19" t="str">
            <v>CONCENTRICIDAD</v>
          </cell>
          <cell r="F19" t="str">
            <v>AUGUSTO</v>
          </cell>
          <cell r="G19">
            <v>44929</v>
          </cell>
          <cell r="H19" t="str">
            <v>Eric</v>
          </cell>
          <cell r="I19" t="str">
            <v>PASS</v>
          </cell>
          <cell r="J19" t="str">
            <v>SPR8</v>
          </cell>
          <cell r="K19" t="str">
            <v>720-2</v>
          </cell>
          <cell r="L19">
            <v>12</v>
          </cell>
          <cell r="M19"/>
        </row>
        <row r="20">
          <cell r="A20">
            <v>20230017</v>
          </cell>
          <cell r="B20">
            <v>44929</v>
          </cell>
          <cell r="C20" t="str">
            <v>34324760D</v>
          </cell>
          <cell r="D20" t="str">
            <v>N/A</v>
          </cell>
          <cell r="E20" t="str">
            <v>CONCENTRICIDAD</v>
          </cell>
          <cell r="F20" t="str">
            <v>AUGUSTO</v>
          </cell>
          <cell r="G20">
            <v>44929</v>
          </cell>
          <cell r="H20" t="str">
            <v>Eric</v>
          </cell>
          <cell r="I20" t="str">
            <v>PASS</v>
          </cell>
          <cell r="J20" t="str">
            <v>SPR8</v>
          </cell>
          <cell r="K20" t="str">
            <v>720-5</v>
          </cell>
          <cell r="L20">
            <v>12</v>
          </cell>
          <cell r="M20"/>
        </row>
        <row r="21">
          <cell r="A21">
            <v>20230018</v>
          </cell>
          <cell r="B21">
            <v>44929</v>
          </cell>
          <cell r="C21" t="str">
            <v>34296437C</v>
          </cell>
          <cell r="D21" t="str">
            <v>N/A</v>
          </cell>
          <cell r="E21" t="str">
            <v>CONCENTRICIDAD</v>
          </cell>
          <cell r="F21" t="str">
            <v>AUGUSTO</v>
          </cell>
          <cell r="G21">
            <v>44929</v>
          </cell>
          <cell r="H21" t="str">
            <v>Eric</v>
          </cell>
          <cell r="I21" t="str">
            <v>PASS</v>
          </cell>
          <cell r="J21" t="str">
            <v>SPR8</v>
          </cell>
          <cell r="K21" t="str">
            <v>720-1</v>
          </cell>
          <cell r="L21">
            <v>12</v>
          </cell>
          <cell r="M21"/>
        </row>
        <row r="22">
          <cell r="A22">
            <v>20230019</v>
          </cell>
          <cell r="B22">
            <v>44929</v>
          </cell>
          <cell r="C22" t="str">
            <v>34235232G</v>
          </cell>
          <cell r="D22" t="str">
            <v>N/A</v>
          </cell>
          <cell r="E22" t="str">
            <v>CONCENTRICIDAD</v>
          </cell>
          <cell r="F22" t="str">
            <v>AUGUSTO</v>
          </cell>
          <cell r="G22">
            <v>44929</v>
          </cell>
          <cell r="H22" t="str">
            <v>Eric</v>
          </cell>
          <cell r="I22" t="str">
            <v>PASS</v>
          </cell>
          <cell r="J22" t="str">
            <v>SPR8</v>
          </cell>
          <cell r="K22" t="str">
            <v>720-2</v>
          </cell>
          <cell r="L22">
            <v>12</v>
          </cell>
          <cell r="M22"/>
        </row>
        <row r="23">
          <cell r="A23">
            <v>20230020</v>
          </cell>
          <cell r="B23">
            <v>44929</v>
          </cell>
          <cell r="C23" t="str">
            <v>34324760D</v>
          </cell>
          <cell r="D23" t="str">
            <v>N/A</v>
          </cell>
          <cell r="E23" t="str">
            <v>CONCENTRICIDAD</v>
          </cell>
          <cell r="F23" t="str">
            <v>AUGUSTO</v>
          </cell>
          <cell r="G23">
            <v>44929</v>
          </cell>
          <cell r="H23" t="str">
            <v>Eric</v>
          </cell>
          <cell r="I23" t="str">
            <v>PASS</v>
          </cell>
          <cell r="J23" t="str">
            <v>SPR8</v>
          </cell>
          <cell r="K23" t="str">
            <v>720-5</v>
          </cell>
          <cell r="L23">
            <v>12</v>
          </cell>
          <cell r="M23"/>
        </row>
        <row r="24">
          <cell r="A24">
            <v>20230021</v>
          </cell>
          <cell r="B24">
            <v>44929</v>
          </cell>
          <cell r="C24" t="str">
            <v>34361270A</v>
          </cell>
          <cell r="D24" t="str">
            <v>N/A</v>
          </cell>
          <cell r="E24" t="str">
            <v>CONCENTRICIDAD</v>
          </cell>
          <cell r="F24" t="str">
            <v>AUGUSTO</v>
          </cell>
          <cell r="G24">
            <v>44929</v>
          </cell>
          <cell r="H24" t="str">
            <v>Ernesto</v>
          </cell>
          <cell r="I24" t="str">
            <v>PASS</v>
          </cell>
          <cell r="J24" t="str">
            <v>SPR8</v>
          </cell>
          <cell r="K24" t="str">
            <v>720-4</v>
          </cell>
          <cell r="L24">
            <v>12</v>
          </cell>
          <cell r="M24" t="str">
            <v>CONCENTRICIDAD</v>
          </cell>
        </row>
        <row r="25">
          <cell r="A25">
            <v>20230022</v>
          </cell>
          <cell r="B25">
            <v>44929</v>
          </cell>
          <cell r="C25" t="str">
            <v>34361270A</v>
          </cell>
          <cell r="D25" t="str">
            <v>N/A</v>
          </cell>
          <cell r="E25" t="str">
            <v>OVALIDAD</v>
          </cell>
          <cell r="F25" t="str">
            <v>AUGUSTO</v>
          </cell>
          <cell r="G25">
            <v>44929</v>
          </cell>
          <cell r="H25" t="str">
            <v>Ernesto</v>
          </cell>
          <cell r="I25" t="str">
            <v>PASS</v>
          </cell>
          <cell r="J25" t="str">
            <v>SPR8</v>
          </cell>
          <cell r="K25" t="str">
            <v>720-4</v>
          </cell>
          <cell r="L25">
            <v>12</v>
          </cell>
          <cell r="M25" t="str">
            <v>OVALIDAD</v>
          </cell>
        </row>
        <row r="26">
          <cell r="A26">
            <v>20230023</v>
          </cell>
          <cell r="B26">
            <v>44929</v>
          </cell>
          <cell r="C26" t="str">
            <v>A020R6133</v>
          </cell>
          <cell r="D26" t="str">
            <v>N/A</v>
          </cell>
          <cell r="E26" t="str">
            <v>CONCENTRICIDAD</v>
          </cell>
          <cell r="F26" t="str">
            <v>AUGUSTO</v>
          </cell>
          <cell r="G26">
            <v>44929</v>
          </cell>
          <cell r="H26" t="str">
            <v>Ernesto</v>
          </cell>
          <cell r="I26" t="str">
            <v>PASS</v>
          </cell>
          <cell r="J26" t="str">
            <v>SPR8</v>
          </cell>
          <cell r="K26" t="str">
            <v>720-6</v>
          </cell>
          <cell r="L26">
            <v>12</v>
          </cell>
          <cell r="M26" t="str">
            <v>CONCENTRICIDAD</v>
          </cell>
        </row>
        <row r="27">
          <cell r="A27">
            <v>20230024</v>
          </cell>
          <cell r="B27">
            <v>44929</v>
          </cell>
          <cell r="C27" t="str">
            <v>A020R613B</v>
          </cell>
          <cell r="D27" t="str">
            <v>N/A</v>
          </cell>
          <cell r="E27" t="str">
            <v>OVALIDAD</v>
          </cell>
          <cell r="F27" t="str">
            <v>AUGUSTO</v>
          </cell>
          <cell r="G27">
            <v>44929</v>
          </cell>
          <cell r="H27" t="str">
            <v>Ernesto</v>
          </cell>
          <cell r="I27" t="str">
            <v>PASS</v>
          </cell>
          <cell r="J27" t="str">
            <v>SPR8</v>
          </cell>
          <cell r="K27" t="str">
            <v>720-6</v>
          </cell>
          <cell r="L27">
            <v>12</v>
          </cell>
          <cell r="M27" t="str">
            <v>OVALIDAD</v>
          </cell>
        </row>
        <row r="28">
          <cell r="A28">
            <v>20230025</v>
          </cell>
          <cell r="B28">
            <v>44930</v>
          </cell>
          <cell r="C28" t="str">
            <v>GAUGE EST#5</v>
          </cell>
          <cell r="D28" t="str">
            <v>N/A</v>
          </cell>
          <cell r="E28" t="str">
            <v>DIS 56.9 ± 0.05</v>
          </cell>
          <cell r="F28" t="str">
            <v>PAUL COUTTOLENC</v>
          </cell>
          <cell r="G28">
            <v>44930</v>
          </cell>
          <cell r="H28" t="str">
            <v>MAURICIO</v>
          </cell>
          <cell r="I28" t="str">
            <v>PASS</v>
          </cell>
          <cell r="J28" t="str">
            <v>N/A</v>
          </cell>
          <cell r="K28" t="str">
            <v>716-2</v>
          </cell>
          <cell r="L28">
            <v>1</v>
          </cell>
          <cell r="M28" t="str">
            <v>PLANO MARCADO</v>
          </cell>
        </row>
        <row r="29">
          <cell r="A29">
            <v>20230026</v>
          </cell>
          <cell r="B29">
            <v>44930</v>
          </cell>
          <cell r="C29" t="str">
            <v>34254657B</v>
          </cell>
          <cell r="D29" t="str">
            <v>N/A</v>
          </cell>
          <cell r="E29">
            <v>15</v>
          </cell>
          <cell r="F29" t="str">
            <v>Laura Castillo</v>
          </cell>
          <cell r="G29">
            <v>44930</v>
          </cell>
          <cell r="H29" t="str">
            <v>Nohemi</v>
          </cell>
          <cell r="I29" t="str">
            <v>PASS</v>
          </cell>
          <cell r="J29"/>
          <cell r="K29" t="str">
            <v>181-1</v>
          </cell>
          <cell r="L29" t="str">
            <v>4 PCS</v>
          </cell>
          <cell r="M29" t="str">
            <v>CH34216571 A16</v>
          </cell>
        </row>
        <row r="30">
          <cell r="A30">
            <v>20230027</v>
          </cell>
          <cell r="B30">
            <v>44930</v>
          </cell>
          <cell r="C30" t="str">
            <v>34358865D</v>
          </cell>
          <cell r="D30" t="str">
            <v>N/A</v>
          </cell>
          <cell r="E30" t="str">
            <v>15,16,17,19</v>
          </cell>
          <cell r="F30" t="str">
            <v>Laura Castillo</v>
          </cell>
          <cell r="G30">
            <v>44930</v>
          </cell>
          <cell r="H30" t="str">
            <v>Nohemi</v>
          </cell>
          <cell r="I30" t="str">
            <v>PASS</v>
          </cell>
          <cell r="J30" t="str">
            <v>P703</v>
          </cell>
          <cell r="K30" t="str">
            <v>714-2</v>
          </cell>
          <cell r="L30">
            <v>4</v>
          </cell>
          <cell r="M30" t="str">
            <v>CH34259298 A06</v>
          </cell>
        </row>
        <row r="31">
          <cell r="A31">
            <v>20230028</v>
          </cell>
          <cell r="B31">
            <v>44930</v>
          </cell>
          <cell r="C31" t="str">
            <v>DWG 3B</v>
          </cell>
          <cell r="D31" t="str">
            <v>N/A</v>
          </cell>
          <cell r="E31" t="str">
            <v>A,B</v>
          </cell>
          <cell r="F31" t="str">
            <v>Jesus sampayo</v>
          </cell>
          <cell r="G31">
            <v>44930</v>
          </cell>
          <cell r="H31" t="str">
            <v>MAURICIO</v>
          </cell>
          <cell r="I31" t="str">
            <v>NO PASS</v>
          </cell>
          <cell r="J31" t="str">
            <v>N/A</v>
          </cell>
          <cell r="K31">
            <v>462</v>
          </cell>
          <cell r="L31">
            <v>1</v>
          </cell>
          <cell r="M31" t="str">
            <v>DWG GAUGE CONECTOR</v>
          </cell>
        </row>
        <row r="32">
          <cell r="A32">
            <v>20230029</v>
          </cell>
          <cell r="B32">
            <v>44930</v>
          </cell>
          <cell r="C32" t="str">
            <v>TURBINA</v>
          </cell>
          <cell r="D32" t="str">
            <v>N/A</v>
          </cell>
          <cell r="E32" t="str">
            <v>DIS 80.9 + 0.57 - 0.62</v>
          </cell>
          <cell r="F32" t="str">
            <v>CRISTIAN ARNOLDO</v>
          </cell>
          <cell r="G32">
            <v>44930</v>
          </cell>
          <cell r="H32" t="str">
            <v>MAURICIO</v>
          </cell>
          <cell r="I32" t="str">
            <v>PASS</v>
          </cell>
          <cell r="J32" t="str">
            <v>N/A</v>
          </cell>
          <cell r="K32" t="str">
            <v>N/A</v>
          </cell>
          <cell r="L32">
            <v>2</v>
          </cell>
          <cell r="M32" t="str">
            <v>PLANO MARCADO</v>
          </cell>
        </row>
        <row r="33">
          <cell r="A33">
            <v>20230030</v>
          </cell>
          <cell r="B33">
            <v>44930</v>
          </cell>
          <cell r="C33" t="str">
            <v>TURBINA</v>
          </cell>
          <cell r="D33" t="str">
            <v>N/A</v>
          </cell>
          <cell r="E33" t="str">
            <v>DIS 88.61 + 0.10 - 0.05</v>
          </cell>
          <cell r="F33" t="str">
            <v>CRISTIAN ARNOLDO</v>
          </cell>
          <cell r="G33">
            <v>44930</v>
          </cell>
          <cell r="H33" t="str">
            <v>MAURICIO</v>
          </cell>
          <cell r="I33" t="str">
            <v>PASS</v>
          </cell>
          <cell r="J33" t="str">
            <v>N/A</v>
          </cell>
          <cell r="K33" t="str">
            <v>N/A</v>
          </cell>
          <cell r="L33">
            <v>1</v>
          </cell>
          <cell r="M33" t="str">
            <v>PLANO MARCADO</v>
          </cell>
        </row>
        <row r="34">
          <cell r="A34">
            <v>20230031</v>
          </cell>
          <cell r="B34">
            <v>44930</v>
          </cell>
          <cell r="C34" t="str">
            <v>34358865D</v>
          </cell>
          <cell r="D34" t="str">
            <v>N/A</v>
          </cell>
          <cell r="E34" t="str">
            <v>CONCENTRICIDAD</v>
          </cell>
          <cell r="F34" t="str">
            <v>Laura Castillo</v>
          </cell>
          <cell r="G34">
            <v>44930</v>
          </cell>
          <cell r="H34" t="str">
            <v>Nohemi</v>
          </cell>
          <cell r="I34" t="str">
            <v>PASS</v>
          </cell>
          <cell r="J34" t="str">
            <v>P703</v>
          </cell>
          <cell r="K34" t="str">
            <v>720-2</v>
          </cell>
          <cell r="L34" t="str">
            <v>6 PCS</v>
          </cell>
          <cell r="M34" t="str">
            <v>CONCENTRICIDAD</v>
          </cell>
        </row>
        <row r="35">
          <cell r="A35">
            <v>20230032</v>
          </cell>
          <cell r="B35">
            <v>44930</v>
          </cell>
          <cell r="C35" t="str">
            <v>34358865D</v>
          </cell>
          <cell r="D35" t="str">
            <v>N/A</v>
          </cell>
          <cell r="E35" t="str">
            <v>OVALIDAD</v>
          </cell>
          <cell r="F35" t="str">
            <v>Laura Castillo</v>
          </cell>
          <cell r="G35">
            <v>44930</v>
          </cell>
          <cell r="H35" t="str">
            <v>Nohemi</v>
          </cell>
          <cell r="I35" t="str">
            <v>PASS</v>
          </cell>
          <cell r="J35" t="str">
            <v>P703</v>
          </cell>
          <cell r="K35" t="str">
            <v>720-2</v>
          </cell>
          <cell r="L35" t="str">
            <v>6 PCS</v>
          </cell>
          <cell r="M35" t="str">
            <v>OVALIDAD</v>
          </cell>
        </row>
        <row r="36">
          <cell r="A36">
            <v>20230033</v>
          </cell>
          <cell r="B36">
            <v>44930</v>
          </cell>
          <cell r="C36" t="str">
            <v>34296441C</v>
          </cell>
          <cell r="D36" t="str">
            <v>N/A</v>
          </cell>
          <cell r="E36" t="str">
            <v>CONCENTRICIDAD</v>
          </cell>
          <cell r="F36" t="str">
            <v>EVELYN ESTUDILLO</v>
          </cell>
          <cell r="G36">
            <v>44930</v>
          </cell>
          <cell r="H36" t="str">
            <v>MAURICIO</v>
          </cell>
          <cell r="I36" t="str">
            <v>PASS</v>
          </cell>
          <cell r="J36" t="str">
            <v>SPR8</v>
          </cell>
          <cell r="K36" t="str">
            <v>720-2</v>
          </cell>
          <cell r="L36">
            <v>12</v>
          </cell>
          <cell r="M36" t="str">
            <v>CONCENTRICIDAD</v>
          </cell>
        </row>
        <row r="37">
          <cell r="A37">
            <v>20230034</v>
          </cell>
          <cell r="B37">
            <v>44930</v>
          </cell>
          <cell r="C37" t="str">
            <v>34355195B</v>
          </cell>
          <cell r="D37" t="str">
            <v>N/A</v>
          </cell>
          <cell r="E37" t="str">
            <v>CONCENTRICIDAD</v>
          </cell>
          <cell r="F37" t="str">
            <v>EVELYN ESTUDILLO</v>
          </cell>
          <cell r="G37">
            <v>44930</v>
          </cell>
          <cell r="H37" t="str">
            <v>MAURICIO</v>
          </cell>
          <cell r="I37" t="str">
            <v>PASS</v>
          </cell>
          <cell r="J37" t="str">
            <v>SPR8</v>
          </cell>
          <cell r="K37" t="str">
            <v>720-3</v>
          </cell>
          <cell r="L37">
            <v>12</v>
          </cell>
          <cell r="M37" t="str">
            <v>CONCENTRICIDAD</v>
          </cell>
        </row>
        <row r="38">
          <cell r="A38">
            <v>20230035</v>
          </cell>
          <cell r="B38">
            <v>44930</v>
          </cell>
          <cell r="C38" t="str">
            <v>A020R613B</v>
          </cell>
          <cell r="D38" t="str">
            <v>N/A</v>
          </cell>
          <cell r="E38" t="str">
            <v>CONCENTRICIDAD</v>
          </cell>
          <cell r="F38" t="str">
            <v>EVELYN ESTUDILLO</v>
          </cell>
          <cell r="G38">
            <v>44930</v>
          </cell>
          <cell r="H38" t="str">
            <v>MAURICIO</v>
          </cell>
          <cell r="I38" t="str">
            <v>PASS</v>
          </cell>
          <cell r="J38" t="str">
            <v>SPR8</v>
          </cell>
          <cell r="K38" t="str">
            <v>720-6</v>
          </cell>
          <cell r="L38">
            <v>12</v>
          </cell>
          <cell r="M38" t="str">
            <v>CONCENTRICIDAD</v>
          </cell>
        </row>
        <row r="39">
          <cell r="A39">
            <v>20230036</v>
          </cell>
          <cell r="B39">
            <v>44930</v>
          </cell>
          <cell r="C39" t="str">
            <v>34324759E</v>
          </cell>
          <cell r="D39" t="str">
            <v>N/A</v>
          </cell>
          <cell r="E39" t="str">
            <v>CONCENTRICIDAD</v>
          </cell>
          <cell r="F39" t="str">
            <v>EVELYN ESTUDILLO</v>
          </cell>
          <cell r="G39">
            <v>44930</v>
          </cell>
          <cell r="H39" t="str">
            <v>MAURICIO</v>
          </cell>
          <cell r="I39" t="str">
            <v>PASS</v>
          </cell>
          <cell r="J39" t="str">
            <v>SPR8</v>
          </cell>
          <cell r="K39" t="str">
            <v>720-1</v>
          </cell>
          <cell r="L39">
            <v>12</v>
          </cell>
          <cell r="M39" t="str">
            <v>CONCENTRICIDAD</v>
          </cell>
        </row>
        <row r="40">
          <cell r="A40">
            <v>20230037</v>
          </cell>
          <cell r="B40">
            <v>44930</v>
          </cell>
          <cell r="C40" t="str">
            <v>34324759E</v>
          </cell>
          <cell r="D40" t="str">
            <v>N/A</v>
          </cell>
          <cell r="E40" t="str">
            <v>CONCENTRICIDAD</v>
          </cell>
          <cell r="F40" t="str">
            <v>EVELYN ESTUDILLO</v>
          </cell>
          <cell r="G40">
            <v>44930</v>
          </cell>
          <cell r="H40" t="str">
            <v>MAURICIO</v>
          </cell>
          <cell r="I40" t="str">
            <v>PASS</v>
          </cell>
          <cell r="J40" t="str">
            <v>SPR8</v>
          </cell>
          <cell r="K40" t="str">
            <v>720-5</v>
          </cell>
          <cell r="L40">
            <v>12</v>
          </cell>
          <cell r="M40" t="str">
            <v>CONCENTRICIDAD</v>
          </cell>
        </row>
        <row r="41">
          <cell r="A41">
            <v>20230038</v>
          </cell>
          <cell r="B41">
            <v>44930</v>
          </cell>
          <cell r="C41" t="str">
            <v>34361271A</v>
          </cell>
          <cell r="D41" t="str">
            <v>N/A</v>
          </cell>
          <cell r="E41" t="str">
            <v>CONCENTRICIDAD</v>
          </cell>
          <cell r="F41" t="str">
            <v>EVELYN ESTUDILLO</v>
          </cell>
          <cell r="G41">
            <v>44930</v>
          </cell>
          <cell r="H41" t="str">
            <v>MAURICIO</v>
          </cell>
          <cell r="I41" t="str">
            <v>PASS</v>
          </cell>
          <cell r="J41" t="str">
            <v>SPR8</v>
          </cell>
          <cell r="K41" t="str">
            <v>720-4</v>
          </cell>
          <cell r="L41">
            <v>12</v>
          </cell>
          <cell r="M41" t="str">
            <v>CONCENTRICIDAD</v>
          </cell>
        </row>
        <row r="42">
          <cell r="A42">
            <v>20230039</v>
          </cell>
          <cell r="B42">
            <v>44930</v>
          </cell>
          <cell r="C42" t="str">
            <v>34296441C</v>
          </cell>
          <cell r="D42" t="str">
            <v>N/A</v>
          </cell>
          <cell r="E42" t="str">
            <v>OVALIDAD</v>
          </cell>
          <cell r="F42" t="str">
            <v>EVELYN ESTUDILLO</v>
          </cell>
          <cell r="G42">
            <v>44930</v>
          </cell>
          <cell r="H42" t="str">
            <v>MAURICIO</v>
          </cell>
          <cell r="I42" t="str">
            <v>PASS</v>
          </cell>
          <cell r="J42" t="str">
            <v>SPR8</v>
          </cell>
          <cell r="K42" t="str">
            <v>720-2</v>
          </cell>
          <cell r="L42">
            <v>12</v>
          </cell>
          <cell r="M42" t="str">
            <v>OVALIDAD</v>
          </cell>
        </row>
        <row r="43">
          <cell r="A43">
            <v>20230040</v>
          </cell>
          <cell r="B43">
            <v>44930</v>
          </cell>
          <cell r="C43" t="str">
            <v>34355195B</v>
          </cell>
          <cell r="D43" t="str">
            <v>N/A</v>
          </cell>
          <cell r="E43" t="str">
            <v>OVALIDAD</v>
          </cell>
          <cell r="F43" t="str">
            <v>EVELYN ESTUDILLO</v>
          </cell>
          <cell r="G43">
            <v>44930</v>
          </cell>
          <cell r="H43" t="str">
            <v>MAURICIO</v>
          </cell>
          <cell r="I43" t="str">
            <v>PASS</v>
          </cell>
          <cell r="J43" t="str">
            <v>SPR8</v>
          </cell>
          <cell r="K43" t="str">
            <v>720-3</v>
          </cell>
          <cell r="L43">
            <v>12</v>
          </cell>
          <cell r="M43" t="str">
            <v>OVALIDAD</v>
          </cell>
        </row>
        <row r="44">
          <cell r="A44">
            <v>20230041</v>
          </cell>
          <cell r="B44">
            <v>44930</v>
          </cell>
          <cell r="C44" t="str">
            <v>A020R613B</v>
          </cell>
          <cell r="D44" t="str">
            <v>N/A</v>
          </cell>
          <cell r="E44" t="str">
            <v>OVALIDAD</v>
          </cell>
          <cell r="F44" t="str">
            <v>EVELYN ESTUDILLO</v>
          </cell>
          <cell r="G44">
            <v>44930</v>
          </cell>
          <cell r="H44" t="str">
            <v>MAURICIO</v>
          </cell>
          <cell r="I44" t="str">
            <v>PASS</v>
          </cell>
          <cell r="J44" t="str">
            <v>SPR8</v>
          </cell>
          <cell r="K44" t="str">
            <v>720-6</v>
          </cell>
          <cell r="L44">
            <v>12</v>
          </cell>
          <cell r="M44" t="str">
            <v>OVALIDAD</v>
          </cell>
        </row>
        <row r="45">
          <cell r="A45">
            <v>20230042</v>
          </cell>
          <cell r="B45">
            <v>44930</v>
          </cell>
          <cell r="C45" t="str">
            <v>34324759E</v>
          </cell>
          <cell r="D45" t="str">
            <v>N/A</v>
          </cell>
          <cell r="E45" t="str">
            <v>OVALIDAD</v>
          </cell>
          <cell r="F45" t="str">
            <v>EVELYN ESTUDILLO</v>
          </cell>
          <cell r="G45">
            <v>44930</v>
          </cell>
          <cell r="H45" t="str">
            <v>MAURICIO</v>
          </cell>
          <cell r="I45" t="str">
            <v>PASS</v>
          </cell>
          <cell r="J45" t="str">
            <v>SPR8</v>
          </cell>
          <cell r="K45" t="str">
            <v>720-1</v>
          </cell>
          <cell r="L45">
            <v>12</v>
          </cell>
          <cell r="M45" t="str">
            <v>OVALIDAD</v>
          </cell>
        </row>
        <row r="46">
          <cell r="A46">
            <v>20230043</v>
          </cell>
          <cell r="B46">
            <v>44930</v>
          </cell>
          <cell r="C46" t="str">
            <v>34324759E</v>
          </cell>
          <cell r="D46" t="str">
            <v>N/A</v>
          </cell>
          <cell r="E46" t="str">
            <v>OVALIDAD</v>
          </cell>
          <cell r="F46" t="str">
            <v>EVELYN ESTUDILLO</v>
          </cell>
          <cell r="G46">
            <v>44930</v>
          </cell>
          <cell r="H46" t="str">
            <v>MAURICIO</v>
          </cell>
          <cell r="I46" t="str">
            <v>PASS</v>
          </cell>
          <cell r="J46" t="str">
            <v>SPR8</v>
          </cell>
          <cell r="K46" t="str">
            <v>720-5</v>
          </cell>
          <cell r="L46">
            <v>12</v>
          </cell>
          <cell r="M46" t="str">
            <v>OVALIDAD</v>
          </cell>
        </row>
        <row r="47">
          <cell r="A47">
            <v>20230044</v>
          </cell>
          <cell r="B47">
            <v>44930</v>
          </cell>
          <cell r="C47" t="str">
            <v>34361271A</v>
          </cell>
          <cell r="D47" t="str">
            <v>N/A</v>
          </cell>
          <cell r="E47" t="str">
            <v>OVALIDAD</v>
          </cell>
          <cell r="F47" t="str">
            <v>EVELYN ESTUDILLO</v>
          </cell>
          <cell r="G47">
            <v>44930</v>
          </cell>
          <cell r="H47" t="str">
            <v>MAURICIO</v>
          </cell>
          <cell r="I47" t="str">
            <v>PASS</v>
          </cell>
          <cell r="J47" t="str">
            <v>SPR8</v>
          </cell>
          <cell r="K47" t="str">
            <v>720-4</v>
          </cell>
          <cell r="L47">
            <v>12</v>
          </cell>
          <cell r="M47" t="str">
            <v>OVALIDAD</v>
          </cell>
        </row>
        <row r="48">
          <cell r="A48">
            <v>20230045</v>
          </cell>
          <cell r="B48">
            <v>44930</v>
          </cell>
          <cell r="C48" t="str">
            <v>34301420B</v>
          </cell>
          <cell r="D48" t="str">
            <v>N/A</v>
          </cell>
          <cell r="E48" t="str">
            <v>41,45,37,42</v>
          </cell>
          <cell r="F48" t="str">
            <v>Gabriel Ramos</v>
          </cell>
          <cell r="G48">
            <v>44930</v>
          </cell>
          <cell r="H48" t="str">
            <v>Nohemi</v>
          </cell>
          <cell r="I48" t="str">
            <v>NO PASS</v>
          </cell>
          <cell r="J48" t="str">
            <v>SPR4</v>
          </cell>
          <cell r="K48" t="str">
            <v>702-5</v>
          </cell>
          <cell r="L48" t="str">
            <v>30 PCS</v>
          </cell>
          <cell r="M48"/>
        </row>
        <row r="49">
          <cell r="A49">
            <v>20230046</v>
          </cell>
          <cell r="B49">
            <v>44930</v>
          </cell>
          <cell r="C49" t="str">
            <v>A014N931B</v>
          </cell>
          <cell r="D49" t="str">
            <v>N/A</v>
          </cell>
          <cell r="E49">
            <v>431</v>
          </cell>
          <cell r="F49" t="str">
            <v>NICOLAS MENDOZA</v>
          </cell>
          <cell r="G49">
            <v>44930</v>
          </cell>
          <cell r="H49" t="str">
            <v>MAURICIO</v>
          </cell>
          <cell r="I49" t="str">
            <v>NO PASS</v>
          </cell>
          <cell r="J49" t="str">
            <v>N/A</v>
          </cell>
          <cell r="K49" t="str">
            <v>MIDLAND</v>
          </cell>
          <cell r="L49">
            <v>3</v>
          </cell>
          <cell r="M49" t="str">
            <v>PLANO MARCADO</v>
          </cell>
        </row>
        <row r="50">
          <cell r="A50">
            <v>20230047</v>
          </cell>
          <cell r="B50">
            <v>44930</v>
          </cell>
          <cell r="C50" t="str">
            <v>34324759E</v>
          </cell>
          <cell r="D50" t="str">
            <v>N/A</v>
          </cell>
          <cell r="E50" t="str">
            <v>CONCENTRICIDAD</v>
          </cell>
          <cell r="F50" t="str">
            <v>AUGUSTO</v>
          </cell>
          <cell r="G50">
            <v>44930</v>
          </cell>
          <cell r="H50" t="str">
            <v>ERIC</v>
          </cell>
          <cell r="I50" t="str">
            <v>PASS</v>
          </cell>
          <cell r="J50" t="str">
            <v>SPR8</v>
          </cell>
          <cell r="K50" t="str">
            <v>720-1</v>
          </cell>
          <cell r="L50">
            <v>12</v>
          </cell>
          <cell r="M50" t="str">
            <v>CONCENTRICIDAD</v>
          </cell>
        </row>
        <row r="51">
          <cell r="A51">
            <v>20230048</v>
          </cell>
          <cell r="B51">
            <v>44930</v>
          </cell>
          <cell r="C51" t="str">
            <v>34309474B</v>
          </cell>
          <cell r="D51" t="str">
            <v>N/A</v>
          </cell>
          <cell r="E51" t="str">
            <v>CONCENTRICIDAD</v>
          </cell>
          <cell r="F51" t="str">
            <v>AUGUSTO</v>
          </cell>
          <cell r="G51">
            <v>44930</v>
          </cell>
          <cell r="H51" t="str">
            <v>ERIC</v>
          </cell>
          <cell r="I51" t="str">
            <v>PASS</v>
          </cell>
          <cell r="J51" t="str">
            <v>SPR8</v>
          </cell>
          <cell r="K51" t="str">
            <v>720-4</v>
          </cell>
          <cell r="L51">
            <v>12</v>
          </cell>
          <cell r="M51" t="str">
            <v>CONCENTRICIDAD</v>
          </cell>
        </row>
        <row r="52">
          <cell r="A52">
            <v>20230049</v>
          </cell>
          <cell r="B52">
            <v>44930</v>
          </cell>
          <cell r="C52" t="str">
            <v>34324759E</v>
          </cell>
          <cell r="D52" t="str">
            <v>N/A</v>
          </cell>
          <cell r="E52" t="str">
            <v>CONCENTRICIDAD</v>
          </cell>
          <cell r="F52" t="str">
            <v>AUGUSTO</v>
          </cell>
          <cell r="G52">
            <v>44930</v>
          </cell>
          <cell r="H52" t="str">
            <v>ERIC</v>
          </cell>
          <cell r="I52" t="str">
            <v>PASS</v>
          </cell>
          <cell r="J52" t="str">
            <v>SPR8</v>
          </cell>
          <cell r="K52" t="str">
            <v>720-5</v>
          </cell>
          <cell r="L52">
            <v>12</v>
          </cell>
          <cell r="M52" t="str">
            <v>CONCENTRICIDAD</v>
          </cell>
        </row>
        <row r="53">
          <cell r="A53">
            <v>20230050</v>
          </cell>
          <cell r="B53">
            <v>44930</v>
          </cell>
          <cell r="C53" t="str">
            <v>34324759E</v>
          </cell>
          <cell r="D53" t="str">
            <v>N/A</v>
          </cell>
          <cell r="E53" t="str">
            <v>OVALIDAD</v>
          </cell>
          <cell r="F53" t="str">
            <v>AUGUSTO</v>
          </cell>
          <cell r="G53">
            <v>44930</v>
          </cell>
          <cell r="H53" t="str">
            <v>ERIC</v>
          </cell>
          <cell r="I53" t="str">
            <v>PASS</v>
          </cell>
          <cell r="J53" t="str">
            <v>SPR8</v>
          </cell>
          <cell r="K53" t="str">
            <v>720-1</v>
          </cell>
          <cell r="L53">
            <v>12</v>
          </cell>
          <cell r="M53" t="str">
            <v>CONCENTRICIDAD</v>
          </cell>
        </row>
        <row r="54">
          <cell r="A54">
            <v>20230051</v>
          </cell>
          <cell r="B54">
            <v>44930</v>
          </cell>
          <cell r="C54" t="str">
            <v>34309474B</v>
          </cell>
          <cell r="D54" t="str">
            <v>N/A</v>
          </cell>
          <cell r="E54" t="str">
            <v>OVALIDAD</v>
          </cell>
          <cell r="F54" t="str">
            <v>AUGUSTO</v>
          </cell>
          <cell r="G54">
            <v>44930</v>
          </cell>
          <cell r="H54" t="str">
            <v>ERIC</v>
          </cell>
          <cell r="I54" t="str">
            <v>PASS</v>
          </cell>
          <cell r="J54" t="str">
            <v>SPR8</v>
          </cell>
          <cell r="K54" t="str">
            <v>720-4</v>
          </cell>
          <cell r="L54">
            <v>12</v>
          </cell>
          <cell r="M54" t="str">
            <v>CONCENTRICIDAD</v>
          </cell>
        </row>
        <row r="55">
          <cell r="A55">
            <v>20230052</v>
          </cell>
          <cell r="B55">
            <v>44930</v>
          </cell>
          <cell r="C55" t="str">
            <v>34324759E</v>
          </cell>
          <cell r="D55" t="str">
            <v>N/A</v>
          </cell>
          <cell r="E55" t="str">
            <v>OVALIDAD</v>
          </cell>
          <cell r="F55" t="str">
            <v>AUGUSTO</v>
          </cell>
          <cell r="G55">
            <v>44930</v>
          </cell>
          <cell r="H55" t="str">
            <v>ERIC</v>
          </cell>
          <cell r="I55" t="str">
            <v>PASS</v>
          </cell>
          <cell r="J55" t="str">
            <v>SPR8</v>
          </cell>
          <cell r="K55" t="str">
            <v>720-5</v>
          </cell>
          <cell r="L55">
            <v>12</v>
          </cell>
          <cell r="M55" t="str">
            <v>CONCENTRICIDAD</v>
          </cell>
        </row>
        <row r="56">
          <cell r="A56">
            <v>20230053</v>
          </cell>
          <cell r="B56">
            <v>44930</v>
          </cell>
          <cell r="C56" t="str">
            <v>34301470D</v>
          </cell>
          <cell r="D56" t="str">
            <v>N/A</v>
          </cell>
          <cell r="E56" t="str">
            <v>CONCENTRICIDAD</v>
          </cell>
          <cell r="F56" t="str">
            <v>AUGUSTO</v>
          </cell>
          <cell r="G56">
            <v>44930</v>
          </cell>
          <cell r="H56" t="str">
            <v>ERNESTO</v>
          </cell>
          <cell r="I56" t="str">
            <v>PASS</v>
          </cell>
          <cell r="J56" t="str">
            <v>SPR8</v>
          </cell>
          <cell r="K56" t="str">
            <v>720-2</v>
          </cell>
          <cell r="L56">
            <v>6</v>
          </cell>
          <cell r="M56" t="str">
            <v>CONCENTRICIDAD</v>
          </cell>
        </row>
        <row r="57">
          <cell r="A57">
            <v>20230054</v>
          </cell>
          <cell r="B57">
            <v>44930</v>
          </cell>
          <cell r="C57" t="str">
            <v>34301470D</v>
          </cell>
          <cell r="D57" t="str">
            <v>N/A</v>
          </cell>
          <cell r="E57" t="str">
            <v>OVALIDAD</v>
          </cell>
          <cell r="F57" t="str">
            <v>AUGUSTO</v>
          </cell>
          <cell r="G57">
            <v>44930</v>
          </cell>
          <cell r="H57" t="str">
            <v>ERNESTO</v>
          </cell>
          <cell r="I57" t="str">
            <v>PASS</v>
          </cell>
          <cell r="J57" t="str">
            <v>SPR8</v>
          </cell>
          <cell r="K57" t="str">
            <v>720-2</v>
          </cell>
          <cell r="L57">
            <v>6</v>
          </cell>
          <cell r="M57" t="str">
            <v>OVALIDAD</v>
          </cell>
        </row>
        <row r="58">
          <cell r="A58">
            <v>20230055</v>
          </cell>
          <cell r="B58">
            <v>44931</v>
          </cell>
          <cell r="C58" t="str">
            <v>34285575D</v>
          </cell>
          <cell r="D58" t="str">
            <v>N/A</v>
          </cell>
          <cell r="E58" t="str">
            <v>94,52,53,54,69,56</v>
          </cell>
          <cell r="F58" t="str">
            <v>Laura Castillo</v>
          </cell>
          <cell r="G58">
            <v>44931</v>
          </cell>
          <cell r="H58" t="str">
            <v>Nohemi</v>
          </cell>
          <cell r="I58" t="str">
            <v>NO PASS</v>
          </cell>
          <cell r="J58" t="str">
            <v>SPR8</v>
          </cell>
          <cell r="K58" t="str">
            <v>716-1</v>
          </cell>
          <cell r="L58" t="str">
            <v>4 PCS</v>
          </cell>
          <cell r="M58" t="str">
            <v>A0033G4820 A-E</v>
          </cell>
        </row>
        <row r="59">
          <cell r="A59">
            <v>20230056</v>
          </cell>
          <cell r="B59">
            <v>44931</v>
          </cell>
          <cell r="C59" t="str">
            <v>34358865D</v>
          </cell>
          <cell r="D59" t="str">
            <v>N/A</v>
          </cell>
          <cell r="E59" t="str">
            <v>8,9,10,11,12,18,19,20,Z</v>
          </cell>
          <cell r="F59" t="str">
            <v>Laura Castillo</v>
          </cell>
          <cell r="G59">
            <v>44931</v>
          </cell>
          <cell r="H59" t="str">
            <v>Nohemi</v>
          </cell>
          <cell r="I59" t="str">
            <v>NO PASS</v>
          </cell>
          <cell r="J59" t="str">
            <v>SPR8</v>
          </cell>
          <cell r="K59" t="str">
            <v>720-2</v>
          </cell>
          <cell r="L59" t="str">
            <v>4 PCS</v>
          </cell>
          <cell r="M59" t="str">
            <v>A0034E4937 A-E</v>
          </cell>
        </row>
        <row r="60">
          <cell r="A60">
            <v>20230057</v>
          </cell>
          <cell r="B60">
            <v>44931</v>
          </cell>
          <cell r="C60" t="str">
            <v>34155938CSRG</v>
          </cell>
          <cell r="D60" t="str">
            <v>B21221SAM</v>
          </cell>
          <cell r="E60" t="str">
            <v xml:space="preserve">Conforme al rip </v>
          </cell>
          <cell r="F60" t="str">
            <v>Nuevos programas</v>
          </cell>
          <cell r="G60">
            <v>44931</v>
          </cell>
          <cell r="H60" t="str">
            <v xml:space="preserve">Adela </v>
          </cell>
          <cell r="I60" t="str">
            <v>PASS</v>
          </cell>
          <cell r="J60" t="str">
            <v>N/A</v>
          </cell>
          <cell r="K60" t="str">
            <v>N/A</v>
          </cell>
          <cell r="L60">
            <v>5</v>
          </cell>
          <cell r="M60" t="str">
            <v>N/A</v>
          </cell>
        </row>
        <row r="61">
          <cell r="A61">
            <v>20230058</v>
          </cell>
          <cell r="B61">
            <v>44931</v>
          </cell>
          <cell r="C61" t="str">
            <v>A014W919A</v>
          </cell>
          <cell r="D61" t="str">
            <v>TC006</v>
          </cell>
          <cell r="E61" t="str">
            <v>QA 15 16 17 19</v>
          </cell>
          <cell r="F61" t="str">
            <v>JORGE PULIDO</v>
          </cell>
          <cell r="G61">
            <v>44931</v>
          </cell>
          <cell r="H61" t="str">
            <v>MAURICIO</v>
          </cell>
          <cell r="I61" t="str">
            <v>PASS</v>
          </cell>
          <cell r="J61" t="str">
            <v>N/A</v>
          </cell>
          <cell r="K61" t="str">
            <v>714-6</v>
          </cell>
          <cell r="L61">
            <v>8</v>
          </cell>
          <cell r="M61" t="str">
            <v>CH34259298 A06 Validar nuevos nidos de dobladora de base</v>
          </cell>
        </row>
        <row r="62">
          <cell r="A62">
            <v>20230059</v>
          </cell>
          <cell r="B62">
            <v>44931</v>
          </cell>
          <cell r="C62" t="str">
            <v>34296442C</v>
          </cell>
          <cell r="D62" t="str">
            <v>N/A</v>
          </cell>
          <cell r="E62" t="str">
            <v>CONCENTRICIDAD</v>
          </cell>
          <cell r="F62" t="str">
            <v>EVELYN ESTUDILLO</v>
          </cell>
          <cell r="G62">
            <v>44931</v>
          </cell>
          <cell r="H62" t="str">
            <v>MAURICIO</v>
          </cell>
          <cell r="I62" t="str">
            <v>PASS</v>
          </cell>
          <cell r="J62" t="str">
            <v>SPR8</v>
          </cell>
          <cell r="K62" t="str">
            <v>720-2</v>
          </cell>
          <cell r="L62">
            <v>12</v>
          </cell>
          <cell r="M62" t="str">
            <v>CONCENTRICIDAD</v>
          </cell>
        </row>
        <row r="63">
          <cell r="A63">
            <v>20230060</v>
          </cell>
          <cell r="B63">
            <v>44931</v>
          </cell>
          <cell r="C63" t="str">
            <v>34296438C</v>
          </cell>
          <cell r="D63" t="str">
            <v>N/A</v>
          </cell>
          <cell r="E63" t="str">
            <v>CONCENTRICIDAD</v>
          </cell>
          <cell r="F63" t="str">
            <v>EVELYN ESTUDILLO</v>
          </cell>
          <cell r="G63">
            <v>44931</v>
          </cell>
          <cell r="H63" t="str">
            <v>MAURICIO</v>
          </cell>
          <cell r="I63" t="str">
            <v>PASS</v>
          </cell>
          <cell r="J63" t="str">
            <v>SPR8</v>
          </cell>
          <cell r="K63" t="str">
            <v>720-1</v>
          </cell>
          <cell r="L63">
            <v>12</v>
          </cell>
          <cell r="M63" t="str">
            <v>CONCENTRICIDAD</v>
          </cell>
        </row>
        <row r="64">
          <cell r="A64">
            <v>20230061</v>
          </cell>
          <cell r="B64">
            <v>44931</v>
          </cell>
          <cell r="C64" t="str">
            <v>34324759E</v>
          </cell>
          <cell r="D64" t="str">
            <v>N/A</v>
          </cell>
          <cell r="E64" t="str">
            <v>CONCENTRICIDAD</v>
          </cell>
          <cell r="F64" t="str">
            <v>EVELYN ESTUDILLO</v>
          </cell>
          <cell r="G64">
            <v>44931</v>
          </cell>
          <cell r="H64" t="str">
            <v>MAURICIO</v>
          </cell>
          <cell r="I64" t="str">
            <v>PASS</v>
          </cell>
          <cell r="J64" t="str">
            <v>SPR8</v>
          </cell>
          <cell r="K64" t="str">
            <v>720-5</v>
          </cell>
          <cell r="L64">
            <v>12</v>
          </cell>
          <cell r="M64" t="str">
            <v>CONCENTRICIDAD</v>
          </cell>
        </row>
        <row r="65">
          <cell r="A65">
            <v>20230062</v>
          </cell>
          <cell r="B65">
            <v>44931</v>
          </cell>
          <cell r="C65" t="str">
            <v>34309473B</v>
          </cell>
          <cell r="D65" t="str">
            <v>N/A</v>
          </cell>
          <cell r="E65" t="str">
            <v>CONCENTRICIDAD</v>
          </cell>
          <cell r="F65" t="str">
            <v>EVELYN ESTUDILLO</v>
          </cell>
          <cell r="G65">
            <v>44931</v>
          </cell>
          <cell r="H65" t="str">
            <v>MAURICIO</v>
          </cell>
          <cell r="I65" t="str">
            <v>PASS</v>
          </cell>
          <cell r="J65" t="str">
            <v>SPR8</v>
          </cell>
          <cell r="K65" t="str">
            <v>720-4</v>
          </cell>
          <cell r="L65">
            <v>12</v>
          </cell>
          <cell r="M65" t="str">
            <v>CONCENTRICIDAD</v>
          </cell>
        </row>
        <row r="66">
          <cell r="A66">
            <v>20230063</v>
          </cell>
          <cell r="B66">
            <v>44931</v>
          </cell>
          <cell r="C66" t="str">
            <v>34296442C</v>
          </cell>
          <cell r="D66" t="str">
            <v>N/A</v>
          </cell>
          <cell r="E66" t="str">
            <v>OVALIDAD</v>
          </cell>
          <cell r="F66" t="str">
            <v>EVELYN ESTUDILLO</v>
          </cell>
          <cell r="G66">
            <v>44931</v>
          </cell>
          <cell r="H66" t="str">
            <v>MAURICIO</v>
          </cell>
          <cell r="I66" t="str">
            <v>PASS</v>
          </cell>
          <cell r="J66" t="str">
            <v>SPR8</v>
          </cell>
          <cell r="K66" t="str">
            <v>720-2</v>
          </cell>
          <cell r="L66">
            <v>12</v>
          </cell>
          <cell r="M66" t="str">
            <v>CONCENTRICIDAD</v>
          </cell>
        </row>
        <row r="67">
          <cell r="A67">
            <v>20230064</v>
          </cell>
          <cell r="B67">
            <v>44931</v>
          </cell>
          <cell r="C67" t="str">
            <v>34296438C</v>
          </cell>
          <cell r="D67" t="str">
            <v>N/A</v>
          </cell>
          <cell r="E67" t="str">
            <v>OVALIDAD</v>
          </cell>
          <cell r="F67" t="str">
            <v>EVELYN ESTUDILLO</v>
          </cell>
          <cell r="G67">
            <v>44931</v>
          </cell>
          <cell r="H67" t="str">
            <v>MAURICIO</v>
          </cell>
          <cell r="I67" t="str">
            <v>PASS</v>
          </cell>
          <cell r="J67" t="str">
            <v>SPR8</v>
          </cell>
          <cell r="K67" t="str">
            <v>720-1</v>
          </cell>
          <cell r="L67">
            <v>12</v>
          </cell>
          <cell r="M67" t="str">
            <v>CONCENTRICIDAD</v>
          </cell>
        </row>
        <row r="68">
          <cell r="A68">
            <v>20230065</v>
          </cell>
          <cell r="B68">
            <v>44931</v>
          </cell>
          <cell r="C68" t="str">
            <v>34324759E</v>
          </cell>
          <cell r="D68" t="str">
            <v>N/A</v>
          </cell>
          <cell r="E68" t="str">
            <v>OVALIDAD</v>
          </cell>
          <cell r="F68" t="str">
            <v>EVELYN ESTUDILLO</v>
          </cell>
          <cell r="G68">
            <v>44931</v>
          </cell>
          <cell r="H68" t="str">
            <v>MAURICIO</v>
          </cell>
          <cell r="I68" t="str">
            <v>PASS</v>
          </cell>
          <cell r="J68" t="str">
            <v>SPR8</v>
          </cell>
          <cell r="K68" t="str">
            <v>720-5</v>
          </cell>
          <cell r="L68">
            <v>12</v>
          </cell>
          <cell r="M68" t="str">
            <v>CONCENTRICIDAD</v>
          </cell>
        </row>
        <row r="69">
          <cell r="A69">
            <v>20230066</v>
          </cell>
          <cell r="B69">
            <v>44931</v>
          </cell>
          <cell r="C69" t="str">
            <v>34309473B</v>
          </cell>
          <cell r="D69" t="str">
            <v>N/A</v>
          </cell>
          <cell r="E69" t="str">
            <v>OVALIDAD</v>
          </cell>
          <cell r="F69" t="str">
            <v>EVELYN ESTUDILLO</v>
          </cell>
          <cell r="G69">
            <v>44931</v>
          </cell>
          <cell r="H69" t="str">
            <v>MAURICIO</v>
          </cell>
          <cell r="I69" t="str">
            <v>PASS</v>
          </cell>
          <cell r="J69" t="str">
            <v>SPR8</v>
          </cell>
          <cell r="K69" t="str">
            <v>720-4</v>
          </cell>
          <cell r="L69">
            <v>12</v>
          </cell>
          <cell r="M69" t="str">
            <v>CONCENTRICIDAD</v>
          </cell>
        </row>
        <row r="70">
          <cell r="A70">
            <v>20230067</v>
          </cell>
          <cell r="B70">
            <v>44931</v>
          </cell>
          <cell r="C70" t="str">
            <v>A023V833A</v>
          </cell>
          <cell r="D70" t="str">
            <v>N/A</v>
          </cell>
          <cell r="E70" t="str">
            <v>CONCENTRICIDAD</v>
          </cell>
          <cell r="F70" t="str">
            <v>AUGUSTO</v>
          </cell>
          <cell r="G70">
            <v>44931</v>
          </cell>
          <cell r="H70" t="str">
            <v>ERNESTO</v>
          </cell>
          <cell r="I70" t="str">
            <v>PASS</v>
          </cell>
          <cell r="J70" t="str">
            <v>SPR8</v>
          </cell>
          <cell r="K70" t="str">
            <v>720-4</v>
          </cell>
          <cell r="L70">
            <v>12</v>
          </cell>
          <cell r="M70" t="str">
            <v>CONCENTRICIDAD</v>
          </cell>
        </row>
        <row r="71">
          <cell r="A71">
            <v>20230068</v>
          </cell>
          <cell r="B71">
            <v>44931</v>
          </cell>
          <cell r="C71" t="str">
            <v>A023V833A</v>
          </cell>
          <cell r="D71" t="str">
            <v>N/A</v>
          </cell>
          <cell r="E71" t="str">
            <v>OVALIDAD</v>
          </cell>
          <cell r="F71" t="str">
            <v>AUGUSTO</v>
          </cell>
          <cell r="G71">
            <v>44931</v>
          </cell>
          <cell r="H71" t="str">
            <v>ERNESTO</v>
          </cell>
          <cell r="I71" t="str">
            <v>PASS</v>
          </cell>
          <cell r="J71" t="str">
            <v>SPR8</v>
          </cell>
          <cell r="K71" t="str">
            <v>720-4</v>
          </cell>
          <cell r="L71">
            <v>12</v>
          </cell>
          <cell r="M71" t="str">
            <v>OVALIDAD</v>
          </cell>
        </row>
        <row r="72">
          <cell r="A72">
            <v>20230069</v>
          </cell>
          <cell r="B72">
            <v>44931</v>
          </cell>
          <cell r="C72" t="str">
            <v>34301420B</v>
          </cell>
          <cell r="D72" t="str">
            <v>N/A</v>
          </cell>
          <cell r="E72" t="str">
            <v>QA 37,41,42,45</v>
          </cell>
          <cell r="F72" t="str">
            <v>Gabriel Ramos</v>
          </cell>
          <cell r="G72">
            <v>44931</v>
          </cell>
          <cell r="H72" t="str">
            <v>Abel</v>
          </cell>
          <cell r="I72" t="str">
            <v>NO PASS</v>
          </cell>
          <cell r="J72" t="str">
            <v>SPR4</v>
          </cell>
          <cell r="K72" t="str">
            <v>702-5</v>
          </cell>
          <cell r="L72" t="str">
            <v>30 PZAS</v>
          </cell>
          <cell r="M72" t="str">
            <v>VALIDACION</v>
          </cell>
        </row>
        <row r="73">
          <cell r="A73">
            <v>20230070</v>
          </cell>
          <cell r="B73">
            <v>44931</v>
          </cell>
          <cell r="C73" t="str">
            <v>34296438C</v>
          </cell>
          <cell r="D73" t="str">
            <v>N/A</v>
          </cell>
          <cell r="E73" t="str">
            <v>CONCENTRICIDAD</v>
          </cell>
          <cell r="F73" t="str">
            <v>AUGUSTO</v>
          </cell>
          <cell r="G73">
            <v>44931</v>
          </cell>
          <cell r="H73" t="str">
            <v>Eric</v>
          </cell>
          <cell r="I73" t="str">
            <v>PASS</v>
          </cell>
          <cell r="J73" t="str">
            <v>SPR8</v>
          </cell>
          <cell r="K73" t="str">
            <v>720-1</v>
          </cell>
          <cell r="L73">
            <v>12</v>
          </cell>
          <cell r="M73" t="str">
            <v>TUBOS</v>
          </cell>
        </row>
        <row r="74">
          <cell r="A74">
            <v>20230071</v>
          </cell>
          <cell r="B74">
            <v>44931</v>
          </cell>
          <cell r="C74" t="str">
            <v>34235232G</v>
          </cell>
          <cell r="D74" t="str">
            <v>N/A</v>
          </cell>
          <cell r="E74" t="str">
            <v>CONCENTRICIDAD</v>
          </cell>
          <cell r="F74" t="str">
            <v>AUGUSTO</v>
          </cell>
          <cell r="G74">
            <v>44931</v>
          </cell>
          <cell r="H74" t="str">
            <v>Eric</v>
          </cell>
          <cell r="I74" t="str">
            <v>PASS</v>
          </cell>
          <cell r="J74" t="str">
            <v>SPR8</v>
          </cell>
          <cell r="K74" t="str">
            <v>720-2</v>
          </cell>
          <cell r="L74">
            <v>12</v>
          </cell>
          <cell r="M74" t="str">
            <v>TUBOS</v>
          </cell>
        </row>
        <row r="75">
          <cell r="A75">
            <v>20230072</v>
          </cell>
          <cell r="B75">
            <v>44931</v>
          </cell>
          <cell r="C75" t="str">
            <v>34355195B</v>
          </cell>
          <cell r="D75" t="str">
            <v>N/A</v>
          </cell>
          <cell r="E75" t="str">
            <v>CONCENTRICIDAD</v>
          </cell>
          <cell r="F75" t="str">
            <v>AUGUSTO</v>
          </cell>
          <cell r="G75">
            <v>44931</v>
          </cell>
          <cell r="H75" t="str">
            <v>Eric</v>
          </cell>
          <cell r="I75" t="str">
            <v>PASS</v>
          </cell>
          <cell r="J75" t="str">
            <v>SPR8</v>
          </cell>
          <cell r="K75" t="str">
            <v>720-3</v>
          </cell>
          <cell r="L75">
            <v>12</v>
          </cell>
          <cell r="M75" t="str">
            <v>TUBOS</v>
          </cell>
        </row>
        <row r="76">
          <cell r="A76">
            <v>20230073</v>
          </cell>
          <cell r="B76">
            <v>44931</v>
          </cell>
          <cell r="C76" t="str">
            <v>34324759E</v>
          </cell>
          <cell r="D76" t="str">
            <v>N/A</v>
          </cell>
          <cell r="E76" t="str">
            <v>CONCENTRICIDAD</v>
          </cell>
          <cell r="F76" t="str">
            <v>AUGUSTO</v>
          </cell>
          <cell r="G76">
            <v>44931</v>
          </cell>
          <cell r="H76" t="str">
            <v>Eric</v>
          </cell>
          <cell r="I76" t="str">
            <v>PASS</v>
          </cell>
          <cell r="J76" t="str">
            <v>SPR8</v>
          </cell>
          <cell r="K76" t="str">
            <v>720-5</v>
          </cell>
          <cell r="L76">
            <v>12</v>
          </cell>
          <cell r="M76" t="str">
            <v>TUBOS</v>
          </cell>
        </row>
        <row r="77">
          <cell r="A77">
            <v>20230074</v>
          </cell>
          <cell r="B77">
            <v>44931</v>
          </cell>
          <cell r="C77" t="str">
            <v>34296438C</v>
          </cell>
          <cell r="D77" t="str">
            <v>N/A</v>
          </cell>
          <cell r="E77" t="str">
            <v>OVALIDAD</v>
          </cell>
          <cell r="F77" t="str">
            <v>AUGUSTO</v>
          </cell>
          <cell r="G77">
            <v>44931</v>
          </cell>
          <cell r="H77" t="str">
            <v>Eric</v>
          </cell>
          <cell r="I77" t="str">
            <v>PASS</v>
          </cell>
          <cell r="J77" t="str">
            <v>SPR8</v>
          </cell>
          <cell r="K77" t="str">
            <v>720-1</v>
          </cell>
          <cell r="L77">
            <v>12</v>
          </cell>
          <cell r="M77" t="str">
            <v>TUBOS</v>
          </cell>
        </row>
        <row r="78">
          <cell r="A78">
            <v>20230075</v>
          </cell>
          <cell r="B78">
            <v>44931</v>
          </cell>
          <cell r="C78" t="str">
            <v>34235232G</v>
          </cell>
          <cell r="D78" t="str">
            <v>N/A</v>
          </cell>
          <cell r="E78" t="str">
            <v>OVALIDAD</v>
          </cell>
          <cell r="F78" t="str">
            <v>AUGUSTO</v>
          </cell>
          <cell r="G78">
            <v>44931</v>
          </cell>
          <cell r="H78" t="str">
            <v>Eric</v>
          </cell>
          <cell r="I78" t="str">
            <v>PASS</v>
          </cell>
          <cell r="J78" t="str">
            <v>SPR8</v>
          </cell>
          <cell r="K78" t="str">
            <v>720-2</v>
          </cell>
          <cell r="L78">
            <v>12</v>
          </cell>
          <cell r="M78" t="str">
            <v>TUBOS</v>
          </cell>
        </row>
        <row r="79">
          <cell r="A79">
            <v>20230076</v>
          </cell>
          <cell r="B79">
            <v>44931</v>
          </cell>
          <cell r="C79" t="str">
            <v>34355195B</v>
          </cell>
          <cell r="D79" t="str">
            <v>N/A</v>
          </cell>
          <cell r="E79" t="str">
            <v>OVALIDAD</v>
          </cell>
          <cell r="F79" t="str">
            <v>AUGUSTO</v>
          </cell>
          <cell r="G79">
            <v>44931</v>
          </cell>
          <cell r="H79" t="str">
            <v>Eric</v>
          </cell>
          <cell r="I79" t="str">
            <v>PASS</v>
          </cell>
          <cell r="J79" t="str">
            <v>SPR8</v>
          </cell>
          <cell r="K79" t="str">
            <v>720-3</v>
          </cell>
          <cell r="L79">
            <v>12</v>
          </cell>
          <cell r="M79" t="str">
            <v>TUBOS</v>
          </cell>
        </row>
        <row r="80">
          <cell r="A80">
            <v>20230077</v>
          </cell>
          <cell r="B80">
            <v>44931</v>
          </cell>
          <cell r="C80" t="str">
            <v>34324759E</v>
          </cell>
          <cell r="D80" t="str">
            <v>N/A</v>
          </cell>
          <cell r="E80" t="str">
            <v>OVALIDAD</v>
          </cell>
          <cell r="F80" t="str">
            <v>AUGUSTO</v>
          </cell>
          <cell r="G80">
            <v>44931</v>
          </cell>
          <cell r="H80" t="str">
            <v>Eric</v>
          </cell>
          <cell r="I80" t="str">
            <v>PASS</v>
          </cell>
          <cell r="J80" t="str">
            <v>SPR8</v>
          </cell>
          <cell r="K80" t="str">
            <v>720-5</v>
          </cell>
          <cell r="L80">
            <v>12</v>
          </cell>
          <cell r="M80" t="str">
            <v>TUBOS</v>
          </cell>
        </row>
        <row r="81">
          <cell r="A81">
            <v>20230078</v>
          </cell>
          <cell r="B81">
            <v>44932</v>
          </cell>
          <cell r="C81" t="str">
            <v>34235231G</v>
          </cell>
          <cell r="D81" t="str">
            <v>N/A</v>
          </cell>
          <cell r="E81" t="str">
            <v>CONCENTRICIDAD</v>
          </cell>
          <cell r="F81" t="str">
            <v>AUGUSTO</v>
          </cell>
          <cell r="G81">
            <v>44932</v>
          </cell>
          <cell r="H81" t="str">
            <v>ERIC</v>
          </cell>
          <cell r="I81" t="str">
            <v>PASS</v>
          </cell>
          <cell r="J81" t="str">
            <v>SPR8</v>
          </cell>
          <cell r="K81" t="str">
            <v>720-2</v>
          </cell>
          <cell r="L81">
            <v>12</v>
          </cell>
          <cell r="M81" t="str">
            <v>TUBOS</v>
          </cell>
        </row>
        <row r="82">
          <cell r="A82">
            <v>20230079</v>
          </cell>
          <cell r="B82">
            <v>44932</v>
          </cell>
          <cell r="C82" t="str">
            <v>34235231G</v>
          </cell>
          <cell r="D82" t="str">
            <v>N/A</v>
          </cell>
          <cell r="E82" t="str">
            <v>OVALIDAD</v>
          </cell>
          <cell r="F82" t="str">
            <v>AUGUSTO</v>
          </cell>
          <cell r="G82">
            <v>44932</v>
          </cell>
          <cell r="H82" t="str">
            <v>ERIC</v>
          </cell>
          <cell r="I82" t="str">
            <v>PASS</v>
          </cell>
          <cell r="J82" t="str">
            <v>SPR8</v>
          </cell>
          <cell r="K82" t="str">
            <v>720-2</v>
          </cell>
          <cell r="L82">
            <v>12</v>
          </cell>
          <cell r="M82" t="str">
            <v>TUBOS</v>
          </cell>
        </row>
        <row r="83">
          <cell r="A83">
            <v>20230080</v>
          </cell>
          <cell r="B83">
            <v>44932</v>
          </cell>
          <cell r="C83" t="str">
            <v>33050992B</v>
          </cell>
          <cell r="D83">
            <v>21209080</v>
          </cell>
          <cell r="E83" t="str">
            <v>QA 14</v>
          </cell>
          <cell r="F83" t="str">
            <v>Gabriel Ramos</v>
          </cell>
          <cell r="G83">
            <v>44932</v>
          </cell>
          <cell r="H83" t="str">
            <v>MAURICIO</v>
          </cell>
          <cell r="I83" t="str">
            <v>NO PASS</v>
          </cell>
          <cell r="J83" t="str">
            <v>N/A</v>
          </cell>
          <cell r="K83" t="str">
            <v>SANDHAR</v>
          </cell>
          <cell r="L83">
            <v>3</v>
          </cell>
          <cell r="M83" t="str">
            <v>SANDHAR</v>
          </cell>
        </row>
        <row r="84">
          <cell r="A84">
            <v>20230081</v>
          </cell>
          <cell r="B84">
            <v>44932</v>
          </cell>
          <cell r="C84" t="str">
            <v>DWG 3B</v>
          </cell>
          <cell r="D84" t="str">
            <v>N/A</v>
          </cell>
          <cell r="E84" t="str">
            <v>A,B</v>
          </cell>
          <cell r="F84" t="str">
            <v>Jesus sampayo</v>
          </cell>
          <cell r="G84">
            <v>44932</v>
          </cell>
          <cell r="H84" t="str">
            <v>MAURICIO</v>
          </cell>
          <cell r="I84" t="str">
            <v>NO PASS</v>
          </cell>
          <cell r="J84" t="str">
            <v>N/A</v>
          </cell>
          <cell r="K84">
            <v>462</v>
          </cell>
          <cell r="L84">
            <v>1</v>
          </cell>
          <cell r="M84" t="str">
            <v>DWG GAUGE CONECTOR</v>
          </cell>
        </row>
        <row r="85">
          <cell r="A85">
            <v>20230082</v>
          </cell>
          <cell r="B85">
            <v>44932</v>
          </cell>
          <cell r="C85" t="str">
            <v>ZF-07978V-211261</v>
          </cell>
          <cell r="D85" t="str">
            <v>N/A</v>
          </cell>
          <cell r="E85" t="str">
            <v>DIS 109.02 ± 0.25</v>
          </cell>
          <cell r="F85" t="str">
            <v>CRISTIAN ARNOLDO</v>
          </cell>
          <cell r="G85">
            <v>44932</v>
          </cell>
          <cell r="H85" t="str">
            <v>MAURICIO</v>
          </cell>
          <cell r="I85" t="str">
            <v>NO PASS</v>
          </cell>
          <cell r="J85" t="str">
            <v>BMW</v>
          </cell>
          <cell r="K85" t="str">
            <v>N/A</v>
          </cell>
          <cell r="L85">
            <v>1</v>
          </cell>
          <cell r="M85" t="str">
            <v>GAGE TIP TO TIP</v>
          </cell>
        </row>
        <row r="86">
          <cell r="A86">
            <v>20230083</v>
          </cell>
          <cell r="B86">
            <v>44932</v>
          </cell>
          <cell r="C86" t="str">
            <v>34292968A</v>
          </cell>
          <cell r="D86" t="str">
            <v>N/A</v>
          </cell>
          <cell r="E86" t="str">
            <v>27,23,24,6</v>
          </cell>
          <cell r="F86" t="str">
            <v>Javier Bautista</v>
          </cell>
          <cell r="G86">
            <v>44932</v>
          </cell>
          <cell r="H86" t="str">
            <v>Nohemi</v>
          </cell>
          <cell r="I86" t="str">
            <v>PASS</v>
          </cell>
          <cell r="J86" t="str">
            <v>U611</v>
          </cell>
          <cell r="K86" t="str">
            <v>708-B</v>
          </cell>
          <cell r="L86" t="str">
            <v>2 PCS</v>
          </cell>
          <cell r="M86" t="str">
            <v>BPW 22-343003B</v>
          </cell>
        </row>
        <row r="87">
          <cell r="A87">
            <v>20230084</v>
          </cell>
          <cell r="B87">
            <v>44932</v>
          </cell>
          <cell r="C87" t="str">
            <v>A025Y200A</v>
          </cell>
          <cell r="D87" t="str">
            <v>N/A</v>
          </cell>
          <cell r="E87" t="str">
            <v>34,46,47,67</v>
          </cell>
          <cell r="F87" t="str">
            <v>Javier Bautista</v>
          </cell>
          <cell r="G87">
            <v>44932</v>
          </cell>
          <cell r="H87" t="str">
            <v>Nohemi</v>
          </cell>
          <cell r="I87" t="str">
            <v>PASS</v>
          </cell>
          <cell r="J87" t="str">
            <v>AUDI</v>
          </cell>
          <cell r="K87" t="str">
            <v>709-B</v>
          </cell>
          <cell r="L87" t="str">
            <v>2 PCS</v>
          </cell>
          <cell r="M87"/>
        </row>
        <row r="88">
          <cell r="A88">
            <v>20230085</v>
          </cell>
          <cell r="B88">
            <v>44932</v>
          </cell>
          <cell r="C88" t="str">
            <v>34346842C</v>
          </cell>
          <cell r="D88" t="str">
            <v>N/A</v>
          </cell>
          <cell r="E88" t="str">
            <v>CONCENTRICIDAD</v>
          </cell>
          <cell r="F88" t="str">
            <v>EVELYN ESTUDILLO</v>
          </cell>
          <cell r="G88">
            <v>44932</v>
          </cell>
          <cell r="H88" t="str">
            <v>MAURICIO</v>
          </cell>
          <cell r="I88" t="str">
            <v>PASS</v>
          </cell>
          <cell r="J88" t="str">
            <v>SPR8</v>
          </cell>
          <cell r="K88" t="str">
            <v>720-1</v>
          </cell>
          <cell r="L88">
            <v>12</v>
          </cell>
          <cell r="M88" t="str">
            <v>CONCENTRICIDAD</v>
          </cell>
        </row>
        <row r="89">
          <cell r="A89">
            <v>20230086</v>
          </cell>
          <cell r="B89">
            <v>44932</v>
          </cell>
          <cell r="C89" t="str">
            <v>34324760D</v>
          </cell>
          <cell r="D89" t="str">
            <v>N/A</v>
          </cell>
          <cell r="E89" t="str">
            <v>CONCENTRICIDAD</v>
          </cell>
          <cell r="F89" t="str">
            <v>EVELYN ESTUDILLO</v>
          </cell>
          <cell r="G89">
            <v>44932</v>
          </cell>
          <cell r="H89" t="str">
            <v>MAURICIO</v>
          </cell>
          <cell r="I89" t="str">
            <v>PASS</v>
          </cell>
          <cell r="J89" t="str">
            <v>SPR8</v>
          </cell>
          <cell r="K89" t="str">
            <v>720-5</v>
          </cell>
          <cell r="L89">
            <v>12</v>
          </cell>
          <cell r="M89" t="str">
            <v>CONCENTRICIDAD</v>
          </cell>
        </row>
        <row r="90">
          <cell r="A90">
            <v>20230087</v>
          </cell>
          <cell r="B90">
            <v>44932</v>
          </cell>
          <cell r="C90" t="str">
            <v>34235234G</v>
          </cell>
          <cell r="D90" t="str">
            <v>N/A</v>
          </cell>
          <cell r="E90" t="str">
            <v>CONCENTRICIDAD</v>
          </cell>
          <cell r="F90" t="str">
            <v>EVELYN ESTUDILLO</v>
          </cell>
          <cell r="G90">
            <v>44932</v>
          </cell>
          <cell r="H90" t="str">
            <v>MAURICIO</v>
          </cell>
          <cell r="I90" t="str">
            <v>PASS</v>
          </cell>
          <cell r="J90" t="str">
            <v>SPR8</v>
          </cell>
          <cell r="K90" t="str">
            <v>720-3</v>
          </cell>
          <cell r="L90">
            <v>12</v>
          </cell>
          <cell r="M90" t="str">
            <v>CONCENTRICIDAD</v>
          </cell>
        </row>
        <row r="91">
          <cell r="A91">
            <v>20230088</v>
          </cell>
          <cell r="B91">
            <v>44932</v>
          </cell>
          <cell r="C91" t="str">
            <v>34346842C</v>
          </cell>
          <cell r="D91" t="str">
            <v>N/A</v>
          </cell>
          <cell r="E91" t="str">
            <v>OVALIDAD</v>
          </cell>
          <cell r="F91" t="str">
            <v>EVELYN ESTUDILLO</v>
          </cell>
          <cell r="G91">
            <v>44932</v>
          </cell>
          <cell r="H91" t="str">
            <v>MAURICIO</v>
          </cell>
          <cell r="I91" t="str">
            <v>PASS</v>
          </cell>
          <cell r="J91" t="str">
            <v>SPR8</v>
          </cell>
          <cell r="K91" t="str">
            <v>720-1</v>
          </cell>
          <cell r="L91">
            <v>12</v>
          </cell>
          <cell r="M91" t="str">
            <v>OVALIDAD</v>
          </cell>
        </row>
        <row r="92">
          <cell r="A92">
            <v>20230089</v>
          </cell>
          <cell r="B92">
            <v>44932</v>
          </cell>
          <cell r="C92" t="str">
            <v>34324760D</v>
          </cell>
          <cell r="D92" t="str">
            <v>N/A</v>
          </cell>
          <cell r="E92" t="str">
            <v>OVALIDAD</v>
          </cell>
          <cell r="F92" t="str">
            <v>EVELYN ESTUDILLO</v>
          </cell>
          <cell r="G92">
            <v>44932</v>
          </cell>
          <cell r="H92" t="str">
            <v>MAURICIO</v>
          </cell>
          <cell r="I92" t="str">
            <v>PASS</v>
          </cell>
          <cell r="J92" t="str">
            <v>SPR8</v>
          </cell>
          <cell r="K92" t="str">
            <v>720-5</v>
          </cell>
          <cell r="L92">
            <v>12</v>
          </cell>
          <cell r="M92" t="str">
            <v>OVALIDAD</v>
          </cell>
        </row>
        <row r="93">
          <cell r="A93">
            <v>20230090</v>
          </cell>
          <cell r="B93">
            <v>44932</v>
          </cell>
          <cell r="C93" t="str">
            <v>34235234G</v>
          </cell>
          <cell r="D93" t="str">
            <v>N/A</v>
          </cell>
          <cell r="E93" t="str">
            <v>OVALIDAD</v>
          </cell>
          <cell r="F93" t="str">
            <v>EVELYN ESTUDILLO</v>
          </cell>
          <cell r="G93">
            <v>44932</v>
          </cell>
          <cell r="H93" t="str">
            <v>MAURICIO</v>
          </cell>
          <cell r="I93" t="str">
            <v>PASS</v>
          </cell>
          <cell r="J93" t="str">
            <v>SPR8</v>
          </cell>
          <cell r="K93" t="str">
            <v>720-3</v>
          </cell>
          <cell r="L93">
            <v>12</v>
          </cell>
          <cell r="M93" t="str">
            <v>OVALIDAD</v>
          </cell>
        </row>
        <row r="94">
          <cell r="A94">
            <v>20230091</v>
          </cell>
          <cell r="B94">
            <v>44932</v>
          </cell>
          <cell r="C94" t="str">
            <v>34235232G</v>
          </cell>
          <cell r="D94" t="str">
            <v>N/A</v>
          </cell>
          <cell r="E94" t="str">
            <v>CONCENTRICIDAD</v>
          </cell>
          <cell r="F94" t="str">
            <v>AUGUSTO</v>
          </cell>
          <cell r="G94">
            <v>44932</v>
          </cell>
          <cell r="H94" t="str">
            <v>JOSE</v>
          </cell>
          <cell r="I94" t="str">
            <v>PASS</v>
          </cell>
          <cell r="J94" t="str">
            <v>SPR8</v>
          </cell>
          <cell r="K94" t="str">
            <v>720-2</v>
          </cell>
          <cell r="L94">
            <v>6</v>
          </cell>
          <cell r="M94" t="str">
            <v>CONCENTRICIDAD</v>
          </cell>
        </row>
        <row r="95">
          <cell r="A95">
            <v>20230092</v>
          </cell>
          <cell r="B95">
            <v>44932</v>
          </cell>
          <cell r="C95" t="str">
            <v>34235232G</v>
          </cell>
          <cell r="D95" t="str">
            <v>N/A</v>
          </cell>
          <cell r="E95" t="str">
            <v>OVALIDAD</v>
          </cell>
          <cell r="F95" t="str">
            <v>AUGUSTO</v>
          </cell>
          <cell r="G95">
            <v>44932</v>
          </cell>
          <cell r="H95" t="str">
            <v>JOSE</v>
          </cell>
          <cell r="I95" t="str">
            <v>PASS</v>
          </cell>
          <cell r="J95" t="str">
            <v>SPR8</v>
          </cell>
          <cell r="K95" t="str">
            <v>720-2</v>
          </cell>
          <cell r="L95">
            <v>6</v>
          </cell>
          <cell r="M95" t="str">
            <v>OVALIDAD</v>
          </cell>
        </row>
        <row r="96">
          <cell r="A96">
            <v>20230093</v>
          </cell>
          <cell r="B96">
            <v>44932</v>
          </cell>
          <cell r="C96" t="str">
            <v>34324760D</v>
          </cell>
          <cell r="D96" t="str">
            <v>N/A</v>
          </cell>
          <cell r="E96" t="str">
            <v>CONCENTRICIDAD</v>
          </cell>
          <cell r="F96" t="str">
            <v>AUGUSTO</v>
          </cell>
          <cell r="G96">
            <v>44932</v>
          </cell>
          <cell r="H96" t="str">
            <v>ERIC</v>
          </cell>
          <cell r="I96" t="str">
            <v>PASS</v>
          </cell>
          <cell r="J96" t="str">
            <v>SPR8</v>
          </cell>
          <cell r="K96" t="str">
            <v>720-1</v>
          </cell>
          <cell r="L96">
            <v>6</v>
          </cell>
          <cell r="M96" t="str">
            <v>CONCENTRICIDAD</v>
          </cell>
        </row>
        <row r="97">
          <cell r="A97">
            <v>20230094</v>
          </cell>
          <cell r="B97">
            <v>44932</v>
          </cell>
          <cell r="C97" t="str">
            <v>34324760D</v>
          </cell>
          <cell r="D97" t="str">
            <v>N/A</v>
          </cell>
          <cell r="E97" t="str">
            <v>OVALIDAD</v>
          </cell>
          <cell r="F97" t="str">
            <v>AUGUSTO</v>
          </cell>
          <cell r="G97">
            <v>44932</v>
          </cell>
          <cell r="H97" t="str">
            <v>ERIC</v>
          </cell>
          <cell r="I97" t="str">
            <v>PASS</v>
          </cell>
          <cell r="J97" t="str">
            <v>SPR8</v>
          </cell>
          <cell r="K97" t="str">
            <v>720-1</v>
          </cell>
          <cell r="L97">
            <v>6</v>
          </cell>
          <cell r="M97" t="str">
            <v>OVALIDAD</v>
          </cell>
        </row>
        <row r="98">
          <cell r="A98">
            <v>20230095</v>
          </cell>
          <cell r="B98">
            <v>44932</v>
          </cell>
          <cell r="C98" t="str">
            <v>34301420B</v>
          </cell>
          <cell r="D98" t="str">
            <v>N/A</v>
          </cell>
          <cell r="E98" t="str">
            <v>QA#37,41,42,45</v>
          </cell>
          <cell r="F98" t="str">
            <v>ANA</v>
          </cell>
          <cell r="G98">
            <v>44932</v>
          </cell>
          <cell r="H98" t="str">
            <v>ERNESTO</v>
          </cell>
          <cell r="I98" t="str">
            <v>PASS</v>
          </cell>
          <cell r="J98"/>
          <cell r="K98" t="str">
            <v>702-5</v>
          </cell>
          <cell r="L98">
            <v>30</v>
          </cell>
          <cell r="M98" t="str">
            <v>QA#37,41,42,45</v>
          </cell>
        </row>
        <row r="99">
          <cell r="A99">
            <v>20230096</v>
          </cell>
          <cell r="B99">
            <v>44933</v>
          </cell>
          <cell r="C99" t="str">
            <v>34111961ADSF</v>
          </cell>
          <cell r="D99">
            <v>12222022</v>
          </cell>
          <cell r="E99" t="str">
            <v xml:space="preserve">Conforme al rip </v>
          </cell>
          <cell r="F99" t="str">
            <v>Nuevos programas</v>
          </cell>
          <cell r="G99">
            <v>44933</v>
          </cell>
          <cell r="H99" t="str">
            <v xml:space="preserve">Adela </v>
          </cell>
          <cell r="I99" t="str">
            <v>NO PASS</v>
          </cell>
          <cell r="J99" t="str">
            <v>N/A</v>
          </cell>
          <cell r="K99" t="str">
            <v>N/A</v>
          </cell>
          <cell r="L99">
            <v>300</v>
          </cell>
          <cell r="M99" t="str">
            <v>N/A</v>
          </cell>
        </row>
        <row r="100">
          <cell r="A100">
            <v>20230097</v>
          </cell>
          <cell r="B100">
            <v>44933</v>
          </cell>
          <cell r="C100" t="str">
            <v>34282568B</v>
          </cell>
          <cell r="D100">
            <v>502</v>
          </cell>
          <cell r="E100">
            <v>65</v>
          </cell>
          <cell r="F100" t="str">
            <v>VICTOR MIRANDA</v>
          </cell>
          <cell r="G100">
            <v>44933</v>
          </cell>
          <cell r="H100" t="str">
            <v>MAURICIO</v>
          </cell>
          <cell r="I100" t="str">
            <v>NO PASS</v>
          </cell>
          <cell r="J100" t="str">
            <v>N/A</v>
          </cell>
          <cell r="K100" t="str">
            <v>PROTO GAGE</v>
          </cell>
          <cell r="L100">
            <v>60</v>
          </cell>
          <cell r="M100" t="str">
            <v>PLANO MARCADO</v>
          </cell>
        </row>
        <row r="101">
          <cell r="A101">
            <v>20230098</v>
          </cell>
          <cell r="B101">
            <v>44935</v>
          </cell>
          <cell r="C101" t="str">
            <v>34111961AGMB</v>
          </cell>
          <cell r="D101">
            <v>12222022</v>
          </cell>
          <cell r="E101" t="str">
            <v xml:space="preserve">Conforme al rip </v>
          </cell>
          <cell r="F101" t="str">
            <v>Nuevos programas</v>
          </cell>
          <cell r="G101">
            <v>44935</v>
          </cell>
          <cell r="H101" t="str">
            <v xml:space="preserve">Adela </v>
          </cell>
          <cell r="I101" t="str">
            <v>NO PASS</v>
          </cell>
          <cell r="J101" t="str">
            <v>n/a</v>
          </cell>
          <cell r="K101" t="str">
            <v>n/a</v>
          </cell>
          <cell r="L101">
            <v>300</v>
          </cell>
          <cell r="M101" t="str">
            <v>N/A</v>
          </cell>
        </row>
        <row r="102">
          <cell r="A102">
            <v>20230099</v>
          </cell>
          <cell r="B102">
            <v>44935</v>
          </cell>
          <cell r="C102" t="str">
            <v>A022L891A</v>
          </cell>
          <cell r="D102" t="str">
            <v>N/A</v>
          </cell>
          <cell r="E102" t="str">
            <v>11,12,13,15</v>
          </cell>
          <cell r="F102" t="str">
            <v>Laura Castillo</v>
          </cell>
          <cell r="G102">
            <v>44935</v>
          </cell>
          <cell r="H102" t="str">
            <v>Nohemi</v>
          </cell>
          <cell r="I102" t="str">
            <v>PASS</v>
          </cell>
          <cell r="J102" t="str">
            <v>SPR8</v>
          </cell>
          <cell r="K102" t="str">
            <v>714-6</v>
          </cell>
          <cell r="L102" t="str">
            <v>4 PCS</v>
          </cell>
          <cell r="M102"/>
        </row>
        <row r="103">
          <cell r="A103">
            <v>20230100</v>
          </cell>
          <cell r="B103">
            <v>44935</v>
          </cell>
          <cell r="C103" t="str">
            <v>34301420B</v>
          </cell>
          <cell r="D103" t="str">
            <v>N/A</v>
          </cell>
          <cell r="E103" t="str">
            <v>37,41,42,45</v>
          </cell>
          <cell r="F103" t="str">
            <v>Gabriel Ramos</v>
          </cell>
          <cell r="G103">
            <v>44935</v>
          </cell>
          <cell r="H103" t="str">
            <v>Nohemi</v>
          </cell>
          <cell r="I103" t="str">
            <v>NO PASS</v>
          </cell>
          <cell r="J103" t="str">
            <v>SPR4</v>
          </cell>
          <cell r="K103" t="str">
            <v>702-5</v>
          </cell>
          <cell r="L103" t="str">
            <v>30 PCS</v>
          </cell>
          <cell r="M103"/>
        </row>
        <row r="104">
          <cell r="A104">
            <v>20230101</v>
          </cell>
          <cell r="B104">
            <v>44935</v>
          </cell>
          <cell r="C104" t="str">
            <v>A023T781A</v>
          </cell>
          <cell r="D104" t="str">
            <v>N/A</v>
          </cell>
          <cell r="E104" t="str">
            <v>Z ( 0° ± 10°)</v>
          </cell>
          <cell r="F104" t="str">
            <v>Laura Castillo</v>
          </cell>
          <cell r="G104">
            <v>44935</v>
          </cell>
          <cell r="H104" t="str">
            <v>MAURICIO</v>
          </cell>
          <cell r="I104" t="str">
            <v>PASS</v>
          </cell>
          <cell r="J104" t="str">
            <v>T1XX</v>
          </cell>
          <cell r="K104" t="str">
            <v>720-6</v>
          </cell>
          <cell r="L104">
            <v>1</v>
          </cell>
          <cell r="M104" t="str">
            <v>A0053W1860A-A</v>
          </cell>
        </row>
        <row r="105">
          <cell r="A105">
            <v>20230102</v>
          </cell>
          <cell r="B105">
            <v>44935</v>
          </cell>
          <cell r="C105" t="str">
            <v>34138931B</v>
          </cell>
          <cell r="D105">
            <v>75</v>
          </cell>
          <cell r="E105" t="str">
            <v xml:space="preserve">Conforme al rip </v>
          </cell>
          <cell r="F105" t="str">
            <v>Nuevos programas</v>
          </cell>
          <cell r="G105">
            <v>44935</v>
          </cell>
          <cell r="H105" t="str">
            <v xml:space="preserve">Adela </v>
          </cell>
          <cell r="I105" t="str">
            <v>PASS</v>
          </cell>
          <cell r="J105" t="str">
            <v>N/A</v>
          </cell>
          <cell r="K105" t="str">
            <v>N/A</v>
          </cell>
          <cell r="L105">
            <v>216</v>
          </cell>
          <cell r="M105" t="str">
            <v>N/A</v>
          </cell>
        </row>
        <row r="106">
          <cell r="A106">
            <v>20230103</v>
          </cell>
          <cell r="B106">
            <v>44935</v>
          </cell>
          <cell r="C106" t="str">
            <v>34235233G</v>
          </cell>
          <cell r="D106" t="str">
            <v>N/A</v>
          </cell>
          <cell r="E106" t="str">
            <v>CONCENTRICIDAD</v>
          </cell>
          <cell r="F106" t="str">
            <v>EVELYN ESTUDILLO</v>
          </cell>
          <cell r="G106">
            <v>44935</v>
          </cell>
          <cell r="H106" t="str">
            <v>MAURICIO</v>
          </cell>
          <cell r="I106" t="str">
            <v>PASS</v>
          </cell>
          <cell r="J106" t="str">
            <v>SPR8</v>
          </cell>
          <cell r="K106" t="str">
            <v>720-2</v>
          </cell>
          <cell r="L106">
            <v>12</v>
          </cell>
          <cell r="M106" t="str">
            <v>CONCENTRICIDAD</v>
          </cell>
        </row>
        <row r="107">
          <cell r="A107">
            <v>20230104</v>
          </cell>
          <cell r="B107">
            <v>44935</v>
          </cell>
          <cell r="C107" t="str">
            <v>34324759E</v>
          </cell>
          <cell r="D107" t="str">
            <v>N/A</v>
          </cell>
          <cell r="E107" t="str">
            <v>CONCENTRICIDAD</v>
          </cell>
          <cell r="F107" t="str">
            <v>EVELYN ESTUDILLO</v>
          </cell>
          <cell r="G107">
            <v>44935</v>
          </cell>
          <cell r="H107" t="str">
            <v>MAURICIO</v>
          </cell>
          <cell r="I107" t="str">
            <v>PASS</v>
          </cell>
          <cell r="J107" t="str">
            <v>SPR8</v>
          </cell>
          <cell r="K107" t="str">
            <v>720-5</v>
          </cell>
          <cell r="L107">
            <v>12</v>
          </cell>
          <cell r="M107" t="str">
            <v>CONCENTRICIDAD</v>
          </cell>
        </row>
        <row r="108">
          <cell r="A108">
            <v>20230105</v>
          </cell>
          <cell r="B108">
            <v>44935</v>
          </cell>
          <cell r="C108" t="str">
            <v>34235234G</v>
          </cell>
          <cell r="D108" t="str">
            <v>N/A</v>
          </cell>
          <cell r="E108" t="str">
            <v>CONCENTRICIDAD</v>
          </cell>
          <cell r="F108" t="str">
            <v>EVELYN ESTUDILLO</v>
          </cell>
          <cell r="G108">
            <v>44935</v>
          </cell>
          <cell r="H108" t="str">
            <v>MAURICIO</v>
          </cell>
          <cell r="I108" t="str">
            <v>PASS</v>
          </cell>
          <cell r="J108" t="str">
            <v>SPR8</v>
          </cell>
          <cell r="K108" t="str">
            <v>720-3</v>
          </cell>
          <cell r="L108">
            <v>12</v>
          </cell>
          <cell r="M108" t="str">
            <v>CONCENTRICIDAD</v>
          </cell>
        </row>
        <row r="109">
          <cell r="A109">
            <v>20230106</v>
          </cell>
          <cell r="B109">
            <v>44935</v>
          </cell>
          <cell r="C109" t="str">
            <v>34324760D</v>
          </cell>
          <cell r="D109" t="str">
            <v>N/A</v>
          </cell>
          <cell r="E109" t="str">
            <v>CONCENTRICIDAD</v>
          </cell>
          <cell r="F109" t="str">
            <v>EVELYN ESTUDILLO</v>
          </cell>
          <cell r="G109">
            <v>44935</v>
          </cell>
          <cell r="H109" t="str">
            <v>MAURICIO</v>
          </cell>
          <cell r="I109" t="str">
            <v>PASS</v>
          </cell>
          <cell r="J109" t="str">
            <v>SPR8</v>
          </cell>
          <cell r="K109" t="str">
            <v>720-1</v>
          </cell>
          <cell r="L109">
            <v>12</v>
          </cell>
          <cell r="M109" t="str">
            <v>CONCENTRICIDAD</v>
          </cell>
        </row>
        <row r="110">
          <cell r="A110">
            <v>20230107</v>
          </cell>
          <cell r="B110">
            <v>44935</v>
          </cell>
          <cell r="C110" t="str">
            <v>34361271A</v>
          </cell>
          <cell r="D110" t="str">
            <v>N/A</v>
          </cell>
          <cell r="E110" t="str">
            <v>OVALIDAD CONCENTRICIDAD</v>
          </cell>
          <cell r="F110" t="str">
            <v>EVELYN ESTUDILLO</v>
          </cell>
          <cell r="G110">
            <v>44935</v>
          </cell>
          <cell r="H110" t="str">
            <v>MAURICIO</v>
          </cell>
          <cell r="I110" t="str">
            <v>PASS</v>
          </cell>
          <cell r="J110" t="str">
            <v>SPR8</v>
          </cell>
          <cell r="K110" t="str">
            <v>720-4</v>
          </cell>
          <cell r="L110">
            <v>12</v>
          </cell>
          <cell r="M110" t="str">
            <v>VALIDACION CONCENTRICIDAD</v>
          </cell>
        </row>
        <row r="111">
          <cell r="A111">
            <v>20230108</v>
          </cell>
          <cell r="B111">
            <v>44935</v>
          </cell>
          <cell r="C111" t="str">
            <v>34235233G</v>
          </cell>
          <cell r="D111" t="str">
            <v>N/A</v>
          </cell>
          <cell r="E111" t="str">
            <v>OVALIDAD</v>
          </cell>
          <cell r="F111" t="str">
            <v>EVELYN ESTUDILLO</v>
          </cell>
          <cell r="G111">
            <v>44935</v>
          </cell>
          <cell r="H111" t="str">
            <v>MAURICIO</v>
          </cell>
          <cell r="I111" t="str">
            <v>PASS</v>
          </cell>
          <cell r="J111" t="str">
            <v>SPR8</v>
          </cell>
          <cell r="K111" t="str">
            <v>720-2</v>
          </cell>
          <cell r="L111">
            <v>12</v>
          </cell>
          <cell r="M111" t="str">
            <v>OVALIDAD</v>
          </cell>
        </row>
        <row r="112">
          <cell r="A112">
            <v>20230109</v>
          </cell>
          <cell r="B112">
            <v>44935</v>
          </cell>
          <cell r="C112" t="str">
            <v>34324759E</v>
          </cell>
          <cell r="D112" t="str">
            <v>N/A</v>
          </cell>
          <cell r="E112" t="str">
            <v>OVALIDAD</v>
          </cell>
          <cell r="F112" t="str">
            <v>EVELYN ESTUDILLO</v>
          </cell>
          <cell r="G112">
            <v>44935</v>
          </cell>
          <cell r="H112" t="str">
            <v>MAURICIO</v>
          </cell>
          <cell r="I112" t="str">
            <v>PASS</v>
          </cell>
          <cell r="J112" t="str">
            <v>SPR8</v>
          </cell>
          <cell r="K112" t="str">
            <v>720-5</v>
          </cell>
          <cell r="L112">
            <v>12</v>
          </cell>
          <cell r="M112" t="str">
            <v>OVALIDAD</v>
          </cell>
        </row>
        <row r="113">
          <cell r="A113">
            <v>20230110</v>
          </cell>
          <cell r="B113">
            <v>44935</v>
          </cell>
          <cell r="C113" t="str">
            <v>34235234G</v>
          </cell>
          <cell r="D113" t="str">
            <v>N/A</v>
          </cell>
          <cell r="E113" t="str">
            <v>OVALIDAD</v>
          </cell>
          <cell r="F113" t="str">
            <v>EVELYN ESTUDILLO</v>
          </cell>
          <cell r="G113">
            <v>44935</v>
          </cell>
          <cell r="H113" t="str">
            <v>MAURICIO</v>
          </cell>
          <cell r="I113" t="str">
            <v>PASS</v>
          </cell>
          <cell r="J113" t="str">
            <v>SPR8</v>
          </cell>
          <cell r="K113" t="str">
            <v>720-3</v>
          </cell>
          <cell r="L113">
            <v>12</v>
          </cell>
          <cell r="M113" t="str">
            <v>OVALIDAD</v>
          </cell>
        </row>
        <row r="114">
          <cell r="A114">
            <v>20230111</v>
          </cell>
          <cell r="B114">
            <v>44935</v>
          </cell>
          <cell r="C114" t="str">
            <v>34324760D</v>
          </cell>
          <cell r="D114" t="str">
            <v>N/A</v>
          </cell>
          <cell r="E114" t="str">
            <v>OVALIDAD</v>
          </cell>
          <cell r="F114" t="str">
            <v>EVELYN ESTUDILLO</v>
          </cell>
          <cell r="G114">
            <v>44935</v>
          </cell>
          <cell r="H114" t="str">
            <v>MAURICIO</v>
          </cell>
          <cell r="I114" t="str">
            <v>PASS</v>
          </cell>
          <cell r="J114" t="str">
            <v>SPR8</v>
          </cell>
          <cell r="K114" t="str">
            <v>720-1</v>
          </cell>
          <cell r="L114">
            <v>12</v>
          </cell>
          <cell r="M114" t="str">
            <v>OVALIDAD</v>
          </cell>
        </row>
        <row r="115">
          <cell r="A115">
            <v>20230112</v>
          </cell>
          <cell r="B115">
            <v>44935</v>
          </cell>
          <cell r="C115" t="str">
            <v>34361271A</v>
          </cell>
          <cell r="D115" t="str">
            <v>N/A</v>
          </cell>
          <cell r="E115" t="str">
            <v>VALIDACION OVALIDAD</v>
          </cell>
          <cell r="F115" t="str">
            <v>EVELYN ESTUDILLO</v>
          </cell>
          <cell r="G115">
            <v>44935</v>
          </cell>
          <cell r="H115" t="str">
            <v>MAURICIO</v>
          </cell>
          <cell r="I115" t="str">
            <v>PASS</v>
          </cell>
          <cell r="J115" t="str">
            <v>SPR8</v>
          </cell>
          <cell r="K115" t="str">
            <v>720-4</v>
          </cell>
          <cell r="L115">
            <v>12</v>
          </cell>
          <cell r="M115" t="str">
            <v>VALIDACION OVALIDAD</v>
          </cell>
        </row>
        <row r="116">
          <cell r="A116">
            <v>20230113</v>
          </cell>
          <cell r="B116">
            <v>44935</v>
          </cell>
          <cell r="C116" t="str">
            <v>34285576C</v>
          </cell>
          <cell r="D116" t="str">
            <v>N/A</v>
          </cell>
          <cell r="E116" t="str">
            <v>3,8,76,103</v>
          </cell>
          <cell r="F116" t="str">
            <v>Laura Castillo</v>
          </cell>
          <cell r="G116">
            <v>44935</v>
          </cell>
          <cell r="H116" t="str">
            <v>Nohemi</v>
          </cell>
          <cell r="I116" t="str">
            <v>NO PASS</v>
          </cell>
          <cell r="J116" t="str">
            <v>SPR8</v>
          </cell>
          <cell r="K116" t="str">
            <v>716-3</v>
          </cell>
          <cell r="L116" t="str">
            <v>7 PCS</v>
          </cell>
          <cell r="M116" t="str">
            <v>Proveedor, cavidades y lotes especificos</v>
          </cell>
        </row>
        <row r="117">
          <cell r="A117">
            <v>20230114</v>
          </cell>
          <cell r="B117">
            <v>44935</v>
          </cell>
          <cell r="C117" t="str">
            <v>34324760D</v>
          </cell>
          <cell r="D117" t="str">
            <v>N/A</v>
          </cell>
          <cell r="E117" t="str">
            <v>CONCENTRICIDAD</v>
          </cell>
          <cell r="F117" t="str">
            <v>AUGUSTO</v>
          </cell>
          <cell r="G117">
            <v>44935</v>
          </cell>
          <cell r="H117" t="str">
            <v>ERNESTO</v>
          </cell>
          <cell r="I117" t="str">
            <v>PASS</v>
          </cell>
          <cell r="J117" t="str">
            <v>SPR8</v>
          </cell>
          <cell r="K117" t="str">
            <v>720-1</v>
          </cell>
          <cell r="L117">
            <v>12</v>
          </cell>
          <cell r="M117" t="str">
            <v>CONCENTRICIDAD</v>
          </cell>
        </row>
        <row r="118">
          <cell r="A118">
            <v>20230115</v>
          </cell>
          <cell r="B118">
            <v>44935</v>
          </cell>
          <cell r="C118" t="str">
            <v>34324760D</v>
          </cell>
          <cell r="D118" t="str">
            <v>N/A</v>
          </cell>
          <cell r="E118" t="str">
            <v>OVALIDAD</v>
          </cell>
          <cell r="F118" t="str">
            <v>AUGUSTO</v>
          </cell>
          <cell r="G118">
            <v>44935</v>
          </cell>
          <cell r="H118" t="str">
            <v>ERNESTO</v>
          </cell>
          <cell r="I118" t="str">
            <v>PASS</v>
          </cell>
          <cell r="J118" t="str">
            <v>SPR8</v>
          </cell>
          <cell r="K118" t="str">
            <v>720-1</v>
          </cell>
          <cell r="L118">
            <v>12</v>
          </cell>
          <cell r="M118" t="str">
            <v>OVALIDAD</v>
          </cell>
        </row>
        <row r="119">
          <cell r="A119">
            <v>20230116</v>
          </cell>
          <cell r="B119">
            <v>44935</v>
          </cell>
          <cell r="C119" t="str">
            <v>34235232G</v>
          </cell>
          <cell r="D119" t="str">
            <v>N/A</v>
          </cell>
          <cell r="E119" t="str">
            <v>CONCENTRICIDAD</v>
          </cell>
          <cell r="F119" t="str">
            <v>AUGUSTO</v>
          </cell>
          <cell r="G119">
            <v>44935</v>
          </cell>
          <cell r="H119" t="str">
            <v>ERNESTO</v>
          </cell>
          <cell r="I119" t="str">
            <v>PASS</v>
          </cell>
          <cell r="J119" t="str">
            <v>SPR8</v>
          </cell>
          <cell r="K119" t="str">
            <v>720-2</v>
          </cell>
          <cell r="L119">
            <v>12</v>
          </cell>
          <cell r="M119" t="str">
            <v>CONCENTRICIDAD</v>
          </cell>
        </row>
        <row r="120">
          <cell r="A120">
            <v>20230117</v>
          </cell>
          <cell r="B120">
            <v>44935</v>
          </cell>
          <cell r="C120" t="str">
            <v>34235232G</v>
          </cell>
          <cell r="D120" t="str">
            <v>N/A</v>
          </cell>
          <cell r="E120" t="str">
            <v>OVALIDAD</v>
          </cell>
          <cell r="F120" t="str">
            <v>AUGUSTO</v>
          </cell>
          <cell r="G120">
            <v>44935</v>
          </cell>
          <cell r="H120" t="str">
            <v>ERNESTO</v>
          </cell>
          <cell r="I120" t="str">
            <v>PASS</v>
          </cell>
          <cell r="J120" t="str">
            <v>SPR8</v>
          </cell>
          <cell r="K120" t="str">
            <v>720-2</v>
          </cell>
          <cell r="L120">
            <v>12</v>
          </cell>
          <cell r="M120" t="str">
            <v>OVALIDAD</v>
          </cell>
        </row>
        <row r="121">
          <cell r="A121">
            <v>20230118</v>
          </cell>
          <cell r="B121">
            <v>44935</v>
          </cell>
          <cell r="C121" t="str">
            <v>34235234G</v>
          </cell>
          <cell r="D121" t="str">
            <v>N/A</v>
          </cell>
          <cell r="E121" t="str">
            <v>CONCENTRICIDAD</v>
          </cell>
          <cell r="F121" t="str">
            <v>AUGUSTO</v>
          </cell>
          <cell r="G121">
            <v>44935</v>
          </cell>
          <cell r="H121" t="str">
            <v>ERNESTO</v>
          </cell>
          <cell r="I121" t="str">
            <v>PASS</v>
          </cell>
          <cell r="J121" t="str">
            <v>SPR8</v>
          </cell>
          <cell r="K121" t="str">
            <v>720-3</v>
          </cell>
          <cell r="L121">
            <v>12</v>
          </cell>
          <cell r="M121" t="str">
            <v>CONCENTRICIDAD</v>
          </cell>
        </row>
        <row r="122">
          <cell r="A122">
            <v>20230119</v>
          </cell>
          <cell r="B122">
            <v>44935</v>
          </cell>
          <cell r="C122" t="str">
            <v>34235234G</v>
          </cell>
          <cell r="D122" t="str">
            <v>N/A</v>
          </cell>
          <cell r="E122" t="str">
            <v>OVALIDAD</v>
          </cell>
          <cell r="F122" t="str">
            <v>AUGUSTO</v>
          </cell>
          <cell r="G122">
            <v>44935</v>
          </cell>
          <cell r="H122" t="str">
            <v>ERNESTO</v>
          </cell>
          <cell r="I122" t="str">
            <v>PASS</v>
          </cell>
          <cell r="J122" t="str">
            <v>SPR8</v>
          </cell>
          <cell r="K122" t="str">
            <v>720-3</v>
          </cell>
          <cell r="L122">
            <v>12</v>
          </cell>
          <cell r="M122" t="str">
            <v>OVALIDAD</v>
          </cell>
        </row>
        <row r="123">
          <cell r="A123">
            <v>20230120</v>
          </cell>
          <cell r="B123">
            <v>44935</v>
          </cell>
          <cell r="C123" t="str">
            <v>34324759E</v>
          </cell>
          <cell r="D123" t="str">
            <v>N/A</v>
          </cell>
          <cell r="E123" t="str">
            <v>CONCENTRICIDAD</v>
          </cell>
          <cell r="F123" t="str">
            <v>AUGUSTO</v>
          </cell>
          <cell r="G123">
            <v>44935</v>
          </cell>
          <cell r="H123" t="str">
            <v>ERNESTO</v>
          </cell>
          <cell r="I123" t="str">
            <v>PASS</v>
          </cell>
          <cell r="J123" t="str">
            <v>SPR8</v>
          </cell>
          <cell r="K123" t="str">
            <v>720-5</v>
          </cell>
          <cell r="L123">
            <v>12</v>
          </cell>
          <cell r="M123" t="str">
            <v>CONCENTRICIDAD</v>
          </cell>
        </row>
        <row r="124">
          <cell r="A124">
            <v>20230121</v>
          </cell>
          <cell r="B124">
            <v>44935</v>
          </cell>
          <cell r="C124" t="str">
            <v>34324759E</v>
          </cell>
          <cell r="D124" t="str">
            <v>N/A</v>
          </cell>
          <cell r="E124" t="str">
            <v>OVALIDAD</v>
          </cell>
          <cell r="F124" t="str">
            <v>AUGUSTO</v>
          </cell>
          <cell r="G124">
            <v>44935</v>
          </cell>
          <cell r="H124" t="str">
            <v>ERNESTO</v>
          </cell>
          <cell r="I124" t="str">
            <v>PASS</v>
          </cell>
          <cell r="J124" t="str">
            <v>SPR8</v>
          </cell>
          <cell r="K124" t="str">
            <v>720-5</v>
          </cell>
          <cell r="L124">
            <v>12</v>
          </cell>
          <cell r="M124" t="str">
            <v>OVALIDAD</v>
          </cell>
        </row>
        <row r="125">
          <cell r="A125">
            <v>20230122</v>
          </cell>
          <cell r="B125">
            <v>44935</v>
          </cell>
          <cell r="C125" t="str">
            <v>A020R620A</v>
          </cell>
          <cell r="D125" t="str">
            <v>N/A</v>
          </cell>
          <cell r="E125" t="str">
            <v>CONCENTRICIDAD</v>
          </cell>
          <cell r="F125" t="str">
            <v>AUGUSTO</v>
          </cell>
          <cell r="G125">
            <v>44935</v>
          </cell>
          <cell r="H125" t="str">
            <v>ERNESTO</v>
          </cell>
          <cell r="I125" t="str">
            <v>PASS</v>
          </cell>
          <cell r="J125" t="str">
            <v>SPR8</v>
          </cell>
          <cell r="K125" t="str">
            <v>720-6</v>
          </cell>
          <cell r="L125">
            <v>12</v>
          </cell>
          <cell r="M125" t="str">
            <v>CONCENTRICIDAD</v>
          </cell>
        </row>
        <row r="126">
          <cell r="A126">
            <v>20230123</v>
          </cell>
          <cell r="B126">
            <v>44935</v>
          </cell>
          <cell r="C126" t="str">
            <v>A020R620A</v>
          </cell>
          <cell r="D126" t="str">
            <v>N/A</v>
          </cell>
          <cell r="E126" t="str">
            <v>OVALIDAD</v>
          </cell>
          <cell r="F126" t="str">
            <v>AUGUSTO</v>
          </cell>
          <cell r="G126">
            <v>44935</v>
          </cell>
          <cell r="H126" t="str">
            <v>ERNESTO</v>
          </cell>
          <cell r="I126" t="str">
            <v>PASS</v>
          </cell>
          <cell r="J126" t="str">
            <v>SPR8</v>
          </cell>
          <cell r="K126" t="str">
            <v>720-6</v>
          </cell>
          <cell r="L126">
            <v>12</v>
          </cell>
          <cell r="M126" t="str">
            <v>OVALIDAD</v>
          </cell>
        </row>
        <row r="127">
          <cell r="A127">
            <v>20230124</v>
          </cell>
          <cell r="B127">
            <v>44935</v>
          </cell>
          <cell r="C127" t="str">
            <v>34242909A</v>
          </cell>
          <cell r="D127">
            <v>2234034811</v>
          </cell>
          <cell r="E127" t="str">
            <v>22 23 24</v>
          </cell>
          <cell r="F127" t="str">
            <v>Jesus sampayo</v>
          </cell>
          <cell r="G127">
            <v>44936</v>
          </cell>
          <cell r="H127" t="str">
            <v>MAURICIO</v>
          </cell>
          <cell r="I127" t="str">
            <v>PASS</v>
          </cell>
          <cell r="J127" t="str">
            <v>N/A</v>
          </cell>
          <cell r="K127" t="str">
            <v>N/A</v>
          </cell>
          <cell r="L127">
            <v>8</v>
          </cell>
          <cell r="M127" t="str">
            <v>PLANO MARCADO</v>
          </cell>
        </row>
        <row r="128">
          <cell r="A128">
            <v>20230125</v>
          </cell>
          <cell r="B128">
            <v>44936</v>
          </cell>
          <cell r="C128" t="str">
            <v>34185550F</v>
          </cell>
          <cell r="D128" t="str">
            <v>N/A</v>
          </cell>
          <cell r="E128">
            <v>250</v>
          </cell>
          <cell r="F128" t="str">
            <v>NICOLAS MENDOZA</v>
          </cell>
          <cell r="G128">
            <v>44936</v>
          </cell>
          <cell r="H128" t="str">
            <v>MAURICIO</v>
          </cell>
          <cell r="I128" t="str">
            <v>NO PASS</v>
          </cell>
          <cell r="J128" t="str">
            <v>N/A</v>
          </cell>
          <cell r="K128" t="str">
            <v>GETAC</v>
          </cell>
          <cell r="L128">
            <v>2</v>
          </cell>
          <cell r="M128" t="str">
            <v>PLANO MARCADO</v>
          </cell>
        </row>
        <row r="129">
          <cell r="A129">
            <v>20230126</v>
          </cell>
          <cell r="B129">
            <v>44936</v>
          </cell>
          <cell r="C129" t="str">
            <v>DWG 3B</v>
          </cell>
          <cell r="D129" t="str">
            <v>N/A</v>
          </cell>
          <cell r="E129" t="str">
            <v>A,B</v>
          </cell>
          <cell r="F129" t="str">
            <v>Jesus sampayo</v>
          </cell>
          <cell r="G129">
            <v>44936</v>
          </cell>
          <cell r="H129" t="str">
            <v>MAURICIO</v>
          </cell>
          <cell r="I129" t="str">
            <v>NO PASS</v>
          </cell>
          <cell r="J129" t="str">
            <v>N/A</v>
          </cell>
          <cell r="K129">
            <v>462</v>
          </cell>
          <cell r="L129">
            <v>1</v>
          </cell>
          <cell r="M129" t="str">
            <v>PLANO MARCADO</v>
          </cell>
        </row>
        <row r="130">
          <cell r="A130">
            <v>20230127</v>
          </cell>
          <cell r="B130">
            <v>44936</v>
          </cell>
          <cell r="C130" t="str">
            <v>34338096A</v>
          </cell>
          <cell r="D130">
            <v>4</v>
          </cell>
          <cell r="E130" t="str">
            <v xml:space="preserve">Conforme al rip </v>
          </cell>
          <cell r="F130" t="str">
            <v>Nuevos programas</v>
          </cell>
          <cell r="G130">
            <v>44936</v>
          </cell>
          <cell r="H130" t="str">
            <v xml:space="preserve">Adela </v>
          </cell>
          <cell r="I130" t="str">
            <v>PASS</v>
          </cell>
          <cell r="J130" t="str">
            <v>N/A</v>
          </cell>
          <cell r="K130" t="str">
            <v>N/A</v>
          </cell>
          <cell r="L130">
            <v>96</v>
          </cell>
          <cell r="M130" t="str">
            <v>N/A</v>
          </cell>
        </row>
        <row r="131">
          <cell r="A131">
            <v>20230128</v>
          </cell>
          <cell r="B131">
            <v>44936</v>
          </cell>
          <cell r="C131" t="str">
            <v>34296437C</v>
          </cell>
          <cell r="D131" t="str">
            <v>N/A</v>
          </cell>
          <cell r="E131" t="str">
            <v>CONCENTRICIDAD</v>
          </cell>
          <cell r="F131" t="str">
            <v>EVELYN ESTUDILLO</v>
          </cell>
          <cell r="G131">
            <v>44936</v>
          </cell>
          <cell r="H131" t="str">
            <v>MAURICIO</v>
          </cell>
          <cell r="I131" t="str">
            <v>PASS</v>
          </cell>
          <cell r="J131" t="str">
            <v>SPR8</v>
          </cell>
          <cell r="K131" t="str">
            <v>720-1</v>
          </cell>
          <cell r="L131">
            <v>12</v>
          </cell>
          <cell r="M131" t="str">
            <v>CONCENTRICIDAD</v>
          </cell>
        </row>
        <row r="132">
          <cell r="A132">
            <v>20230129</v>
          </cell>
          <cell r="B132">
            <v>44936</v>
          </cell>
          <cell r="C132" t="str">
            <v>34324760D</v>
          </cell>
          <cell r="D132" t="str">
            <v>N/A</v>
          </cell>
          <cell r="E132" t="str">
            <v>CONCENTRICIDAD</v>
          </cell>
          <cell r="F132" t="str">
            <v>EVELYN ESTUDILLO</v>
          </cell>
          <cell r="G132">
            <v>44936</v>
          </cell>
          <cell r="H132" t="str">
            <v>MAURICIO</v>
          </cell>
          <cell r="I132" t="str">
            <v>PASS</v>
          </cell>
          <cell r="J132" t="str">
            <v>SPR8</v>
          </cell>
          <cell r="K132" t="str">
            <v>720-5</v>
          </cell>
          <cell r="L132">
            <v>12</v>
          </cell>
          <cell r="M132" t="str">
            <v>CONCENTRICIDAD</v>
          </cell>
        </row>
        <row r="133">
          <cell r="A133">
            <v>20230130</v>
          </cell>
          <cell r="B133">
            <v>44936</v>
          </cell>
          <cell r="C133" t="str">
            <v>34235233G</v>
          </cell>
          <cell r="D133" t="str">
            <v>N/A</v>
          </cell>
          <cell r="E133" t="str">
            <v>CONCENTRICIDAD</v>
          </cell>
          <cell r="F133" t="str">
            <v>EVELYN ESTUDILLO</v>
          </cell>
          <cell r="G133">
            <v>44936</v>
          </cell>
          <cell r="H133" t="str">
            <v>MAURICIO</v>
          </cell>
          <cell r="I133" t="str">
            <v>PASS</v>
          </cell>
          <cell r="J133" t="str">
            <v>SPR8</v>
          </cell>
          <cell r="K133" t="str">
            <v>720-3</v>
          </cell>
          <cell r="L133">
            <v>12</v>
          </cell>
          <cell r="M133" t="str">
            <v>CONCENTRICIDAD</v>
          </cell>
        </row>
        <row r="134">
          <cell r="A134">
            <v>20230131</v>
          </cell>
          <cell r="B134">
            <v>44936</v>
          </cell>
          <cell r="C134" t="str">
            <v>A020R620A</v>
          </cell>
          <cell r="D134" t="str">
            <v>N/A</v>
          </cell>
          <cell r="E134" t="str">
            <v>CONCENTRICIDAD</v>
          </cell>
          <cell r="F134" t="str">
            <v>EVELYN ESTUDILLO</v>
          </cell>
          <cell r="G134">
            <v>44936</v>
          </cell>
          <cell r="H134" t="str">
            <v>MAURICIO</v>
          </cell>
          <cell r="I134" t="str">
            <v>PASS</v>
          </cell>
          <cell r="J134" t="str">
            <v>SPR8</v>
          </cell>
          <cell r="K134" t="str">
            <v>720-6</v>
          </cell>
          <cell r="L134">
            <v>12</v>
          </cell>
          <cell r="M134" t="str">
            <v>CONCENTRICIDAD</v>
          </cell>
        </row>
        <row r="135">
          <cell r="A135">
            <v>20230132</v>
          </cell>
          <cell r="B135">
            <v>44936</v>
          </cell>
          <cell r="C135" t="str">
            <v>34296441C</v>
          </cell>
          <cell r="D135" t="str">
            <v>N/A</v>
          </cell>
          <cell r="E135" t="str">
            <v>CONCENTRICIDAD</v>
          </cell>
          <cell r="F135" t="str">
            <v>EVELYN ESTUDILLO</v>
          </cell>
          <cell r="G135">
            <v>44936</v>
          </cell>
          <cell r="H135" t="str">
            <v>MAURICIO</v>
          </cell>
          <cell r="I135" t="str">
            <v>PASS</v>
          </cell>
          <cell r="J135" t="str">
            <v>SPR8</v>
          </cell>
          <cell r="K135" t="str">
            <v>720-2</v>
          </cell>
          <cell r="L135">
            <v>12</v>
          </cell>
          <cell r="M135" t="str">
            <v>CONCENTRICIDAD</v>
          </cell>
        </row>
        <row r="136">
          <cell r="A136">
            <v>20230133</v>
          </cell>
          <cell r="B136">
            <v>44936</v>
          </cell>
          <cell r="C136" t="str">
            <v>34309474B</v>
          </cell>
          <cell r="D136" t="str">
            <v>N/A</v>
          </cell>
          <cell r="E136" t="str">
            <v>CONCENTRICIDAD</v>
          </cell>
          <cell r="F136" t="str">
            <v>EVELYN ESTUDILLO</v>
          </cell>
          <cell r="G136">
            <v>44936</v>
          </cell>
          <cell r="H136" t="str">
            <v>MAURICIO</v>
          </cell>
          <cell r="I136" t="str">
            <v>PASS</v>
          </cell>
          <cell r="J136" t="str">
            <v>SPR8</v>
          </cell>
          <cell r="K136" t="str">
            <v>720-4</v>
          </cell>
          <cell r="L136">
            <v>12</v>
          </cell>
          <cell r="M136" t="str">
            <v>CONCENTRICIDAD</v>
          </cell>
        </row>
        <row r="137">
          <cell r="A137">
            <v>20230134</v>
          </cell>
          <cell r="B137">
            <v>44936</v>
          </cell>
          <cell r="C137" t="str">
            <v>34296437C</v>
          </cell>
          <cell r="D137" t="str">
            <v>N/A</v>
          </cell>
          <cell r="E137" t="str">
            <v>OVALIDAD</v>
          </cell>
          <cell r="F137" t="str">
            <v>EVELYN ESTUDILLO</v>
          </cell>
          <cell r="G137">
            <v>44936</v>
          </cell>
          <cell r="H137" t="str">
            <v>MAURICIO</v>
          </cell>
          <cell r="I137" t="str">
            <v>PASS</v>
          </cell>
          <cell r="J137" t="str">
            <v>SPR8</v>
          </cell>
          <cell r="K137" t="str">
            <v>720-1</v>
          </cell>
          <cell r="L137">
            <v>12</v>
          </cell>
          <cell r="M137" t="str">
            <v>OVALIDAD</v>
          </cell>
        </row>
        <row r="138">
          <cell r="A138">
            <v>20230135</v>
          </cell>
          <cell r="B138">
            <v>44936</v>
          </cell>
          <cell r="C138" t="str">
            <v>34324760D</v>
          </cell>
          <cell r="D138" t="str">
            <v>N/A</v>
          </cell>
          <cell r="E138" t="str">
            <v>OVALIDAD</v>
          </cell>
          <cell r="F138" t="str">
            <v>EVELYN ESTUDILLO</v>
          </cell>
          <cell r="G138">
            <v>44936</v>
          </cell>
          <cell r="H138" t="str">
            <v>MAURICIO</v>
          </cell>
          <cell r="I138" t="str">
            <v>PASS</v>
          </cell>
          <cell r="J138" t="str">
            <v>SPR8</v>
          </cell>
          <cell r="K138" t="str">
            <v>720-5</v>
          </cell>
          <cell r="L138">
            <v>12</v>
          </cell>
          <cell r="M138" t="str">
            <v>OVALIDAD</v>
          </cell>
        </row>
        <row r="139">
          <cell r="A139">
            <v>20230136</v>
          </cell>
          <cell r="B139">
            <v>44936</v>
          </cell>
          <cell r="C139" t="str">
            <v>34235233G</v>
          </cell>
          <cell r="D139" t="str">
            <v>N/A</v>
          </cell>
          <cell r="E139" t="str">
            <v>OVALIDAD</v>
          </cell>
          <cell r="F139" t="str">
            <v>EVELYN ESTUDILLO</v>
          </cell>
          <cell r="G139">
            <v>44936</v>
          </cell>
          <cell r="H139" t="str">
            <v>MAURICIO</v>
          </cell>
          <cell r="I139" t="str">
            <v>PASS</v>
          </cell>
          <cell r="J139" t="str">
            <v>SPR8</v>
          </cell>
          <cell r="K139" t="str">
            <v>720-3</v>
          </cell>
          <cell r="L139">
            <v>12</v>
          </cell>
          <cell r="M139" t="str">
            <v>OVALIDAD</v>
          </cell>
        </row>
        <row r="140">
          <cell r="A140">
            <v>20230137</v>
          </cell>
          <cell r="B140">
            <v>44936</v>
          </cell>
          <cell r="C140" t="str">
            <v>A020R620A</v>
          </cell>
          <cell r="D140" t="str">
            <v>N/A</v>
          </cell>
          <cell r="E140" t="str">
            <v>OVALIDAD</v>
          </cell>
          <cell r="F140" t="str">
            <v>EVELYN ESTUDILLO</v>
          </cell>
          <cell r="G140">
            <v>44936</v>
          </cell>
          <cell r="H140" t="str">
            <v>MAURICIO</v>
          </cell>
          <cell r="I140" t="str">
            <v>PASS</v>
          </cell>
          <cell r="J140" t="str">
            <v>SPR8</v>
          </cell>
          <cell r="K140" t="str">
            <v>720-6</v>
          </cell>
          <cell r="L140">
            <v>12</v>
          </cell>
          <cell r="M140" t="str">
            <v>OVALIDAD</v>
          </cell>
        </row>
        <row r="141">
          <cell r="A141">
            <v>20230138</v>
          </cell>
          <cell r="B141">
            <v>44936</v>
          </cell>
          <cell r="C141" t="str">
            <v>34296441C</v>
          </cell>
          <cell r="D141" t="str">
            <v>N/A</v>
          </cell>
          <cell r="E141" t="str">
            <v>OVALIDAD</v>
          </cell>
          <cell r="F141" t="str">
            <v>EVELYN ESTUDILLO</v>
          </cell>
          <cell r="G141">
            <v>44936</v>
          </cell>
          <cell r="H141" t="str">
            <v>MAURICIO</v>
          </cell>
          <cell r="I141" t="str">
            <v>PASS</v>
          </cell>
          <cell r="J141" t="str">
            <v>SPR8</v>
          </cell>
          <cell r="K141" t="str">
            <v>720-2</v>
          </cell>
          <cell r="L141">
            <v>12</v>
          </cell>
          <cell r="M141" t="str">
            <v>OVALIDAD</v>
          </cell>
        </row>
        <row r="142">
          <cell r="A142">
            <v>20230139</v>
          </cell>
          <cell r="B142">
            <v>44936</v>
          </cell>
          <cell r="C142" t="str">
            <v>34309474B</v>
          </cell>
          <cell r="D142" t="str">
            <v>N/A</v>
          </cell>
          <cell r="E142" t="str">
            <v>OVALIDAD</v>
          </cell>
          <cell r="F142" t="str">
            <v>EVELYN ESTUDILLO</v>
          </cell>
          <cell r="G142">
            <v>44936</v>
          </cell>
          <cell r="H142" t="str">
            <v>MAURICIO</v>
          </cell>
          <cell r="I142" t="str">
            <v>PASS</v>
          </cell>
          <cell r="J142" t="str">
            <v>SPR8</v>
          </cell>
          <cell r="K142" t="str">
            <v>720-4</v>
          </cell>
          <cell r="L142">
            <v>12</v>
          </cell>
          <cell r="M142" t="str">
            <v>OVALIDAD</v>
          </cell>
        </row>
        <row r="143">
          <cell r="A143">
            <v>20230140</v>
          </cell>
          <cell r="B143">
            <v>44936</v>
          </cell>
          <cell r="C143" t="str">
            <v>A020R613B</v>
          </cell>
          <cell r="D143" t="str">
            <v>N/A</v>
          </cell>
          <cell r="E143" t="str">
            <v>CONCENTRICIDAD</v>
          </cell>
          <cell r="F143" t="str">
            <v>Laura Castillo</v>
          </cell>
          <cell r="G143">
            <v>44936</v>
          </cell>
          <cell r="H143" t="str">
            <v>Nohemi</v>
          </cell>
          <cell r="I143" t="str">
            <v>PASS</v>
          </cell>
          <cell r="J143" t="str">
            <v>T1XX</v>
          </cell>
          <cell r="K143" t="str">
            <v>720-6</v>
          </cell>
          <cell r="L143" t="str">
            <v>6 PCS</v>
          </cell>
          <cell r="M143" t="str">
            <v>CONCENTRICIDAD</v>
          </cell>
        </row>
        <row r="144">
          <cell r="A144">
            <v>20230141</v>
          </cell>
          <cell r="B144">
            <v>44936</v>
          </cell>
          <cell r="C144" t="str">
            <v>A020R613B</v>
          </cell>
          <cell r="D144" t="str">
            <v>N/A</v>
          </cell>
          <cell r="E144" t="str">
            <v>OVALIDAD</v>
          </cell>
          <cell r="F144" t="str">
            <v>Laura Castillo</v>
          </cell>
          <cell r="G144">
            <v>44936</v>
          </cell>
          <cell r="H144" t="str">
            <v>Nohemi</v>
          </cell>
          <cell r="I144" t="str">
            <v>PASS</v>
          </cell>
          <cell r="J144" t="str">
            <v>T1XX</v>
          </cell>
          <cell r="K144" t="str">
            <v>720-6</v>
          </cell>
          <cell r="L144" t="str">
            <v>6 PCS</v>
          </cell>
          <cell r="M144" t="str">
            <v>OVALIDAD</v>
          </cell>
        </row>
        <row r="145">
          <cell r="A145">
            <v>20230142</v>
          </cell>
          <cell r="B145">
            <v>44936</v>
          </cell>
          <cell r="C145" t="str">
            <v>34248660A</v>
          </cell>
          <cell r="D145">
            <v>4</v>
          </cell>
          <cell r="E145" t="str">
            <v xml:space="preserve">Conforme al rip </v>
          </cell>
          <cell r="F145" t="str">
            <v>Nuevos programas</v>
          </cell>
          <cell r="G145">
            <v>44936</v>
          </cell>
          <cell r="H145" t="str">
            <v xml:space="preserve">Adela </v>
          </cell>
          <cell r="I145" t="str">
            <v>PASS</v>
          </cell>
          <cell r="J145" t="str">
            <v>N/A</v>
          </cell>
          <cell r="K145" t="str">
            <v>N/A</v>
          </cell>
          <cell r="L145">
            <v>108</v>
          </cell>
          <cell r="M145" t="str">
            <v>N/A</v>
          </cell>
        </row>
        <row r="146">
          <cell r="A146">
            <v>20230143</v>
          </cell>
          <cell r="B146">
            <v>44936</v>
          </cell>
          <cell r="C146" t="str">
            <v>A021E207A</v>
          </cell>
          <cell r="D146" t="str">
            <v>N/A</v>
          </cell>
          <cell r="E146" t="str">
            <v>22,17,18,13</v>
          </cell>
          <cell r="F146" t="str">
            <v>Laura Castillo</v>
          </cell>
          <cell r="G146">
            <v>44936</v>
          </cell>
          <cell r="H146" t="str">
            <v>Nohemi</v>
          </cell>
          <cell r="I146" t="str">
            <v>PASS</v>
          </cell>
          <cell r="J146" t="str">
            <v>A100</v>
          </cell>
          <cell r="K146" t="str">
            <v>703-B</v>
          </cell>
          <cell r="L146" t="str">
            <v>2 PCS</v>
          </cell>
          <cell r="M146" t="str">
            <v>A0038M7042A-B</v>
          </cell>
        </row>
        <row r="147">
          <cell r="A147">
            <v>20230144</v>
          </cell>
          <cell r="B147">
            <v>44936</v>
          </cell>
          <cell r="C147" t="str">
            <v>A021E208A</v>
          </cell>
          <cell r="D147" t="str">
            <v>N/A</v>
          </cell>
          <cell r="E147" t="str">
            <v>22,17,18,13</v>
          </cell>
          <cell r="F147" t="str">
            <v>Laura Castillo</v>
          </cell>
          <cell r="G147">
            <v>44936</v>
          </cell>
          <cell r="H147" t="str">
            <v>Nohemi</v>
          </cell>
          <cell r="I147" t="str">
            <v>PASS</v>
          </cell>
          <cell r="J147" t="str">
            <v>A100</v>
          </cell>
          <cell r="K147" t="str">
            <v>703-B</v>
          </cell>
          <cell r="L147" t="str">
            <v>2 PCS</v>
          </cell>
          <cell r="M147" t="str">
            <v>A0038M7042A-B</v>
          </cell>
        </row>
        <row r="148">
          <cell r="A148">
            <v>20230145</v>
          </cell>
          <cell r="B148">
            <v>44936</v>
          </cell>
          <cell r="C148" t="str">
            <v>A021E209A</v>
          </cell>
          <cell r="D148" t="str">
            <v>N/A</v>
          </cell>
          <cell r="E148" t="str">
            <v>22,17,18,13</v>
          </cell>
          <cell r="F148" t="str">
            <v>Laura Castillo</v>
          </cell>
          <cell r="G148">
            <v>44936</v>
          </cell>
          <cell r="H148" t="str">
            <v>Nohemi</v>
          </cell>
          <cell r="I148" t="str">
            <v>PASS</v>
          </cell>
          <cell r="J148" t="str">
            <v>A100</v>
          </cell>
          <cell r="K148" t="str">
            <v>703-B</v>
          </cell>
          <cell r="L148" t="str">
            <v>1 PCS</v>
          </cell>
          <cell r="M148" t="str">
            <v>A0038M7042A-B</v>
          </cell>
        </row>
        <row r="149">
          <cell r="A149">
            <v>20230146</v>
          </cell>
          <cell r="B149">
            <v>44936</v>
          </cell>
          <cell r="C149" t="str">
            <v>34242909A</v>
          </cell>
          <cell r="D149">
            <v>2234034211</v>
          </cell>
          <cell r="E149" t="str">
            <v>22 23 24</v>
          </cell>
          <cell r="F149" t="str">
            <v>Jesus sampayo</v>
          </cell>
          <cell r="G149">
            <v>44936</v>
          </cell>
          <cell r="H149" t="str">
            <v>MAURICIO</v>
          </cell>
          <cell r="I149" t="str">
            <v>PASS</v>
          </cell>
          <cell r="J149" t="str">
            <v>N/A</v>
          </cell>
          <cell r="K149" t="str">
            <v>ACS</v>
          </cell>
          <cell r="L149">
            <v>6</v>
          </cell>
          <cell r="M149" t="str">
            <v>PLANO MARCADO</v>
          </cell>
        </row>
        <row r="150">
          <cell r="A150">
            <v>20230147</v>
          </cell>
          <cell r="B150">
            <v>44936</v>
          </cell>
          <cell r="C150" t="str">
            <v>34324759E</v>
          </cell>
          <cell r="D150" t="str">
            <v>N/A</v>
          </cell>
          <cell r="E150" t="str">
            <v>CONCENTRICIDAD</v>
          </cell>
          <cell r="F150" t="str">
            <v>AGUSTO</v>
          </cell>
          <cell r="G150">
            <v>44936</v>
          </cell>
          <cell r="H150" t="str">
            <v>ERNESTO</v>
          </cell>
          <cell r="I150" t="str">
            <v>PASS</v>
          </cell>
          <cell r="J150" t="str">
            <v>SPR8</v>
          </cell>
          <cell r="K150" t="str">
            <v>720-1</v>
          </cell>
          <cell r="L150">
            <v>12</v>
          </cell>
          <cell r="M150" t="str">
            <v>CONCENTRICIDAD</v>
          </cell>
        </row>
        <row r="151">
          <cell r="A151">
            <v>20230148</v>
          </cell>
          <cell r="B151">
            <v>44936</v>
          </cell>
          <cell r="C151" t="str">
            <v>34324759E</v>
          </cell>
          <cell r="D151" t="str">
            <v>N/A</v>
          </cell>
          <cell r="E151" t="str">
            <v>OVALIDAD</v>
          </cell>
          <cell r="F151" t="str">
            <v>AGUSTO</v>
          </cell>
          <cell r="G151">
            <v>44936</v>
          </cell>
          <cell r="H151" t="str">
            <v>ERNESTO</v>
          </cell>
          <cell r="I151" t="str">
            <v>PASS</v>
          </cell>
          <cell r="J151" t="str">
            <v>SPR8</v>
          </cell>
          <cell r="K151" t="str">
            <v>720-1</v>
          </cell>
          <cell r="L151">
            <v>12</v>
          </cell>
          <cell r="M151" t="str">
            <v>OVALIDAD</v>
          </cell>
        </row>
        <row r="152">
          <cell r="A152">
            <v>20230149</v>
          </cell>
          <cell r="B152">
            <v>44936</v>
          </cell>
          <cell r="C152" t="str">
            <v>34306788D</v>
          </cell>
          <cell r="D152" t="str">
            <v>N/A</v>
          </cell>
          <cell r="E152" t="str">
            <v>CONCENTRICIDAD</v>
          </cell>
          <cell r="F152" t="str">
            <v>AGUSTO</v>
          </cell>
          <cell r="G152">
            <v>44936</v>
          </cell>
          <cell r="H152" t="str">
            <v>ERNESTO</v>
          </cell>
          <cell r="I152" t="str">
            <v>PASS</v>
          </cell>
          <cell r="J152" t="str">
            <v>SPR8</v>
          </cell>
          <cell r="K152" t="str">
            <v>720-2</v>
          </cell>
          <cell r="L152">
            <v>12</v>
          </cell>
          <cell r="M152" t="str">
            <v>CONCENTRICIDAD</v>
          </cell>
        </row>
        <row r="153">
          <cell r="A153">
            <v>20230150</v>
          </cell>
          <cell r="B153">
            <v>44936</v>
          </cell>
          <cell r="C153" t="str">
            <v>34306788D</v>
          </cell>
          <cell r="D153" t="str">
            <v>N/A</v>
          </cell>
          <cell r="E153" t="str">
            <v>OVALIDAD</v>
          </cell>
          <cell r="F153" t="str">
            <v>AGUSTO</v>
          </cell>
          <cell r="G153">
            <v>44936</v>
          </cell>
          <cell r="H153" t="str">
            <v>ERNESTO</v>
          </cell>
          <cell r="I153" t="str">
            <v>PASS</v>
          </cell>
          <cell r="J153" t="str">
            <v>SPR8</v>
          </cell>
          <cell r="K153" t="str">
            <v>720-2</v>
          </cell>
          <cell r="L153">
            <v>12</v>
          </cell>
          <cell r="M153" t="str">
            <v>OVALIDAD</v>
          </cell>
        </row>
        <row r="154">
          <cell r="A154">
            <v>20230151</v>
          </cell>
          <cell r="B154">
            <v>44936</v>
          </cell>
          <cell r="C154" t="str">
            <v>34235232G</v>
          </cell>
          <cell r="D154" t="str">
            <v>N/A</v>
          </cell>
          <cell r="E154" t="str">
            <v>CONCENTRICIDAD</v>
          </cell>
          <cell r="F154" t="str">
            <v>AGUSTO</v>
          </cell>
          <cell r="G154">
            <v>44936</v>
          </cell>
          <cell r="H154" t="str">
            <v>ERNESTO</v>
          </cell>
          <cell r="I154" t="str">
            <v>PASS</v>
          </cell>
          <cell r="J154" t="str">
            <v>SPR8</v>
          </cell>
          <cell r="K154" t="str">
            <v>720-3</v>
          </cell>
          <cell r="L154">
            <v>18</v>
          </cell>
          <cell r="M154" t="str">
            <v>CONCENTRICIDAD</v>
          </cell>
        </row>
        <row r="155">
          <cell r="A155">
            <v>20230152</v>
          </cell>
          <cell r="B155">
            <v>44936</v>
          </cell>
          <cell r="C155" t="str">
            <v>34235232G</v>
          </cell>
          <cell r="D155" t="str">
            <v>N/A</v>
          </cell>
          <cell r="E155" t="str">
            <v>OVALIDAD</v>
          </cell>
          <cell r="F155" t="str">
            <v>AGUSTO</v>
          </cell>
          <cell r="G155">
            <v>44936</v>
          </cell>
          <cell r="H155" t="str">
            <v>ERNESTO</v>
          </cell>
          <cell r="I155" t="str">
            <v>PASS</v>
          </cell>
          <cell r="J155" t="str">
            <v>SPR8</v>
          </cell>
          <cell r="K155" t="str">
            <v>720-3</v>
          </cell>
          <cell r="L155">
            <v>18</v>
          </cell>
          <cell r="M155" t="str">
            <v>OVALIDAD</v>
          </cell>
        </row>
        <row r="156">
          <cell r="A156">
            <v>20230153</v>
          </cell>
          <cell r="B156">
            <v>44936</v>
          </cell>
          <cell r="C156" t="str">
            <v>34309474B</v>
          </cell>
          <cell r="D156" t="str">
            <v>N/A</v>
          </cell>
          <cell r="E156" t="str">
            <v>CONCENTRICIDAD</v>
          </cell>
          <cell r="F156" t="str">
            <v>AGUSTO</v>
          </cell>
          <cell r="G156">
            <v>44936</v>
          </cell>
          <cell r="H156" t="str">
            <v>ERNESTO</v>
          </cell>
          <cell r="I156" t="str">
            <v>PASS</v>
          </cell>
          <cell r="J156" t="str">
            <v>SPR8</v>
          </cell>
          <cell r="K156" t="str">
            <v>720-4</v>
          </cell>
          <cell r="L156">
            <v>12</v>
          </cell>
          <cell r="M156" t="str">
            <v>CONCENTRICIDAD</v>
          </cell>
        </row>
        <row r="157">
          <cell r="A157">
            <v>20230154</v>
          </cell>
          <cell r="B157">
            <v>44936</v>
          </cell>
          <cell r="C157" t="str">
            <v>34309474B</v>
          </cell>
          <cell r="D157" t="str">
            <v>N/A</v>
          </cell>
          <cell r="E157" t="str">
            <v>OVALIDAD</v>
          </cell>
          <cell r="F157" t="str">
            <v>AGUSTO</v>
          </cell>
          <cell r="G157">
            <v>44936</v>
          </cell>
          <cell r="H157" t="str">
            <v>ERNESTO</v>
          </cell>
          <cell r="I157" t="str">
            <v>PASS</v>
          </cell>
          <cell r="J157" t="str">
            <v>SPR8</v>
          </cell>
          <cell r="K157" t="str">
            <v>720-4</v>
          </cell>
          <cell r="L157">
            <v>12</v>
          </cell>
          <cell r="M157" t="str">
            <v>OVALIDAD</v>
          </cell>
        </row>
        <row r="158">
          <cell r="A158">
            <v>20230155</v>
          </cell>
          <cell r="B158">
            <v>44936</v>
          </cell>
          <cell r="C158" t="str">
            <v>34364567B</v>
          </cell>
          <cell r="D158" t="str">
            <v>N/A</v>
          </cell>
          <cell r="E158" t="str">
            <v>CONCENTRICIDAD</v>
          </cell>
          <cell r="F158" t="str">
            <v>AGUSTO</v>
          </cell>
          <cell r="G158">
            <v>44936</v>
          </cell>
          <cell r="H158" t="str">
            <v>ERNESTO</v>
          </cell>
          <cell r="I158" t="str">
            <v>PASS</v>
          </cell>
          <cell r="J158" t="str">
            <v>SPR8</v>
          </cell>
          <cell r="K158" t="str">
            <v>720-5</v>
          </cell>
          <cell r="L158">
            <v>12</v>
          </cell>
          <cell r="M158" t="str">
            <v>CONCENTRICIDAD</v>
          </cell>
        </row>
        <row r="159">
          <cell r="A159">
            <v>20230156</v>
          </cell>
          <cell r="B159">
            <v>44936</v>
          </cell>
          <cell r="C159" t="str">
            <v>34364567B</v>
          </cell>
          <cell r="D159" t="str">
            <v>N/A</v>
          </cell>
          <cell r="E159" t="str">
            <v>OVALIDAD</v>
          </cell>
          <cell r="F159" t="str">
            <v>AGUSTO</v>
          </cell>
          <cell r="G159">
            <v>44936</v>
          </cell>
          <cell r="H159" t="str">
            <v>ERNESTO</v>
          </cell>
          <cell r="I159" t="str">
            <v>PASS</v>
          </cell>
          <cell r="J159" t="str">
            <v>SPR8</v>
          </cell>
          <cell r="K159" t="str">
            <v>720-5</v>
          </cell>
          <cell r="L159">
            <v>12</v>
          </cell>
          <cell r="M159" t="str">
            <v>OVALIDAD</v>
          </cell>
        </row>
        <row r="160">
          <cell r="A160">
            <v>20230157</v>
          </cell>
          <cell r="B160">
            <v>44937</v>
          </cell>
          <cell r="C160" t="str">
            <v>34327672C</v>
          </cell>
          <cell r="D160" t="str">
            <v>N/A</v>
          </cell>
          <cell r="E160" t="str">
            <v>CONCENTRICIDAD</v>
          </cell>
          <cell r="F160" t="str">
            <v>AGUSTO</v>
          </cell>
          <cell r="G160">
            <v>44936</v>
          </cell>
          <cell r="H160" t="str">
            <v>JOSE</v>
          </cell>
          <cell r="I160" t="str">
            <v>PASS</v>
          </cell>
          <cell r="J160" t="str">
            <v>SPR8</v>
          </cell>
          <cell r="K160" t="str">
            <v>720-5</v>
          </cell>
          <cell r="L160">
            <v>6</v>
          </cell>
          <cell r="M160" t="str">
            <v>1ER TURNO CONCENTRICIDAD</v>
          </cell>
        </row>
        <row r="161">
          <cell r="A161">
            <v>20230158</v>
          </cell>
          <cell r="B161">
            <v>44937</v>
          </cell>
          <cell r="C161" t="str">
            <v>34327672C</v>
          </cell>
          <cell r="D161" t="str">
            <v>N/A</v>
          </cell>
          <cell r="E161" t="str">
            <v>OVALIDAD</v>
          </cell>
          <cell r="F161" t="str">
            <v>AGUSTO</v>
          </cell>
          <cell r="G161">
            <v>44936</v>
          </cell>
          <cell r="H161" t="str">
            <v>JOSE</v>
          </cell>
          <cell r="I161" t="str">
            <v>PASS</v>
          </cell>
          <cell r="J161" t="str">
            <v>SPR8</v>
          </cell>
          <cell r="K161" t="str">
            <v>720-5</v>
          </cell>
          <cell r="L161">
            <v>6</v>
          </cell>
          <cell r="M161" t="str">
            <v>1ER TURNO OVALIDAD</v>
          </cell>
        </row>
        <row r="162">
          <cell r="A162">
            <v>20230159</v>
          </cell>
          <cell r="B162">
            <v>44937</v>
          </cell>
          <cell r="C162" t="str">
            <v>34083130A</v>
          </cell>
          <cell r="D162" t="str">
            <v>N/A</v>
          </cell>
          <cell r="E162" t="str">
            <v>QA 3 51 2 15 23 24 43 9 18 19</v>
          </cell>
          <cell r="F162" t="str">
            <v>ANA SANCHEZ</v>
          </cell>
          <cell r="G162">
            <v>44937</v>
          </cell>
          <cell r="H162" t="str">
            <v>MAURICIO</v>
          </cell>
          <cell r="I162" t="str">
            <v>PASS</v>
          </cell>
          <cell r="J162" t="str">
            <v>N/A</v>
          </cell>
          <cell r="K162" t="str">
            <v>GETAC</v>
          </cell>
          <cell r="L162">
            <v>12</v>
          </cell>
          <cell r="M162" t="str">
            <v>REFERENCE DATA</v>
          </cell>
        </row>
        <row r="163">
          <cell r="A163">
            <v>20230160</v>
          </cell>
          <cell r="B163">
            <v>44937</v>
          </cell>
          <cell r="C163" t="str">
            <v>08458</v>
          </cell>
          <cell r="D163" t="str">
            <v>N/A</v>
          </cell>
          <cell r="E163" t="str">
            <v>Plano Marcado</v>
          </cell>
          <cell r="F163" t="str">
            <v>Javier Ramirez</v>
          </cell>
          <cell r="G163"/>
          <cell r="H163"/>
          <cell r="I163"/>
          <cell r="J163" t="str">
            <v>N/A</v>
          </cell>
          <cell r="K163">
            <v>304</v>
          </cell>
          <cell r="L163" t="str">
            <v>1 Pza</v>
          </cell>
          <cell r="M163" t="str">
            <v>Laboratorio</v>
          </cell>
        </row>
        <row r="164">
          <cell r="A164">
            <v>20230161</v>
          </cell>
          <cell r="B164">
            <v>44937</v>
          </cell>
          <cell r="C164" t="str">
            <v>A025V627ABB</v>
          </cell>
          <cell r="D164">
            <v>56438</v>
          </cell>
          <cell r="E164" t="str">
            <v xml:space="preserve">Conforme al rip </v>
          </cell>
          <cell r="F164" t="str">
            <v>Nuevos programas</v>
          </cell>
          <cell r="G164">
            <v>44937</v>
          </cell>
          <cell r="H164" t="str">
            <v xml:space="preserve">Adela </v>
          </cell>
          <cell r="I164" t="str">
            <v>PASS</v>
          </cell>
          <cell r="J164" t="str">
            <v>N/A</v>
          </cell>
          <cell r="K164" t="str">
            <v>N/A</v>
          </cell>
          <cell r="L164">
            <v>110</v>
          </cell>
          <cell r="M164" t="str">
            <v>N/A</v>
          </cell>
        </row>
        <row r="165">
          <cell r="A165">
            <v>20230162</v>
          </cell>
          <cell r="B165">
            <v>44937</v>
          </cell>
          <cell r="C165" t="str">
            <v>A025V628ABB</v>
          </cell>
          <cell r="D165">
            <v>56438</v>
          </cell>
          <cell r="E165" t="str">
            <v xml:space="preserve">Conforme al rip </v>
          </cell>
          <cell r="F165" t="str">
            <v>Nuevos programas</v>
          </cell>
          <cell r="G165">
            <v>44937</v>
          </cell>
          <cell r="H165" t="str">
            <v xml:space="preserve">Adela </v>
          </cell>
          <cell r="I165" t="str">
            <v>PASS</v>
          </cell>
          <cell r="J165" t="str">
            <v>N/A</v>
          </cell>
          <cell r="K165" t="str">
            <v>N/A</v>
          </cell>
          <cell r="L165">
            <v>110</v>
          </cell>
          <cell r="M165" t="str">
            <v>N/A</v>
          </cell>
        </row>
        <row r="166">
          <cell r="A166">
            <v>20230163</v>
          </cell>
          <cell r="B166">
            <v>44937</v>
          </cell>
          <cell r="C166" t="str">
            <v>34324758A</v>
          </cell>
          <cell r="D166" t="str">
            <v>N/A</v>
          </cell>
          <cell r="E166" t="str">
            <v>CONCENTRICIDAD</v>
          </cell>
          <cell r="F166" t="str">
            <v>EVELYN ESTUDILLO</v>
          </cell>
          <cell r="G166">
            <v>44937</v>
          </cell>
          <cell r="H166" t="str">
            <v>MAURICIO</v>
          </cell>
          <cell r="I166" t="str">
            <v>PASS</v>
          </cell>
          <cell r="J166" t="str">
            <v>SPR8</v>
          </cell>
          <cell r="K166" t="str">
            <v>720-2</v>
          </cell>
          <cell r="L166">
            <v>12</v>
          </cell>
          <cell r="M166" t="str">
            <v>CONCENTRICIDAD</v>
          </cell>
        </row>
        <row r="167">
          <cell r="A167">
            <v>20230164</v>
          </cell>
          <cell r="B167">
            <v>44937</v>
          </cell>
          <cell r="C167" t="str">
            <v>A020R620A</v>
          </cell>
          <cell r="D167" t="str">
            <v>N/A</v>
          </cell>
          <cell r="E167" t="str">
            <v>CONCENTRICIDAD</v>
          </cell>
          <cell r="F167" t="str">
            <v>EVELYN ESTUDILLO</v>
          </cell>
          <cell r="G167">
            <v>44937</v>
          </cell>
          <cell r="H167" t="str">
            <v>MAURICIO</v>
          </cell>
          <cell r="I167" t="str">
            <v>PASS</v>
          </cell>
          <cell r="J167" t="str">
            <v>SPR8</v>
          </cell>
          <cell r="K167" t="str">
            <v>720-6</v>
          </cell>
          <cell r="L167">
            <v>12</v>
          </cell>
          <cell r="M167" t="str">
            <v>CONCENTRICIDAD</v>
          </cell>
        </row>
        <row r="168">
          <cell r="A168">
            <v>20230165</v>
          </cell>
          <cell r="B168">
            <v>44937</v>
          </cell>
          <cell r="C168" t="str">
            <v>34324759E</v>
          </cell>
          <cell r="D168" t="str">
            <v>N/A</v>
          </cell>
          <cell r="E168" t="str">
            <v>CONCENTRICIDAD</v>
          </cell>
          <cell r="F168" t="str">
            <v>EVELYN ESTUDILLO</v>
          </cell>
          <cell r="G168">
            <v>44937</v>
          </cell>
          <cell r="H168" t="str">
            <v>MAURICIO</v>
          </cell>
          <cell r="I168" t="str">
            <v>PASS</v>
          </cell>
          <cell r="J168" t="str">
            <v>SPR8</v>
          </cell>
          <cell r="K168" t="str">
            <v>720-1</v>
          </cell>
          <cell r="L168">
            <v>12</v>
          </cell>
          <cell r="M168" t="str">
            <v>CONCENTRICIDAD</v>
          </cell>
        </row>
        <row r="169">
          <cell r="A169">
            <v>20230166</v>
          </cell>
          <cell r="B169">
            <v>44937</v>
          </cell>
          <cell r="C169" t="str">
            <v>34235234G</v>
          </cell>
          <cell r="D169" t="str">
            <v>N/A</v>
          </cell>
          <cell r="E169" t="str">
            <v>CONCENTRICIDAD</v>
          </cell>
          <cell r="F169" t="str">
            <v>EVELYN ESTUDILLO</v>
          </cell>
          <cell r="G169">
            <v>44937</v>
          </cell>
          <cell r="H169" t="str">
            <v>MAURICIO</v>
          </cell>
          <cell r="I169" t="str">
            <v>PASS</v>
          </cell>
          <cell r="J169" t="str">
            <v>SPR8</v>
          </cell>
          <cell r="K169" t="str">
            <v>720-3</v>
          </cell>
          <cell r="L169">
            <v>12</v>
          </cell>
          <cell r="M169" t="str">
            <v>CONCENTRICIDAD</v>
          </cell>
        </row>
        <row r="170">
          <cell r="A170">
            <v>20230167</v>
          </cell>
          <cell r="B170">
            <v>44937</v>
          </cell>
          <cell r="C170" t="str">
            <v>34309473B</v>
          </cell>
          <cell r="D170" t="str">
            <v>N/A</v>
          </cell>
          <cell r="E170" t="str">
            <v>CONCENTRICIDAD</v>
          </cell>
          <cell r="F170" t="str">
            <v>EVELYN ESTUDILLO</v>
          </cell>
          <cell r="G170">
            <v>44937</v>
          </cell>
          <cell r="H170" t="str">
            <v>MAURICIO</v>
          </cell>
          <cell r="I170" t="str">
            <v>PASS</v>
          </cell>
          <cell r="J170" t="str">
            <v>SPR8</v>
          </cell>
          <cell r="K170" t="str">
            <v>720-4</v>
          </cell>
          <cell r="L170">
            <v>12</v>
          </cell>
          <cell r="M170" t="str">
            <v>CONCENTRICIDAD</v>
          </cell>
        </row>
        <row r="171">
          <cell r="A171">
            <v>20230168</v>
          </cell>
          <cell r="B171">
            <v>44937</v>
          </cell>
          <cell r="C171" t="str">
            <v>34324758A</v>
          </cell>
          <cell r="D171" t="str">
            <v>N/A</v>
          </cell>
          <cell r="E171" t="str">
            <v>OVALIDAD</v>
          </cell>
          <cell r="F171" t="str">
            <v>EVELYN ESTUDILLO</v>
          </cell>
          <cell r="G171">
            <v>44937</v>
          </cell>
          <cell r="H171" t="str">
            <v>MAURICIO</v>
          </cell>
          <cell r="I171" t="str">
            <v>PASS</v>
          </cell>
          <cell r="J171" t="str">
            <v>SPR8</v>
          </cell>
          <cell r="K171" t="str">
            <v>720-2</v>
          </cell>
          <cell r="L171">
            <v>12</v>
          </cell>
          <cell r="M171" t="str">
            <v>OVALIDAD</v>
          </cell>
        </row>
        <row r="172">
          <cell r="A172">
            <v>20230169</v>
          </cell>
          <cell r="B172">
            <v>44937</v>
          </cell>
          <cell r="C172" t="str">
            <v>A020R620A</v>
          </cell>
          <cell r="D172" t="str">
            <v>N/A</v>
          </cell>
          <cell r="E172" t="str">
            <v>OVALIDAD</v>
          </cell>
          <cell r="F172" t="str">
            <v>EVELYN ESTUDILLO</v>
          </cell>
          <cell r="G172">
            <v>44937</v>
          </cell>
          <cell r="H172" t="str">
            <v>MAURICIO</v>
          </cell>
          <cell r="I172" t="str">
            <v>PASS</v>
          </cell>
          <cell r="J172" t="str">
            <v>SPR8</v>
          </cell>
          <cell r="K172" t="str">
            <v>720-6</v>
          </cell>
          <cell r="L172">
            <v>12</v>
          </cell>
          <cell r="M172" t="str">
            <v>OVALIDAD</v>
          </cell>
        </row>
        <row r="173">
          <cell r="A173">
            <v>20230170</v>
          </cell>
          <cell r="B173">
            <v>44937</v>
          </cell>
          <cell r="C173" t="str">
            <v>34324759E</v>
          </cell>
          <cell r="D173" t="str">
            <v>N/A</v>
          </cell>
          <cell r="E173" t="str">
            <v>OVALIDAD</v>
          </cell>
          <cell r="F173" t="str">
            <v>EVELYN ESTUDILLO</v>
          </cell>
          <cell r="G173">
            <v>44937</v>
          </cell>
          <cell r="H173" t="str">
            <v>MAURICIO</v>
          </cell>
          <cell r="I173" t="str">
            <v>PASS</v>
          </cell>
          <cell r="J173" t="str">
            <v>SPR8</v>
          </cell>
          <cell r="K173" t="str">
            <v>720-1</v>
          </cell>
          <cell r="L173">
            <v>12</v>
          </cell>
          <cell r="M173" t="str">
            <v>OVALIDAD</v>
          </cell>
        </row>
        <row r="174">
          <cell r="A174">
            <v>20230171</v>
          </cell>
          <cell r="B174">
            <v>44937</v>
          </cell>
          <cell r="C174" t="str">
            <v>34235234G</v>
          </cell>
          <cell r="D174" t="str">
            <v>N/A</v>
          </cell>
          <cell r="E174" t="str">
            <v>OVALIDAD</v>
          </cell>
          <cell r="F174" t="str">
            <v>EVELYN ESTUDILLO</v>
          </cell>
          <cell r="G174">
            <v>44937</v>
          </cell>
          <cell r="H174" t="str">
            <v>MAURICIO</v>
          </cell>
          <cell r="I174" t="str">
            <v>PASS</v>
          </cell>
          <cell r="J174" t="str">
            <v>SPR8</v>
          </cell>
          <cell r="K174" t="str">
            <v>720-3</v>
          </cell>
          <cell r="L174">
            <v>12</v>
          </cell>
          <cell r="M174" t="str">
            <v>OVALIDAD</v>
          </cell>
        </row>
        <row r="175">
          <cell r="A175">
            <v>20230172</v>
          </cell>
          <cell r="B175">
            <v>44937</v>
          </cell>
          <cell r="C175" t="str">
            <v>34309473B</v>
          </cell>
          <cell r="D175" t="str">
            <v>N/A</v>
          </cell>
          <cell r="E175" t="str">
            <v>OVALIDAD</v>
          </cell>
          <cell r="F175" t="str">
            <v>EVELYN ESTUDILLO</v>
          </cell>
          <cell r="G175">
            <v>44937</v>
          </cell>
          <cell r="H175" t="str">
            <v>MAURICIO</v>
          </cell>
          <cell r="I175" t="str">
            <v>PASS</v>
          </cell>
          <cell r="J175" t="str">
            <v>SPR8</v>
          </cell>
          <cell r="K175" t="str">
            <v>720-4</v>
          </cell>
          <cell r="L175">
            <v>12</v>
          </cell>
          <cell r="M175" t="str">
            <v>OVALIDAD</v>
          </cell>
        </row>
        <row r="176">
          <cell r="A176">
            <v>20230173</v>
          </cell>
          <cell r="B176">
            <v>44937</v>
          </cell>
          <cell r="C176" t="str">
            <v>34301420B</v>
          </cell>
          <cell r="D176" t="str">
            <v>N/A</v>
          </cell>
          <cell r="E176" t="str">
            <v>37,41,42,45</v>
          </cell>
          <cell r="F176" t="str">
            <v>Gabriel Ramos</v>
          </cell>
          <cell r="G176">
            <v>44937</v>
          </cell>
          <cell r="H176" t="str">
            <v>Nohemi</v>
          </cell>
          <cell r="I176" t="str">
            <v>NO PASS</v>
          </cell>
          <cell r="J176" t="str">
            <v>SPR4</v>
          </cell>
          <cell r="K176" t="str">
            <v>702-5</v>
          </cell>
          <cell r="L176" t="str">
            <v>30 PCS</v>
          </cell>
          <cell r="M176"/>
        </row>
        <row r="177">
          <cell r="A177">
            <v>20230174</v>
          </cell>
          <cell r="B177">
            <v>44937</v>
          </cell>
          <cell r="C177" t="str">
            <v>34246437C</v>
          </cell>
          <cell r="D177" t="str">
            <v>N/A</v>
          </cell>
          <cell r="E177" t="str">
            <v>CONCENTRICIDAD</v>
          </cell>
          <cell r="F177" t="str">
            <v>AUGUSTO</v>
          </cell>
          <cell r="G177">
            <v>44937</v>
          </cell>
          <cell r="H177" t="str">
            <v>ERNESTO</v>
          </cell>
          <cell r="I177" t="str">
            <v>PASS</v>
          </cell>
          <cell r="J177" t="str">
            <v>SPR8</v>
          </cell>
          <cell r="K177" t="str">
            <v>720-1</v>
          </cell>
          <cell r="L177">
            <v>12</v>
          </cell>
          <cell r="M177" t="str">
            <v>CONCENTRICIDAD</v>
          </cell>
        </row>
        <row r="178">
          <cell r="A178">
            <v>20230175</v>
          </cell>
          <cell r="B178">
            <v>44937</v>
          </cell>
          <cell r="C178" t="str">
            <v>34246437C</v>
          </cell>
          <cell r="D178" t="str">
            <v>N/A</v>
          </cell>
          <cell r="E178" t="str">
            <v>OVALIDAD</v>
          </cell>
          <cell r="F178" t="str">
            <v>AUGUSTO</v>
          </cell>
          <cell r="G178">
            <v>44937</v>
          </cell>
          <cell r="H178" t="str">
            <v>ERNESTO</v>
          </cell>
          <cell r="I178" t="str">
            <v>PASS</v>
          </cell>
          <cell r="J178" t="str">
            <v>SPR8</v>
          </cell>
          <cell r="K178" t="str">
            <v>720-1</v>
          </cell>
          <cell r="L178">
            <v>12</v>
          </cell>
          <cell r="M178" t="str">
            <v>OVALIDAD</v>
          </cell>
        </row>
        <row r="179">
          <cell r="A179">
            <v>20230176</v>
          </cell>
          <cell r="B179">
            <v>44937</v>
          </cell>
          <cell r="C179" t="str">
            <v>34235231G</v>
          </cell>
          <cell r="D179" t="str">
            <v>N/A</v>
          </cell>
          <cell r="E179" t="str">
            <v>CONCENTRICIDAD</v>
          </cell>
          <cell r="F179" t="str">
            <v>AUGUSTO</v>
          </cell>
          <cell r="G179">
            <v>44937</v>
          </cell>
          <cell r="H179" t="str">
            <v>ERNESTO</v>
          </cell>
          <cell r="I179" t="str">
            <v>PASS</v>
          </cell>
          <cell r="J179" t="str">
            <v>SPR8</v>
          </cell>
          <cell r="K179" t="str">
            <v>720-2</v>
          </cell>
          <cell r="L179">
            <v>12</v>
          </cell>
          <cell r="M179" t="str">
            <v>CONCENTRICIDAD</v>
          </cell>
        </row>
        <row r="180">
          <cell r="A180">
            <v>20230177</v>
          </cell>
          <cell r="B180">
            <v>44937</v>
          </cell>
          <cell r="C180" t="str">
            <v>34235231G</v>
          </cell>
          <cell r="D180" t="str">
            <v>N/A</v>
          </cell>
          <cell r="E180" t="str">
            <v>OVALIDAD</v>
          </cell>
          <cell r="F180" t="str">
            <v>AUGUSTO</v>
          </cell>
          <cell r="G180">
            <v>44937</v>
          </cell>
          <cell r="H180" t="str">
            <v>ERNESTO</v>
          </cell>
          <cell r="I180" t="str">
            <v>PASS</v>
          </cell>
          <cell r="J180" t="str">
            <v>SPR8</v>
          </cell>
          <cell r="K180" t="str">
            <v>720-2</v>
          </cell>
          <cell r="L180">
            <v>12</v>
          </cell>
          <cell r="M180" t="str">
            <v>OVALIDAD</v>
          </cell>
        </row>
        <row r="181">
          <cell r="A181">
            <v>20230178</v>
          </cell>
          <cell r="B181">
            <v>44937</v>
          </cell>
          <cell r="C181" t="str">
            <v>34235234G</v>
          </cell>
          <cell r="D181" t="str">
            <v>N/A</v>
          </cell>
          <cell r="E181" t="str">
            <v>CONCENTRICIDAD</v>
          </cell>
          <cell r="F181" t="str">
            <v>AUGUSTO</v>
          </cell>
          <cell r="G181">
            <v>44937</v>
          </cell>
          <cell r="H181" t="str">
            <v>ERNESTO</v>
          </cell>
          <cell r="I181" t="str">
            <v>PASS</v>
          </cell>
          <cell r="J181" t="str">
            <v>SPR8</v>
          </cell>
          <cell r="K181" t="str">
            <v>720-3</v>
          </cell>
          <cell r="L181">
            <v>18</v>
          </cell>
          <cell r="M181" t="str">
            <v>CONCENTRICIDAD</v>
          </cell>
        </row>
        <row r="182">
          <cell r="A182">
            <v>20230179</v>
          </cell>
          <cell r="B182">
            <v>44937</v>
          </cell>
          <cell r="C182" t="str">
            <v>34235234G</v>
          </cell>
          <cell r="D182" t="str">
            <v>N/A</v>
          </cell>
          <cell r="E182" t="str">
            <v>OVALIDAD</v>
          </cell>
          <cell r="F182" t="str">
            <v>AUGUSTO</v>
          </cell>
          <cell r="G182">
            <v>44937</v>
          </cell>
          <cell r="H182" t="str">
            <v>ERNESTO</v>
          </cell>
          <cell r="I182" t="str">
            <v>PASS</v>
          </cell>
          <cell r="J182" t="str">
            <v>SPR8</v>
          </cell>
          <cell r="K182" t="str">
            <v>720-3</v>
          </cell>
          <cell r="L182">
            <v>18</v>
          </cell>
          <cell r="M182" t="str">
            <v>OVALIDAD</v>
          </cell>
        </row>
        <row r="183">
          <cell r="A183">
            <v>20230180</v>
          </cell>
          <cell r="B183">
            <v>44937</v>
          </cell>
          <cell r="C183" t="str">
            <v>34309473B</v>
          </cell>
          <cell r="D183" t="str">
            <v>N/A</v>
          </cell>
          <cell r="E183" t="str">
            <v>CONCENTRICIDAD</v>
          </cell>
          <cell r="F183" t="str">
            <v>AUGUSTO</v>
          </cell>
          <cell r="G183">
            <v>44937</v>
          </cell>
          <cell r="H183" t="str">
            <v>ERNESTO</v>
          </cell>
          <cell r="I183" t="str">
            <v>PASS</v>
          </cell>
          <cell r="J183" t="str">
            <v>SPR8</v>
          </cell>
          <cell r="K183" t="str">
            <v>720-4</v>
          </cell>
          <cell r="L183">
            <v>12</v>
          </cell>
          <cell r="M183" t="str">
            <v>CONCENTRICIDAD</v>
          </cell>
        </row>
        <row r="184">
          <cell r="A184">
            <v>20230181</v>
          </cell>
          <cell r="B184">
            <v>44937</v>
          </cell>
          <cell r="C184" t="str">
            <v>34309473B</v>
          </cell>
          <cell r="D184" t="str">
            <v>N/A</v>
          </cell>
          <cell r="E184" t="str">
            <v>OVALIDAD</v>
          </cell>
          <cell r="F184" t="str">
            <v>AUGUSTO</v>
          </cell>
          <cell r="G184">
            <v>44937</v>
          </cell>
          <cell r="H184" t="str">
            <v>ERNESTO</v>
          </cell>
          <cell r="I184" t="str">
            <v>PASS</v>
          </cell>
          <cell r="J184" t="str">
            <v>SPR8</v>
          </cell>
          <cell r="K184" t="str">
            <v>720-4</v>
          </cell>
          <cell r="L184">
            <v>12</v>
          </cell>
          <cell r="M184" t="str">
            <v>OVALIDAD</v>
          </cell>
        </row>
        <row r="185">
          <cell r="A185">
            <v>20230182</v>
          </cell>
          <cell r="B185">
            <v>44937</v>
          </cell>
          <cell r="C185" t="str">
            <v>34235233G</v>
          </cell>
          <cell r="D185" t="str">
            <v>N/A</v>
          </cell>
          <cell r="E185" t="str">
            <v>CONCENTRICIDAD</v>
          </cell>
          <cell r="F185" t="str">
            <v>AUGUSTO</v>
          </cell>
          <cell r="G185">
            <v>44937</v>
          </cell>
          <cell r="H185" t="str">
            <v>ERNESTO</v>
          </cell>
          <cell r="I185" t="str">
            <v>PASS</v>
          </cell>
          <cell r="J185" t="str">
            <v>SPR8</v>
          </cell>
          <cell r="K185" t="str">
            <v>720-5</v>
          </cell>
          <cell r="L185">
            <v>12</v>
          </cell>
          <cell r="M185" t="str">
            <v>CONCENTRICIDAD</v>
          </cell>
        </row>
        <row r="186">
          <cell r="A186">
            <v>20230183</v>
          </cell>
          <cell r="B186">
            <v>44937</v>
          </cell>
          <cell r="C186" t="str">
            <v>34235233G</v>
          </cell>
          <cell r="D186" t="str">
            <v>N/A</v>
          </cell>
          <cell r="E186" t="str">
            <v>OVALIDAD</v>
          </cell>
          <cell r="F186" t="str">
            <v>AUGUSTO</v>
          </cell>
          <cell r="G186">
            <v>44937</v>
          </cell>
          <cell r="H186" t="str">
            <v>ERNESTO</v>
          </cell>
          <cell r="I186" t="str">
            <v>PASS</v>
          </cell>
          <cell r="J186" t="str">
            <v>SPR8</v>
          </cell>
          <cell r="K186" t="str">
            <v>720-5</v>
          </cell>
          <cell r="L186">
            <v>12</v>
          </cell>
          <cell r="M186" t="str">
            <v>OVALIDAD</v>
          </cell>
        </row>
        <row r="187">
          <cell r="A187">
            <v>20230184</v>
          </cell>
          <cell r="B187">
            <v>44937</v>
          </cell>
          <cell r="C187" t="str">
            <v>34138932F</v>
          </cell>
          <cell r="D187" t="str">
            <v>F99142C09A</v>
          </cell>
          <cell r="E187">
            <v>86</v>
          </cell>
          <cell r="F187" t="str">
            <v>MARIA SUSTAITA</v>
          </cell>
          <cell r="G187">
            <v>44938</v>
          </cell>
          <cell r="H187" t="str">
            <v>MAURICIO</v>
          </cell>
          <cell r="I187" t="str">
            <v>PASS</v>
          </cell>
          <cell r="J187" t="str">
            <v>N/A</v>
          </cell>
          <cell r="K187" t="str">
            <v>ACE MOLD</v>
          </cell>
          <cell r="L187">
            <v>24</v>
          </cell>
          <cell r="M187" t="str">
            <v>PLANO MARCADO</v>
          </cell>
        </row>
        <row r="188">
          <cell r="A188">
            <v>20230185</v>
          </cell>
          <cell r="B188">
            <v>44937</v>
          </cell>
          <cell r="C188" t="str">
            <v>34185550F</v>
          </cell>
          <cell r="D188" t="str">
            <v>N/A</v>
          </cell>
          <cell r="E188" t="str">
            <v>QA#250</v>
          </cell>
          <cell r="F188" t="str">
            <v>NICOLAS MENDOZA</v>
          </cell>
          <cell r="G188">
            <v>44938</v>
          </cell>
          <cell r="H188" t="str">
            <v>Luis</v>
          </cell>
          <cell r="I188" t="str">
            <v>PASS</v>
          </cell>
          <cell r="J188" t="str">
            <v>N/A</v>
          </cell>
          <cell r="K188" t="str">
            <v>N/A</v>
          </cell>
          <cell r="L188">
            <v>4</v>
          </cell>
          <cell r="M188"/>
        </row>
        <row r="189">
          <cell r="A189">
            <v>20230186</v>
          </cell>
          <cell r="B189">
            <v>44938</v>
          </cell>
          <cell r="C189" t="str">
            <v>A025Y203A</v>
          </cell>
          <cell r="D189" t="str">
            <v>N/A</v>
          </cell>
          <cell r="E189" t="str">
            <v>37,14</v>
          </cell>
          <cell r="F189" t="str">
            <v>Javier Bautista</v>
          </cell>
          <cell r="G189">
            <v>44938</v>
          </cell>
          <cell r="H189" t="str">
            <v>Nohemi</v>
          </cell>
          <cell r="I189" t="str">
            <v>PASS</v>
          </cell>
          <cell r="J189" t="str">
            <v>AU436</v>
          </cell>
          <cell r="K189" t="str">
            <v>709-A</v>
          </cell>
          <cell r="L189">
            <v>5</v>
          </cell>
          <cell r="M189" t="str">
            <v>DN0016399</v>
          </cell>
        </row>
        <row r="190">
          <cell r="A190">
            <v>20230187</v>
          </cell>
          <cell r="B190">
            <v>44938</v>
          </cell>
          <cell r="C190" t="str">
            <v>34265160A</v>
          </cell>
          <cell r="D190" t="str">
            <v>N/A</v>
          </cell>
          <cell r="E190" t="str">
            <v>11,9,4,13</v>
          </cell>
          <cell r="F190" t="str">
            <v>Javier Bautista</v>
          </cell>
          <cell r="G190">
            <v>44938</v>
          </cell>
          <cell r="H190" t="str">
            <v>Nohemi</v>
          </cell>
          <cell r="I190" t="str">
            <v>PASS</v>
          </cell>
          <cell r="J190" t="str">
            <v>AU436</v>
          </cell>
          <cell r="K190" t="str">
            <v>709-A</v>
          </cell>
          <cell r="L190">
            <v>4</v>
          </cell>
          <cell r="M190"/>
        </row>
        <row r="191">
          <cell r="A191">
            <v>20230188</v>
          </cell>
          <cell r="B191">
            <v>44938</v>
          </cell>
          <cell r="C191" t="str">
            <v>34268365C</v>
          </cell>
          <cell r="D191" t="str">
            <v>N/A</v>
          </cell>
          <cell r="E191" t="str">
            <v>3,5,11</v>
          </cell>
          <cell r="F191" t="str">
            <v>Javier Bautista</v>
          </cell>
          <cell r="G191">
            <v>44938</v>
          </cell>
          <cell r="H191" t="str">
            <v>Nohemi</v>
          </cell>
          <cell r="I191" t="str">
            <v>PASS</v>
          </cell>
          <cell r="J191" t="str">
            <v>U55X</v>
          </cell>
          <cell r="K191" t="str">
            <v>135-1</v>
          </cell>
          <cell r="L191" t="str">
            <v>2 PCS</v>
          </cell>
          <cell r="M191" t="str">
            <v>BPW 22-34300296</v>
          </cell>
        </row>
        <row r="192">
          <cell r="A192">
            <v>20230189</v>
          </cell>
          <cell r="B192">
            <v>44938</v>
          </cell>
          <cell r="C192" t="str">
            <v>34242909A</v>
          </cell>
          <cell r="D192">
            <v>2300201111</v>
          </cell>
          <cell r="E192" t="str">
            <v>22 23 24</v>
          </cell>
          <cell r="F192" t="str">
            <v>JORGE GONZALEZ</v>
          </cell>
          <cell r="G192">
            <v>44938</v>
          </cell>
          <cell r="H192" t="str">
            <v>MAURICIO</v>
          </cell>
          <cell r="I192" t="str">
            <v>PASS</v>
          </cell>
          <cell r="J192" t="str">
            <v>N/A</v>
          </cell>
          <cell r="K192" t="str">
            <v>ACS</v>
          </cell>
          <cell r="L192">
            <v>5</v>
          </cell>
          <cell r="M192" t="str">
            <v>PLANO MARCADO</v>
          </cell>
        </row>
        <row r="193">
          <cell r="A193">
            <v>20230190</v>
          </cell>
          <cell r="B193">
            <v>44938</v>
          </cell>
          <cell r="C193" t="str">
            <v>34247036B</v>
          </cell>
          <cell r="D193" t="str">
            <v>N/A</v>
          </cell>
          <cell r="E193">
            <v>15</v>
          </cell>
          <cell r="F193" t="str">
            <v>Javier Bautista</v>
          </cell>
          <cell r="G193">
            <v>44938</v>
          </cell>
          <cell r="H193" t="str">
            <v>Nohemi</v>
          </cell>
          <cell r="I193" t="str">
            <v>PASS</v>
          </cell>
          <cell r="J193" t="str">
            <v>T1XX</v>
          </cell>
          <cell r="K193">
            <v>767</v>
          </cell>
          <cell r="L193">
            <v>4</v>
          </cell>
          <cell r="M193"/>
        </row>
        <row r="194">
          <cell r="A194">
            <v>20230191</v>
          </cell>
          <cell r="B194">
            <v>44938</v>
          </cell>
          <cell r="C194" t="str">
            <v>A025Y204A</v>
          </cell>
          <cell r="D194" t="str">
            <v>N/A</v>
          </cell>
          <cell r="E194" t="str">
            <v>37,14</v>
          </cell>
          <cell r="F194" t="str">
            <v>Javier Bautista</v>
          </cell>
          <cell r="G194">
            <v>44938</v>
          </cell>
          <cell r="H194" t="str">
            <v>Nohemi</v>
          </cell>
          <cell r="I194" t="str">
            <v>PASS</v>
          </cell>
          <cell r="J194" t="str">
            <v>AU436</v>
          </cell>
          <cell r="K194" t="str">
            <v>706-A</v>
          </cell>
          <cell r="L194">
            <v>5</v>
          </cell>
          <cell r="M194" t="str">
            <v>DN0016399</v>
          </cell>
        </row>
        <row r="195">
          <cell r="A195">
            <v>20230192</v>
          </cell>
          <cell r="B195">
            <v>44938</v>
          </cell>
          <cell r="C195" t="str">
            <v>34265159A</v>
          </cell>
          <cell r="D195" t="str">
            <v>N/A</v>
          </cell>
          <cell r="E195" t="str">
            <v>4,9,11,13</v>
          </cell>
          <cell r="F195" t="str">
            <v>Javier Bautista</v>
          </cell>
          <cell r="G195">
            <v>44938</v>
          </cell>
          <cell r="H195" t="str">
            <v>Nohemi</v>
          </cell>
          <cell r="I195" t="str">
            <v>PASS</v>
          </cell>
          <cell r="J195" t="str">
            <v>AU436</v>
          </cell>
          <cell r="K195" t="str">
            <v>706-A</v>
          </cell>
          <cell r="L195">
            <v>4</v>
          </cell>
          <cell r="M195"/>
        </row>
        <row r="196">
          <cell r="A196">
            <v>20230193</v>
          </cell>
          <cell r="B196">
            <v>44938</v>
          </cell>
          <cell r="C196" t="str">
            <v>34296438C</v>
          </cell>
          <cell r="D196" t="str">
            <v>N/A</v>
          </cell>
          <cell r="E196" t="str">
            <v>CONCENTRICIDAD</v>
          </cell>
          <cell r="F196" t="str">
            <v>EVELYN ESTUDILLO</v>
          </cell>
          <cell r="G196">
            <v>44938</v>
          </cell>
          <cell r="H196" t="str">
            <v>MAURICIO</v>
          </cell>
          <cell r="I196" t="str">
            <v>PASS</v>
          </cell>
          <cell r="J196" t="str">
            <v>SPR8</v>
          </cell>
          <cell r="K196" t="str">
            <v>720-2</v>
          </cell>
          <cell r="L196">
            <v>12</v>
          </cell>
          <cell r="M196" t="str">
            <v>CONCENTRICIDAD</v>
          </cell>
        </row>
        <row r="197">
          <cell r="A197">
            <v>20230194</v>
          </cell>
          <cell r="B197">
            <v>44938</v>
          </cell>
          <cell r="C197" t="str">
            <v>34262544F</v>
          </cell>
          <cell r="D197" t="str">
            <v>N/A</v>
          </cell>
          <cell r="E197" t="str">
            <v>CONCENTRICIDAD</v>
          </cell>
          <cell r="F197" t="str">
            <v>EVELYN ESTUDILLO</v>
          </cell>
          <cell r="G197">
            <v>44938</v>
          </cell>
          <cell r="H197" t="str">
            <v>MAURICIO</v>
          </cell>
          <cell r="I197" t="str">
            <v>PASS</v>
          </cell>
          <cell r="J197" t="str">
            <v>SPR8</v>
          </cell>
          <cell r="K197" t="str">
            <v>720-3</v>
          </cell>
          <cell r="L197">
            <v>12</v>
          </cell>
          <cell r="M197" t="str">
            <v>CONCENTRICIDAD</v>
          </cell>
        </row>
        <row r="198">
          <cell r="A198">
            <v>20230195</v>
          </cell>
          <cell r="B198">
            <v>44938</v>
          </cell>
          <cell r="C198" t="str">
            <v>34296437C</v>
          </cell>
          <cell r="D198" t="str">
            <v>N/A</v>
          </cell>
          <cell r="E198" t="str">
            <v>CONCENTRICIDAD</v>
          </cell>
          <cell r="F198" t="str">
            <v>EVELYN ESTUDILLO</v>
          </cell>
          <cell r="G198">
            <v>44938</v>
          </cell>
          <cell r="H198" t="str">
            <v>MAURICIO</v>
          </cell>
          <cell r="I198" t="str">
            <v>PASS</v>
          </cell>
          <cell r="J198" t="str">
            <v>SPR8</v>
          </cell>
          <cell r="K198" t="str">
            <v>720-1</v>
          </cell>
          <cell r="L198">
            <v>12</v>
          </cell>
          <cell r="M198" t="str">
            <v>CONCENTRICIDAD</v>
          </cell>
        </row>
        <row r="199">
          <cell r="A199">
            <v>20230196</v>
          </cell>
          <cell r="B199">
            <v>44938</v>
          </cell>
          <cell r="C199" t="str">
            <v>34361270A</v>
          </cell>
          <cell r="D199" t="str">
            <v>N/A</v>
          </cell>
          <cell r="E199" t="str">
            <v>CONCENTRICIDAD</v>
          </cell>
          <cell r="F199" t="str">
            <v>EVELYN ESTUDILLO</v>
          </cell>
          <cell r="G199">
            <v>44938</v>
          </cell>
          <cell r="H199" t="str">
            <v>MAURICIO</v>
          </cell>
          <cell r="I199" t="str">
            <v>PASS</v>
          </cell>
          <cell r="J199" t="str">
            <v>SPR8</v>
          </cell>
          <cell r="K199" t="str">
            <v>720-4</v>
          </cell>
          <cell r="L199">
            <v>12</v>
          </cell>
          <cell r="M199" t="str">
            <v>CONCENTRICIDAD</v>
          </cell>
        </row>
        <row r="200">
          <cell r="A200">
            <v>20230197</v>
          </cell>
          <cell r="B200">
            <v>44938</v>
          </cell>
          <cell r="C200" t="str">
            <v>A020R620A</v>
          </cell>
          <cell r="D200" t="str">
            <v>N/A</v>
          </cell>
          <cell r="E200" t="str">
            <v>CONCENTRICIDAD</v>
          </cell>
          <cell r="F200" t="str">
            <v>EVELYN ESTUDILLO</v>
          </cell>
          <cell r="G200">
            <v>44938</v>
          </cell>
          <cell r="H200" t="str">
            <v>MAURICIO</v>
          </cell>
          <cell r="I200" t="str">
            <v>PASS</v>
          </cell>
          <cell r="J200" t="str">
            <v>SPR8</v>
          </cell>
          <cell r="K200" t="str">
            <v>720-6</v>
          </cell>
          <cell r="L200">
            <v>12</v>
          </cell>
          <cell r="M200" t="str">
            <v>CONCENTRICIDAD</v>
          </cell>
        </row>
        <row r="201">
          <cell r="A201">
            <v>20230198</v>
          </cell>
          <cell r="B201">
            <v>44938</v>
          </cell>
          <cell r="C201" t="str">
            <v>34327673B</v>
          </cell>
          <cell r="D201" t="str">
            <v>N/A</v>
          </cell>
          <cell r="E201" t="str">
            <v>CONCENTRICIDAD</v>
          </cell>
          <cell r="F201" t="str">
            <v>EVELYN ESTUDILLO</v>
          </cell>
          <cell r="G201">
            <v>44938</v>
          </cell>
          <cell r="H201" t="str">
            <v>MAURICIO</v>
          </cell>
          <cell r="I201" t="str">
            <v>PASS</v>
          </cell>
          <cell r="J201" t="str">
            <v>SPR8</v>
          </cell>
          <cell r="K201" t="str">
            <v>720-5</v>
          </cell>
          <cell r="L201">
            <v>12</v>
          </cell>
          <cell r="M201" t="str">
            <v>CONCENTRICIDAD</v>
          </cell>
        </row>
        <row r="202">
          <cell r="A202">
            <v>20230199</v>
          </cell>
          <cell r="B202">
            <v>44938</v>
          </cell>
          <cell r="C202" t="str">
            <v>34296438C</v>
          </cell>
          <cell r="D202" t="str">
            <v>N/A</v>
          </cell>
          <cell r="E202" t="str">
            <v>OVALIDAD</v>
          </cell>
          <cell r="F202" t="str">
            <v>EVELYN ESTUDILLO</v>
          </cell>
          <cell r="G202">
            <v>44938</v>
          </cell>
          <cell r="H202" t="str">
            <v>MAURICIO</v>
          </cell>
          <cell r="I202" t="str">
            <v>PASS</v>
          </cell>
          <cell r="J202" t="str">
            <v>SPR8</v>
          </cell>
          <cell r="K202" t="str">
            <v>720-2</v>
          </cell>
          <cell r="L202">
            <v>12</v>
          </cell>
          <cell r="M202" t="str">
            <v>OVALIDAD</v>
          </cell>
        </row>
        <row r="203">
          <cell r="A203">
            <v>20230200</v>
          </cell>
          <cell r="B203">
            <v>44938</v>
          </cell>
          <cell r="C203" t="str">
            <v>34262544F</v>
          </cell>
          <cell r="D203" t="str">
            <v>N/A</v>
          </cell>
          <cell r="E203" t="str">
            <v>OVALIDAD</v>
          </cell>
          <cell r="F203" t="str">
            <v>EVELYN ESTUDILLO</v>
          </cell>
          <cell r="G203">
            <v>44938</v>
          </cell>
          <cell r="H203" t="str">
            <v>MAURICIO</v>
          </cell>
          <cell r="I203" t="str">
            <v>PASS</v>
          </cell>
          <cell r="J203" t="str">
            <v>SPR8</v>
          </cell>
          <cell r="K203" t="str">
            <v>720-3</v>
          </cell>
          <cell r="L203">
            <v>12</v>
          </cell>
          <cell r="M203" t="str">
            <v>OVALIDAD</v>
          </cell>
        </row>
        <row r="204">
          <cell r="A204">
            <v>20230201</v>
          </cell>
          <cell r="B204">
            <v>44938</v>
          </cell>
          <cell r="C204" t="str">
            <v>34296437C</v>
          </cell>
          <cell r="D204" t="str">
            <v>N/A</v>
          </cell>
          <cell r="E204" t="str">
            <v>OVALIDAD</v>
          </cell>
          <cell r="F204" t="str">
            <v>EVELYN ESTUDILLO</v>
          </cell>
          <cell r="G204">
            <v>44938</v>
          </cell>
          <cell r="H204" t="str">
            <v>MAURICIO</v>
          </cell>
          <cell r="I204" t="str">
            <v>PASS</v>
          </cell>
          <cell r="J204" t="str">
            <v>SPR8</v>
          </cell>
          <cell r="K204" t="str">
            <v>720-1</v>
          </cell>
          <cell r="L204">
            <v>12</v>
          </cell>
          <cell r="M204" t="str">
            <v>OVALIDAD</v>
          </cell>
        </row>
        <row r="205">
          <cell r="A205">
            <v>20230202</v>
          </cell>
          <cell r="B205">
            <v>44938</v>
          </cell>
          <cell r="C205" t="str">
            <v>34361270A</v>
          </cell>
          <cell r="D205" t="str">
            <v>N/A</v>
          </cell>
          <cell r="E205" t="str">
            <v>OVALIDAD</v>
          </cell>
          <cell r="F205" t="str">
            <v>EVELYN ESTUDILLO</v>
          </cell>
          <cell r="G205">
            <v>44938</v>
          </cell>
          <cell r="H205" t="str">
            <v>MAURICIO</v>
          </cell>
          <cell r="I205" t="str">
            <v>PASS</v>
          </cell>
          <cell r="J205" t="str">
            <v>SPR8</v>
          </cell>
          <cell r="K205" t="str">
            <v>720-4</v>
          </cell>
          <cell r="L205">
            <v>12</v>
          </cell>
          <cell r="M205" t="str">
            <v>OVALIDAD</v>
          </cell>
        </row>
        <row r="206">
          <cell r="A206">
            <v>20230203</v>
          </cell>
          <cell r="B206">
            <v>44938</v>
          </cell>
          <cell r="C206" t="str">
            <v>A020R620A</v>
          </cell>
          <cell r="D206" t="str">
            <v>N/A</v>
          </cell>
          <cell r="E206" t="str">
            <v>OVALIDAD</v>
          </cell>
          <cell r="F206" t="str">
            <v>EVELYN ESTUDILLO</v>
          </cell>
          <cell r="G206">
            <v>44938</v>
          </cell>
          <cell r="H206" t="str">
            <v>MAURICIO</v>
          </cell>
          <cell r="I206" t="str">
            <v>PASS</v>
          </cell>
          <cell r="J206" t="str">
            <v>SPR8</v>
          </cell>
          <cell r="K206" t="str">
            <v>720-6</v>
          </cell>
          <cell r="L206">
            <v>12</v>
          </cell>
          <cell r="M206" t="str">
            <v>OVALIDAD</v>
          </cell>
        </row>
        <row r="207">
          <cell r="A207">
            <v>20230204</v>
          </cell>
          <cell r="B207">
            <v>44938</v>
          </cell>
          <cell r="C207" t="str">
            <v>34327673B</v>
          </cell>
          <cell r="D207" t="str">
            <v>N/A</v>
          </cell>
          <cell r="E207" t="str">
            <v>OVALIDAD</v>
          </cell>
          <cell r="F207" t="str">
            <v>EVELYN ESTUDILLO</v>
          </cell>
          <cell r="G207">
            <v>44938</v>
          </cell>
          <cell r="H207" t="str">
            <v>MAURICIO</v>
          </cell>
          <cell r="I207" t="str">
            <v>PASS</v>
          </cell>
          <cell r="J207" t="str">
            <v>SPR8</v>
          </cell>
          <cell r="K207" t="str">
            <v>720-5</v>
          </cell>
          <cell r="L207">
            <v>12</v>
          </cell>
          <cell r="M207" t="str">
            <v>OVALIDAD</v>
          </cell>
        </row>
        <row r="208">
          <cell r="A208">
            <v>20230205</v>
          </cell>
          <cell r="B208">
            <v>44938</v>
          </cell>
          <cell r="C208" t="str">
            <v>34296437C</v>
          </cell>
          <cell r="D208" t="str">
            <v>N/A</v>
          </cell>
          <cell r="E208" t="str">
            <v>CONCENTRICIDAD</v>
          </cell>
          <cell r="F208" t="str">
            <v>AUGUSTO</v>
          </cell>
          <cell r="G208">
            <v>44938</v>
          </cell>
          <cell r="H208" t="str">
            <v>ERNESTO</v>
          </cell>
          <cell r="I208" t="str">
            <v>PASS</v>
          </cell>
          <cell r="J208" t="str">
            <v>SPR8</v>
          </cell>
          <cell r="K208" t="str">
            <v>720-1</v>
          </cell>
          <cell r="L208">
            <v>12</v>
          </cell>
          <cell r="M208" t="str">
            <v>CONCENTRICIDAD</v>
          </cell>
        </row>
        <row r="209">
          <cell r="A209">
            <v>20230206</v>
          </cell>
          <cell r="B209">
            <v>44938</v>
          </cell>
          <cell r="C209" t="str">
            <v>34296437C</v>
          </cell>
          <cell r="D209" t="str">
            <v>N/A</v>
          </cell>
          <cell r="E209" t="str">
            <v>OVALIDAD</v>
          </cell>
          <cell r="F209" t="str">
            <v>AUGUSTO</v>
          </cell>
          <cell r="G209">
            <v>44938</v>
          </cell>
          <cell r="H209" t="str">
            <v>ERNESTO</v>
          </cell>
          <cell r="I209" t="str">
            <v>PASS</v>
          </cell>
          <cell r="J209" t="str">
            <v>SPR8</v>
          </cell>
          <cell r="K209" t="str">
            <v>720-1</v>
          </cell>
          <cell r="L209">
            <v>12</v>
          </cell>
          <cell r="M209" t="str">
            <v>OVALIDAD</v>
          </cell>
        </row>
        <row r="210">
          <cell r="A210">
            <v>20230207</v>
          </cell>
          <cell r="B210">
            <v>44938</v>
          </cell>
          <cell r="C210" t="str">
            <v>34235234G</v>
          </cell>
          <cell r="D210" t="str">
            <v>N/A</v>
          </cell>
          <cell r="E210" t="str">
            <v>CONCENTRICIDAD</v>
          </cell>
          <cell r="F210" t="str">
            <v>AUGUSTO</v>
          </cell>
          <cell r="G210">
            <v>44938</v>
          </cell>
          <cell r="H210" t="str">
            <v>ERNESTO</v>
          </cell>
          <cell r="I210" t="str">
            <v>PASS</v>
          </cell>
          <cell r="J210" t="str">
            <v>SPR8</v>
          </cell>
          <cell r="K210" t="str">
            <v>720-2</v>
          </cell>
          <cell r="L210">
            <v>12</v>
          </cell>
          <cell r="M210" t="str">
            <v>CONCENTRICIDAD</v>
          </cell>
        </row>
        <row r="211">
          <cell r="A211">
            <v>20230208</v>
          </cell>
          <cell r="B211">
            <v>44938</v>
          </cell>
          <cell r="C211" t="str">
            <v>34235234G</v>
          </cell>
          <cell r="D211" t="str">
            <v>N/A</v>
          </cell>
          <cell r="E211" t="str">
            <v>OVALIDAD</v>
          </cell>
          <cell r="F211" t="str">
            <v>AUGUSTO</v>
          </cell>
          <cell r="G211">
            <v>44938</v>
          </cell>
          <cell r="H211" t="str">
            <v>ERNESTO</v>
          </cell>
          <cell r="I211" t="str">
            <v>PASS</v>
          </cell>
          <cell r="J211" t="str">
            <v>SPR8</v>
          </cell>
          <cell r="K211" t="str">
            <v>720-2</v>
          </cell>
          <cell r="L211">
            <v>12</v>
          </cell>
          <cell r="M211" t="str">
            <v>OVALIDAD</v>
          </cell>
        </row>
        <row r="212">
          <cell r="A212">
            <v>20230209</v>
          </cell>
          <cell r="B212">
            <v>44938</v>
          </cell>
          <cell r="C212" t="str">
            <v>34235232G</v>
          </cell>
          <cell r="D212" t="str">
            <v>N/A</v>
          </cell>
          <cell r="E212" t="str">
            <v>CONCENTRICIDAD</v>
          </cell>
          <cell r="F212" t="str">
            <v>AUGUSTO</v>
          </cell>
          <cell r="G212">
            <v>44938</v>
          </cell>
          <cell r="H212" t="str">
            <v>ERNESTO</v>
          </cell>
          <cell r="I212" t="str">
            <v>PASS</v>
          </cell>
          <cell r="J212" t="str">
            <v>SPR8</v>
          </cell>
          <cell r="K212" t="str">
            <v>720-3</v>
          </cell>
          <cell r="L212">
            <v>18</v>
          </cell>
          <cell r="M212" t="str">
            <v>CONCENTRICIDAD</v>
          </cell>
        </row>
        <row r="213">
          <cell r="A213">
            <v>20230210</v>
          </cell>
          <cell r="B213">
            <v>44938</v>
          </cell>
          <cell r="C213" t="str">
            <v>34235232G</v>
          </cell>
          <cell r="D213" t="str">
            <v>N/A</v>
          </cell>
          <cell r="E213" t="str">
            <v>OVALIDAD</v>
          </cell>
          <cell r="F213" t="str">
            <v>AUGUSTO</v>
          </cell>
          <cell r="G213">
            <v>44938</v>
          </cell>
          <cell r="H213" t="str">
            <v>ERNESTO</v>
          </cell>
          <cell r="I213" t="str">
            <v>PASS</v>
          </cell>
          <cell r="J213" t="str">
            <v>SPR8</v>
          </cell>
          <cell r="K213" t="str">
            <v>720-3</v>
          </cell>
          <cell r="L213">
            <v>18</v>
          </cell>
          <cell r="M213" t="str">
            <v>OVALIDAD</v>
          </cell>
        </row>
        <row r="214">
          <cell r="A214">
            <v>20230211</v>
          </cell>
          <cell r="B214">
            <v>44938</v>
          </cell>
          <cell r="C214" t="str">
            <v>34361270A</v>
          </cell>
          <cell r="D214" t="str">
            <v>N/A</v>
          </cell>
          <cell r="E214" t="str">
            <v>CONCENTRICIDAD</v>
          </cell>
          <cell r="F214" t="str">
            <v>AUGUSTO</v>
          </cell>
          <cell r="G214">
            <v>44938</v>
          </cell>
          <cell r="H214" t="str">
            <v>ERNESTO</v>
          </cell>
          <cell r="I214" t="str">
            <v>PASS</v>
          </cell>
          <cell r="J214" t="str">
            <v>SPR8</v>
          </cell>
          <cell r="K214" t="str">
            <v>720-4</v>
          </cell>
          <cell r="L214">
            <v>12</v>
          </cell>
          <cell r="M214" t="str">
            <v>CONCENTRICIDAD</v>
          </cell>
        </row>
        <row r="215">
          <cell r="A215">
            <v>20230212</v>
          </cell>
          <cell r="B215">
            <v>44938</v>
          </cell>
          <cell r="C215" t="str">
            <v>34361270A</v>
          </cell>
          <cell r="D215" t="str">
            <v>N/A</v>
          </cell>
          <cell r="E215" t="str">
            <v>OVALIDAD</v>
          </cell>
          <cell r="F215" t="str">
            <v>AUGUSTO</v>
          </cell>
          <cell r="G215">
            <v>44938</v>
          </cell>
          <cell r="H215" t="str">
            <v>ERNESTO</v>
          </cell>
          <cell r="I215" t="str">
            <v>PASS</v>
          </cell>
          <cell r="J215" t="str">
            <v>SPR8</v>
          </cell>
          <cell r="K215" t="str">
            <v>720-4</v>
          </cell>
          <cell r="L215">
            <v>12</v>
          </cell>
          <cell r="M215" t="str">
            <v>OVALIDAD</v>
          </cell>
        </row>
        <row r="216">
          <cell r="A216">
            <v>20230213</v>
          </cell>
          <cell r="B216">
            <v>44938</v>
          </cell>
          <cell r="C216" t="str">
            <v>34235231G</v>
          </cell>
          <cell r="D216" t="str">
            <v>N/A</v>
          </cell>
          <cell r="E216" t="str">
            <v>CONCENTRICIDAD</v>
          </cell>
          <cell r="F216" t="str">
            <v>AUGUSTO</v>
          </cell>
          <cell r="G216">
            <v>44938</v>
          </cell>
          <cell r="H216" t="str">
            <v>ERNESTO</v>
          </cell>
          <cell r="I216" t="str">
            <v>PASS</v>
          </cell>
          <cell r="J216" t="str">
            <v>SPR8</v>
          </cell>
          <cell r="K216" t="str">
            <v>720-5</v>
          </cell>
          <cell r="L216">
            <v>12</v>
          </cell>
          <cell r="M216" t="str">
            <v>CONCENTRICIDAD</v>
          </cell>
        </row>
        <row r="217">
          <cell r="A217">
            <v>20230214</v>
          </cell>
          <cell r="B217">
            <v>44938</v>
          </cell>
          <cell r="C217" t="str">
            <v>34235231G</v>
          </cell>
          <cell r="D217" t="str">
            <v>N/A</v>
          </cell>
          <cell r="E217" t="str">
            <v>OVALIDAD</v>
          </cell>
          <cell r="F217" t="str">
            <v>AUGUSTO</v>
          </cell>
          <cell r="G217">
            <v>44938</v>
          </cell>
          <cell r="H217" t="str">
            <v>ERNESTO</v>
          </cell>
          <cell r="I217" t="str">
            <v>PASS</v>
          </cell>
          <cell r="J217" t="str">
            <v>SPR8</v>
          </cell>
          <cell r="K217" t="str">
            <v>720-5</v>
          </cell>
          <cell r="L217">
            <v>12</v>
          </cell>
          <cell r="M217" t="str">
            <v>OVALIDAD</v>
          </cell>
        </row>
        <row r="218">
          <cell r="A218">
            <v>20230215</v>
          </cell>
          <cell r="B218">
            <v>44938</v>
          </cell>
          <cell r="C218" t="str">
            <v>A020R619B</v>
          </cell>
          <cell r="D218" t="str">
            <v>N/A</v>
          </cell>
          <cell r="E218" t="str">
            <v>CONCENTRICIDAD</v>
          </cell>
          <cell r="F218" t="str">
            <v>AUGUSTO</v>
          </cell>
          <cell r="G218">
            <v>44938</v>
          </cell>
          <cell r="H218" t="str">
            <v>ERNESTO</v>
          </cell>
          <cell r="I218" t="str">
            <v>PASS</v>
          </cell>
          <cell r="J218" t="str">
            <v>SPR8</v>
          </cell>
          <cell r="K218" t="str">
            <v>720-6</v>
          </cell>
          <cell r="L218">
            <v>12</v>
          </cell>
          <cell r="M218" t="str">
            <v>CONCENTRICIDAD</v>
          </cell>
        </row>
        <row r="219">
          <cell r="A219">
            <v>20230216</v>
          </cell>
          <cell r="B219">
            <v>44938</v>
          </cell>
          <cell r="C219" t="str">
            <v>A020R619B</v>
          </cell>
          <cell r="D219" t="str">
            <v>N/A</v>
          </cell>
          <cell r="E219" t="str">
            <v>OVALIDAD</v>
          </cell>
          <cell r="F219" t="str">
            <v>AUGUSTO</v>
          </cell>
          <cell r="G219">
            <v>44938</v>
          </cell>
          <cell r="H219" t="str">
            <v>ERNESTO</v>
          </cell>
          <cell r="I219" t="str">
            <v>PASS</v>
          </cell>
          <cell r="J219" t="str">
            <v>SPR8</v>
          </cell>
          <cell r="K219" t="str">
            <v>720-6</v>
          </cell>
          <cell r="L219">
            <v>12</v>
          </cell>
          <cell r="M219" t="str">
            <v>OVALIDAD</v>
          </cell>
        </row>
        <row r="220">
          <cell r="A220">
            <v>20230217</v>
          </cell>
          <cell r="B220">
            <v>44939</v>
          </cell>
          <cell r="C220" t="str">
            <v>34246163E</v>
          </cell>
          <cell r="D220" t="str">
            <v>N/A</v>
          </cell>
          <cell r="E220" t="str">
            <v>48 23</v>
          </cell>
          <cell r="F220" t="str">
            <v>LILIANA VARELA</v>
          </cell>
          <cell r="G220">
            <v>44939</v>
          </cell>
          <cell r="H220" t="str">
            <v>MAURICIO</v>
          </cell>
          <cell r="I220" t="str">
            <v>PASS</v>
          </cell>
          <cell r="J220" t="str">
            <v>N/A</v>
          </cell>
          <cell r="K220" t="str">
            <v>704-B</v>
          </cell>
          <cell r="L220">
            <v>12</v>
          </cell>
          <cell r="M220" t="str">
            <v>A0036D7471A B</v>
          </cell>
        </row>
        <row r="221">
          <cell r="A221">
            <v>20230218</v>
          </cell>
          <cell r="B221">
            <v>44939</v>
          </cell>
          <cell r="C221" t="str">
            <v>A023T781A</v>
          </cell>
          <cell r="D221" t="str">
            <v>N/A</v>
          </cell>
          <cell r="E221" t="str">
            <v>7,8,9,10,17,18,19,Z,11</v>
          </cell>
          <cell r="F221" t="str">
            <v>Laura Castillo</v>
          </cell>
          <cell r="G221">
            <v>44939</v>
          </cell>
          <cell r="H221" t="str">
            <v>Nohemi</v>
          </cell>
          <cell r="I221" t="str">
            <v>NO PASS</v>
          </cell>
          <cell r="J221" t="str">
            <v>T1XX</v>
          </cell>
          <cell r="K221" t="str">
            <v>720-5</v>
          </cell>
          <cell r="L221">
            <v>4</v>
          </cell>
          <cell r="M221" t="str">
            <v>A0053W1860A-A</v>
          </cell>
        </row>
        <row r="222">
          <cell r="A222">
            <v>20230219</v>
          </cell>
          <cell r="B222">
            <v>44939</v>
          </cell>
          <cell r="C222" t="str">
            <v>A023T781A</v>
          </cell>
          <cell r="D222" t="str">
            <v>N/A</v>
          </cell>
          <cell r="E222" t="str">
            <v>7,8,9,10,17,18,19,Z,11</v>
          </cell>
          <cell r="F222" t="str">
            <v>Laura Castillo</v>
          </cell>
          <cell r="G222">
            <v>44939</v>
          </cell>
          <cell r="H222" t="str">
            <v>Nohemi</v>
          </cell>
          <cell r="I222" t="str">
            <v>NO PASS</v>
          </cell>
          <cell r="J222" t="str">
            <v>T1XX</v>
          </cell>
          <cell r="K222" t="str">
            <v>720-5</v>
          </cell>
          <cell r="L222">
            <v>4</v>
          </cell>
          <cell r="M222" t="str">
            <v>A0053W1860A-A</v>
          </cell>
        </row>
        <row r="223">
          <cell r="A223">
            <v>20230220</v>
          </cell>
          <cell r="B223">
            <v>44939</v>
          </cell>
          <cell r="C223" t="str">
            <v>34285576C</v>
          </cell>
          <cell r="D223" t="str">
            <v>N/A</v>
          </cell>
          <cell r="E223" t="str">
            <v>3,8,76,103</v>
          </cell>
          <cell r="F223" t="str">
            <v>Laura Castillo</v>
          </cell>
          <cell r="G223">
            <v>44939</v>
          </cell>
          <cell r="H223" t="str">
            <v>Nohemi</v>
          </cell>
          <cell r="I223" t="str">
            <v>NO PASS</v>
          </cell>
          <cell r="J223" t="str">
            <v>N/A</v>
          </cell>
          <cell r="K223" t="str">
            <v>716-2</v>
          </cell>
          <cell r="L223">
            <v>3</v>
          </cell>
          <cell r="M223" t="str">
            <v>CH34229751 A25</v>
          </cell>
        </row>
        <row r="224">
          <cell r="A224">
            <v>20230221</v>
          </cell>
          <cell r="B224">
            <v>44939</v>
          </cell>
          <cell r="C224" t="str">
            <v>A025Y200A</v>
          </cell>
          <cell r="D224" t="str">
            <v>N/A</v>
          </cell>
          <cell r="E224" t="str">
            <v>34,46,47,67</v>
          </cell>
          <cell r="F224" t="str">
            <v>Javier Bautista</v>
          </cell>
          <cell r="G224">
            <v>44939</v>
          </cell>
          <cell r="H224" t="str">
            <v>Nohemi</v>
          </cell>
          <cell r="I224" t="str">
            <v>PASS</v>
          </cell>
          <cell r="J224" t="str">
            <v>AU436</v>
          </cell>
          <cell r="K224" t="str">
            <v>709-B</v>
          </cell>
          <cell r="L224">
            <v>2</v>
          </cell>
          <cell r="M224" t="str">
            <v>A0036E2139A D</v>
          </cell>
        </row>
        <row r="225">
          <cell r="A225">
            <v>20230222</v>
          </cell>
          <cell r="B225">
            <v>44939</v>
          </cell>
          <cell r="C225" t="str">
            <v>A025Y201A</v>
          </cell>
          <cell r="D225" t="str">
            <v>N/A</v>
          </cell>
          <cell r="E225" t="str">
            <v>77,46,47,67</v>
          </cell>
          <cell r="F225" t="str">
            <v>Javier Bautista</v>
          </cell>
          <cell r="G225">
            <v>44939</v>
          </cell>
          <cell r="H225" t="str">
            <v>Nohemi</v>
          </cell>
          <cell r="I225" t="str">
            <v>PASS</v>
          </cell>
          <cell r="J225" t="str">
            <v>AU436</v>
          </cell>
          <cell r="K225" t="str">
            <v>706-B</v>
          </cell>
          <cell r="L225">
            <v>2</v>
          </cell>
          <cell r="M225" t="str">
            <v>A0036E2139A D</v>
          </cell>
        </row>
        <row r="226">
          <cell r="A226">
            <v>20230223</v>
          </cell>
          <cell r="B226">
            <v>44939</v>
          </cell>
          <cell r="C226" t="str">
            <v>34309474B</v>
          </cell>
          <cell r="D226" t="str">
            <v>N/A</v>
          </cell>
          <cell r="E226" t="str">
            <v>CONCENTRICIDAD</v>
          </cell>
          <cell r="F226" t="str">
            <v>EVELYN ESTUDILLO</v>
          </cell>
          <cell r="G226">
            <v>44939</v>
          </cell>
          <cell r="H226" t="str">
            <v>MAURICIO</v>
          </cell>
          <cell r="I226" t="str">
            <v>PASS</v>
          </cell>
          <cell r="J226" t="str">
            <v>SPR8</v>
          </cell>
          <cell r="K226" t="str">
            <v>720-4</v>
          </cell>
          <cell r="L226">
            <v>12</v>
          </cell>
          <cell r="M226" t="str">
            <v>CONCENTRICIDAD</v>
          </cell>
        </row>
        <row r="227">
          <cell r="A227">
            <v>20230224</v>
          </cell>
          <cell r="B227">
            <v>44939</v>
          </cell>
          <cell r="C227" t="str">
            <v>34296438C</v>
          </cell>
          <cell r="D227" t="str">
            <v>N/A</v>
          </cell>
          <cell r="E227" t="str">
            <v>CONCENTRICIDAD</v>
          </cell>
          <cell r="F227" t="str">
            <v>EVELYN ESTUDILLO</v>
          </cell>
          <cell r="G227">
            <v>44939</v>
          </cell>
          <cell r="H227" t="str">
            <v>MAURICIO</v>
          </cell>
          <cell r="I227" t="str">
            <v>PASS</v>
          </cell>
          <cell r="J227" t="str">
            <v>SPR8</v>
          </cell>
          <cell r="K227" t="str">
            <v>720-2</v>
          </cell>
          <cell r="L227">
            <v>12</v>
          </cell>
          <cell r="M227" t="str">
            <v>CONCENTRICIDAD</v>
          </cell>
        </row>
        <row r="228">
          <cell r="A228">
            <v>20230225</v>
          </cell>
          <cell r="B228">
            <v>44939</v>
          </cell>
          <cell r="C228" t="str">
            <v>34235233G</v>
          </cell>
          <cell r="D228" t="str">
            <v>N/A</v>
          </cell>
          <cell r="E228" t="str">
            <v>CONCENTRICIDAD</v>
          </cell>
          <cell r="F228" t="str">
            <v>EVELYN ESTUDILLO</v>
          </cell>
          <cell r="G228">
            <v>44939</v>
          </cell>
          <cell r="H228" t="str">
            <v>MAURICIO</v>
          </cell>
          <cell r="I228" t="str">
            <v>PASS</v>
          </cell>
          <cell r="J228" t="str">
            <v>SPR8</v>
          </cell>
          <cell r="K228" t="str">
            <v>720-3</v>
          </cell>
          <cell r="L228">
            <v>12</v>
          </cell>
          <cell r="M228" t="str">
            <v>CONCENTRICIDAD</v>
          </cell>
        </row>
        <row r="229">
          <cell r="A229">
            <v>20230226</v>
          </cell>
          <cell r="B229">
            <v>44939</v>
          </cell>
          <cell r="C229" t="str">
            <v>A020R619B</v>
          </cell>
          <cell r="D229" t="str">
            <v>N/A</v>
          </cell>
          <cell r="E229" t="str">
            <v>CONCENTRICIDAD</v>
          </cell>
          <cell r="F229" t="str">
            <v>EVELYN ESTUDILLO</v>
          </cell>
          <cell r="G229">
            <v>44939</v>
          </cell>
          <cell r="H229" t="str">
            <v>MAURICIO</v>
          </cell>
          <cell r="I229" t="str">
            <v>PASS</v>
          </cell>
          <cell r="J229" t="str">
            <v>SPR8</v>
          </cell>
          <cell r="K229" t="str">
            <v>720-6</v>
          </cell>
          <cell r="L229">
            <v>12</v>
          </cell>
          <cell r="M229" t="str">
            <v>CONCENTRICIDAD</v>
          </cell>
        </row>
        <row r="230">
          <cell r="A230">
            <v>20230227</v>
          </cell>
          <cell r="B230">
            <v>44939</v>
          </cell>
          <cell r="C230" t="str">
            <v>34324760D</v>
          </cell>
          <cell r="D230" t="str">
            <v>N/A</v>
          </cell>
          <cell r="E230" t="str">
            <v>CONCENTRICIDAD</v>
          </cell>
          <cell r="F230" t="str">
            <v>EVELYN ESTUDILLO</v>
          </cell>
          <cell r="G230">
            <v>44939</v>
          </cell>
          <cell r="H230" t="str">
            <v>MAURICIO</v>
          </cell>
          <cell r="I230" t="str">
            <v>PASS</v>
          </cell>
          <cell r="J230" t="str">
            <v>SPR8</v>
          </cell>
          <cell r="K230" t="str">
            <v>720-5</v>
          </cell>
          <cell r="L230">
            <v>12</v>
          </cell>
          <cell r="M230" t="str">
            <v>CONCENTRICIDAD</v>
          </cell>
        </row>
        <row r="231">
          <cell r="A231">
            <v>20230228</v>
          </cell>
          <cell r="B231">
            <v>44939</v>
          </cell>
          <cell r="C231" t="str">
            <v>34324758A</v>
          </cell>
          <cell r="D231" t="str">
            <v>N/A</v>
          </cell>
          <cell r="E231" t="str">
            <v>CONCENTRICIDAD</v>
          </cell>
          <cell r="F231" t="str">
            <v>EVELYN ESTUDILLO</v>
          </cell>
          <cell r="G231">
            <v>44939</v>
          </cell>
          <cell r="H231" t="str">
            <v>MAURICIO</v>
          </cell>
          <cell r="I231" t="str">
            <v>PASS</v>
          </cell>
          <cell r="J231" t="str">
            <v>SPR8</v>
          </cell>
          <cell r="K231" t="str">
            <v>720-1</v>
          </cell>
          <cell r="L231">
            <v>12</v>
          </cell>
          <cell r="M231" t="str">
            <v>CONCENTRICIDAD</v>
          </cell>
        </row>
        <row r="232">
          <cell r="A232">
            <v>20230229</v>
          </cell>
          <cell r="B232">
            <v>44939</v>
          </cell>
          <cell r="C232" t="str">
            <v>34309474B</v>
          </cell>
          <cell r="D232" t="str">
            <v>N/A</v>
          </cell>
          <cell r="E232" t="str">
            <v>OVALIDAD</v>
          </cell>
          <cell r="F232" t="str">
            <v>EVELYN ESTUDILLO</v>
          </cell>
          <cell r="G232">
            <v>44939</v>
          </cell>
          <cell r="H232" t="str">
            <v>MAURICIO</v>
          </cell>
          <cell r="I232" t="str">
            <v>PASS</v>
          </cell>
          <cell r="J232" t="str">
            <v>SPR8</v>
          </cell>
          <cell r="K232" t="str">
            <v>720-4</v>
          </cell>
          <cell r="L232">
            <v>12</v>
          </cell>
          <cell r="M232" t="str">
            <v>OVALIDAD</v>
          </cell>
        </row>
        <row r="233">
          <cell r="A233">
            <v>20230230</v>
          </cell>
          <cell r="B233">
            <v>44939</v>
          </cell>
          <cell r="C233" t="str">
            <v>34296438C</v>
          </cell>
          <cell r="D233" t="str">
            <v>N/A</v>
          </cell>
          <cell r="E233" t="str">
            <v>OVALIDAD</v>
          </cell>
          <cell r="F233" t="str">
            <v>EVELYN ESTUDILLO</v>
          </cell>
          <cell r="G233">
            <v>44939</v>
          </cell>
          <cell r="H233" t="str">
            <v>MAURICIO</v>
          </cell>
          <cell r="I233" t="str">
            <v>PASS</v>
          </cell>
          <cell r="J233" t="str">
            <v>SPR8</v>
          </cell>
          <cell r="K233" t="str">
            <v>720-2</v>
          </cell>
          <cell r="L233">
            <v>12</v>
          </cell>
          <cell r="M233" t="str">
            <v>OVALIDAD</v>
          </cell>
        </row>
        <row r="234">
          <cell r="A234">
            <v>20230231</v>
          </cell>
          <cell r="B234">
            <v>44939</v>
          </cell>
          <cell r="C234" t="str">
            <v>34235233G</v>
          </cell>
          <cell r="D234" t="str">
            <v>N/A</v>
          </cell>
          <cell r="E234" t="str">
            <v>OVALIDAD</v>
          </cell>
          <cell r="F234" t="str">
            <v>EVELYN ESTUDILLO</v>
          </cell>
          <cell r="G234">
            <v>44939</v>
          </cell>
          <cell r="H234" t="str">
            <v>MAURICIO</v>
          </cell>
          <cell r="I234" t="str">
            <v>PASS</v>
          </cell>
          <cell r="J234" t="str">
            <v>SPR8</v>
          </cell>
          <cell r="K234" t="str">
            <v>720-3</v>
          </cell>
          <cell r="L234">
            <v>12</v>
          </cell>
          <cell r="M234" t="str">
            <v>OVALIDAD</v>
          </cell>
        </row>
        <row r="235">
          <cell r="A235">
            <v>20230232</v>
          </cell>
          <cell r="B235">
            <v>44939</v>
          </cell>
          <cell r="C235" t="str">
            <v>A020R619B</v>
          </cell>
          <cell r="D235" t="str">
            <v>N/A</v>
          </cell>
          <cell r="E235" t="str">
            <v>OVALIDAD</v>
          </cell>
          <cell r="F235" t="str">
            <v>EVELYN ESTUDILLO</v>
          </cell>
          <cell r="G235">
            <v>44939</v>
          </cell>
          <cell r="H235" t="str">
            <v>MAURICIO</v>
          </cell>
          <cell r="I235" t="str">
            <v>PASS</v>
          </cell>
          <cell r="J235" t="str">
            <v>SPR8</v>
          </cell>
          <cell r="K235" t="str">
            <v>720-6</v>
          </cell>
          <cell r="L235">
            <v>12</v>
          </cell>
          <cell r="M235" t="str">
            <v>OVALIDAD</v>
          </cell>
        </row>
        <row r="236">
          <cell r="A236">
            <v>20230233</v>
          </cell>
          <cell r="B236">
            <v>44939</v>
          </cell>
          <cell r="C236" t="str">
            <v>34324760D</v>
          </cell>
          <cell r="D236" t="str">
            <v>N/A</v>
          </cell>
          <cell r="E236" t="str">
            <v>OVALIDAD</v>
          </cell>
          <cell r="F236" t="str">
            <v>EVELYN ESTUDILLO</v>
          </cell>
          <cell r="G236">
            <v>44939</v>
          </cell>
          <cell r="H236" t="str">
            <v>MAURICIO</v>
          </cell>
          <cell r="I236" t="str">
            <v>PASS</v>
          </cell>
          <cell r="J236" t="str">
            <v>SPR8</v>
          </cell>
          <cell r="K236" t="str">
            <v>720-5</v>
          </cell>
          <cell r="L236">
            <v>12</v>
          </cell>
          <cell r="M236" t="str">
            <v>OVALIDAD</v>
          </cell>
        </row>
        <row r="237">
          <cell r="A237">
            <v>20230234</v>
          </cell>
          <cell r="B237">
            <v>44939</v>
          </cell>
          <cell r="C237" t="str">
            <v>34324758A</v>
          </cell>
          <cell r="D237" t="str">
            <v>N/A</v>
          </cell>
          <cell r="E237" t="str">
            <v>OVALIDAD</v>
          </cell>
          <cell r="F237" t="str">
            <v>EVELYN ESTUDILLO</v>
          </cell>
          <cell r="G237">
            <v>44939</v>
          </cell>
          <cell r="H237" t="str">
            <v>MAURICIO</v>
          </cell>
          <cell r="I237" t="str">
            <v>PASS</v>
          </cell>
          <cell r="J237" t="str">
            <v>SPR8</v>
          </cell>
          <cell r="K237" t="str">
            <v>720-1</v>
          </cell>
          <cell r="L237">
            <v>12</v>
          </cell>
          <cell r="M237" t="str">
            <v>OVALIDAD</v>
          </cell>
        </row>
        <row r="238">
          <cell r="A238">
            <v>20230235</v>
          </cell>
          <cell r="B238">
            <v>44939</v>
          </cell>
          <cell r="C238" t="str">
            <v>DWG 3B</v>
          </cell>
          <cell r="D238" t="str">
            <v>N/A</v>
          </cell>
          <cell r="E238" t="str">
            <v>A y B</v>
          </cell>
          <cell r="F238" t="str">
            <v>Jesus sampayo</v>
          </cell>
          <cell r="G238">
            <v>44939</v>
          </cell>
          <cell r="H238" t="str">
            <v>Luis</v>
          </cell>
          <cell r="I238" t="str">
            <v>PASS</v>
          </cell>
          <cell r="J238" t="str">
            <v>N/A</v>
          </cell>
          <cell r="K238">
            <v>462</v>
          </cell>
          <cell r="L238">
            <v>1</v>
          </cell>
          <cell r="M238" t="str">
            <v>PLANO MARCADO</v>
          </cell>
        </row>
        <row r="239">
          <cell r="A239">
            <v>20230236</v>
          </cell>
          <cell r="B239">
            <v>44939</v>
          </cell>
          <cell r="C239" t="str">
            <v>33024457D</v>
          </cell>
          <cell r="D239">
            <v>5110</v>
          </cell>
          <cell r="E239" t="str">
            <v>40 42 44 46</v>
          </cell>
          <cell r="F239" t="str">
            <v>JORGE GONZALEZ</v>
          </cell>
          <cell r="G239">
            <v>44939</v>
          </cell>
          <cell r="H239" t="str">
            <v>MAURICIO</v>
          </cell>
          <cell r="I239" t="str">
            <v>NO PASS</v>
          </cell>
          <cell r="J239" t="str">
            <v>N/A</v>
          </cell>
          <cell r="K239" t="str">
            <v>AGRATI-TIFFIN</v>
          </cell>
          <cell r="L239">
            <v>5</v>
          </cell>
          <cell r="M239" t="str">
            <v>PLANO MARCADO</v>
          </cell>
        </row>
        <row r="240">
          <cell r="A240">
            <v>20230237</v>
          </cell>
          <cell r="B240">
            <v>44939</v>
          </cell>
          <cell r="C240" t="str">
            <v>34324762D</v>
          </cell>
          <cell r="D240" t="str">
            <v>N/A</v>
          </cell>
          <cell r="E240" t="str">
            <v>CONCENTRICIDAD</v>
          </cell>
          <cell r="F240" t="str">
            <v>AUGUSTO</v>
          </cell>
          <cell r="G240">
            <v>44939</v>
          </cell>
          <cell r="H240" t="str">
            <v>ERNESTO</v>
          </cell>
          <cell r="I240" t="str">
            <v>PASS</v>
          </cell>
          <cell r="J240" t="str">
            <v>N/A</v>
          </cell>
          <cell r="K240" t="str">
            <v>720-1</v>
          </cell>
          <cell r="L240">
            <v>12</v>
          </cell>
          <cell r="M240" t="str">
            <v>CONCENTRICIDAD</v>
          </cell>
        </row>
        <row r="241">
          <cell r="A241">
            <v>20230238</v>
          </cell>
          <cell r="B241">
            <v>44939</v>
          </cell>
          <cell r="C241" t="str">
            <v>34324762D</v>
          </cell>
          <cell r="D241" t="str">
            <v>N/A</v>
          </cell>
          <cell r="E241" t="str">
            <v>OVALIDAD</v>
          </cell>
          <cell r="F241" t="str">
            <v>AUGUSTO</v>
          </cell>
          <cell r="G241">
            <v>44939</v>
          </cell>
          <cell r="H241" t="str">
            <v>ERNESTO</v>
          </cell>
          <cell r="I241" t="str">
            <v>PASS</v>
          </cell>
          <cell r="J241" t="str">
            <v>N/A</v>
          </cell>
          <cell r="K241" t="str">
            <v>720-1</v>
          </cell>
          <cell r="L241">
            <v>12</v>
          </cell>
          <cell r="M241" t="str">
            <v>OVALIDAD</v>
          </cell>
        </row>
        <row r="242">
          <cell r="A242">
            <v>20230239</v>
          </cell>
          <cell r="B242">
            <v>44939</v>
          </cell>
          <cell r="C242" t="str">
            <v>34235231G</v>
          </cell>
          <cell r="D242" t="str">
            <v>N/A</v>
          </cell>
          <cell r="E242" t="str">
            <v>CONCENTRICIDAD</v>
          </cell>
          <cell r="F242" t="str">
            <v>AUGUSTO</v>
          </cell>
          <cell r="G242">
            <v>44939</v>
          </cell>
          <cell r="H242" t="str">
            <v>ERNESTO</v>
          </cell>
          <cell r="I242" t="str">
            <v>PASS</v>
          </cell>
          <cell r="J242" t="str">
            <v>N/A</v>
          </cell>
          <cell r="K242" t="str">
            <v>720-2</v>
          </cell>
          <cell r="L242">
            <v>12</v>
          </cell>
          <cell r="M242" t="str">
            <v>CONCENTRICIDAD</v>
          </cell>
        </row>
        <row r="243">
          <cell r="A243">
            <v>20230240</v>
          </cell>
          <cell r="B243">
            <v>44939</v>
          </cell>
          <cell r="C243" t="str">
            <v>34235231G</v>
          </cell>
          <cell r="D243" t="str">
            <v>N/A</v>
          </cell>
          <cell r="E243" t="str">
            <v>OVALIDAD</v>
          </cell>
          <cell r="F243" t="str">
            <v>AUGUSTO</v>
          </cell>
          <cell r="G243">
            <v>44939</v>
          </cell>
          <cell r="H243" t="str">
            <v>ERNESTO</v>
          </cell>
          <cell r="I243" t="str">
            <v>PASS</v>
          </cell>
          <cell r="J243" t="str">
            <v>N/A</v>
          </cell>
          <cell r="K243" t="str">
            <v>720-2</v>
          </cell>
          <cell r="L243">
            <v>12</v>
          </cell>
          <cell r="M243" t="str">
            <v>OVALIDAD</v>
          </cell>
        </row>
        <row r="244">
          <cell r="A244">
            <v>20230241</v>
          </cell>
          <cell r="B244">
            <v>44939</v>
          </cell>
          <cell r="C244" t="str">
            <v>34235233G</v>
          </cell>
          <cell r="D244" t="str">
            <v>N/A</v>
          </cell>
          <cell r="E244" t="str">
            <v>CONCENTRICIDAD</v>
          </cell>
          <cell r="F244" t="str">
            <v>AUGUSTO</v>
          </cell>
          <cell r="G244">
            <v>44939</v>
          </cell>
          <cell r="H244" t="str">
            <v>ERNESTO</v>
          </cell>
          <cell r="I244" t="str">
            <v>PASS</v>
          </cell>
          <cell r="J244" t="str">
            <v>N/A</v>
          </cell>
          <cell r="K244" t="str">
            <v>720-3</v>
          </cell>
          <cell r="L244">
            <v>18</v>
          </cell>
          <cell r="M244" t="str">
            <v>CONCENTRICIDAD</v>
          </cell>
        </row>
        <row r="245">
          <cell r="A245">
            <v>20230242</v>
          </cell>
          <cell r="B245">
            <v>44939</v>
          </cell>
          <cell r="C245" t="str">
            <v>34235233G</v>
          </cell>
          <cell r="D245" t="str">
            <v>N/A</v>
          </cell>
          <cell r="E245" t="str">
            <v>OVALIDAD</v>
          </cell>
          <cell r="F245" t="str">
            <v>AUGUSTO</v>
          </cell>
          <cell r="G245">
            <v>44939</v>
          </cell>
          <cell r="H245" t="str">
            <v>ERNESTO</v>
          </cell>
          <cell r="I245" t="str">
            <v>PASS</v>
          </cell>
          <cell r="J245" t="str">
            <v>N/A</v>
          </cell>
          <cell r="K245" t="str">
            <v>720-3</v>
          </cell>
          <cell r="L245">
            <v>18</v>
          </cell>
          <cell r="M245" t="str">
            <v>OVALIDAD</v>
          </cell>
        </row>
        <row r="246">
          <cell r="A246">
            <v>20230243</v>
          </cell>
          <cell r="B246">
            <v>44939</v>
          </cell>
          <cell r="C246" t="str">
            <v>34324760D</v>
          </cell>
          <cell r="D246" t="str">
            <v>N/A</v>
          </cell>
          <cell r="E246" t="str">
            <v>CONCENTRICIDAD</v>
          </cell>
          <cell r="F246" t="str">
            <v>AUGUSTO</v>
          </cell>
          <cell r="G246">
            <v>44939</v>
          </cell>
          <cell r="H246" t="str">
            <v>ERNESTO</v>
          </cell>
          <cell r="I246" t="str">
            <v>PASS</v>
          </cell>
          <cell r="J246" t="str">
            <v>N/A</v>
          </cell>
          <cell r="K246" t="str">
            <v>720-5</v>
          </cell>
          <cell r="L246">
            <v>12</v>
          </cell>
          <cell r="M246" t="str">
            <v>CONCENTRICIDAD</v>
          </cell>
        </row>
        <row r="247">
          <cell r="A247">
            <v>20230244</v>
          </cell>
          <cell r="B247">
            <v>44939</v>
          </cell>
          <cell r="C247" t="str">
            <v>34324760D</v>
          </cell>
          <cell r="D247" t="str">
            <v>N/A</v>
          </cell>
          <cell r="E247" t="str">
            <v>OVALIDAD</v>
          </cell>
          <cell r="F247" t="str">
            <v>AUGUSTO</v>
          </cell>
          <cell r="G247">
            <v>44939</v>
          </cell>
          <cell r="H247" t="str">
            <v>ERNESTO</v>
          </cell>
          <cell r="I247" t="str">
            <v>PASS</v>
          </cell>
          <cell r="J247" t="str">
            <v>N/A</v>
          </cell>
          <cell r="K247" t="str">
            <v>720-5</v>
          </cell>
          <cell r="L247">
            <v>12</v>
          </cell>
          <cell r="M247" t="str">
            <v>OVALIDAD</v>
          </cell>
        </row>
        <row r="248">
          <cell r="A248">
            <v>20230245</v>
          </cell>
          <cell r="B248">
            <v>44939</v>
          </cell>
          <cell r="C248" t="str">
            <v>A020R619B</v>
          </cell>
          <cell r="D248" t="str">
            <v>N/A</v>
          </cell>
          <cell r="E248" t="str">
            <v>CONCENTRICIDAD</v>
          </cell>
          <cell r="F248" t="str">
            <v>AUGUSTO</v>
          </cell>
          <cell r="G248">
            <v>44939</v>
          </cell>
          <cell r="H248" t="str">
            <v>ERNESTO</v>
          </cell>
          <cell r="I248" t="str">
            <v>PASS</v>
          </cell>
          <cell r="J248" t="str">
            <v>N/A</v>
          </cell>
          <cell r="K248" t="str">
            <v>720-6</v>
          </cell>
          <cell r="L248">
            <v>12</v>
          </cell>
          <cell r="M248" t="str">
            <v>CONCENTRICIDAD</v>
          </cell>
        </row>
        <row r="249">
          <cell r="A249">
            <v>20230246</v>
          </cell>
          <cell r="B249">
            <v>44939</v>
          </cell>
          <cell r="C249" t="str">
            <v>A020R619B</v>
          </cell>
          <cell r="D249" t="str">
            <v>N/A</v>
          </cell>
          <cell r="E249" t="str">
            <v>OVALIDAD</v>
          </cell>
          <cell r="F249" t="str">
            <v>AUGUSTO</v>
          </cell>
          <cell r="G249">
            <v>44939</v>
          </cell>
          <cell r="H249" t="str">
            <v>ERNESTO</v>
          </cell>
          <cell r="I249" t="str">
            <v>PASS</v>
          </cell>
          <cell r="J249" t="str">
            <v>N/A</v>
          </cell>
          <cell r="K249" t="str">
            <v>720-6</v>
          </cell>
          <cell r="L249">
            <v>12</v>
          </cell>
          <cell r="M249" t="str">
            <v>OVALIDAD</v>
          </cell>
        </row>
        <row r="250">
          <cell r="A250">
            <v>20230247</v>
          </cell>
          <cell r="B250">
            <v>44939</v>
          </cell>
          <cell r="C250" t="str">
            <v>34309474B</v>
          </cell>
          <cell r="D250" t="str">
            <v>N/A</v>
          </cell>
          <cell r="E250" t="str">
            <v>CONCENTRICIDAD</v>
          </cell>
          <cell r="F250" t="str">
            <v>AUGUSTO</v>
          </cell>
          <cell r="G250">
            <v>44939</v>
          </cell>
          <cell r="H250" t="str">
            <v>Jose</v>
          </cell>
          <cell r="I250" t="str">
            <v>PASS</v>
          </cell>
          <cell r="J250" t="str">
            <v>N/A</v>
          </cell>
          <cell r="K250" t="str">
            <v>720-4</v>
          </cell>
          <cell r="L250">
            <v>6</v>
          </cell>
          <cell r="M250" t="str">
            <v>CONCENTRICIDAD</v>
          </cell>
        </row>
        <row r="251">
          <cell r="A251">
            <v>20230248</v>
          </cell>
          <cell r="B251">
            <v>44939</v>
          </cell>
          <cell r="C251" t="str">
            <v>34309474B</v>
          </cell>
          <cell r="D251" t="str">
            <v>N/A</v>
          </cell>
          <cell r="E251" t="str">
            <v>OVALIDAD</v>
          </cell>
          <cell r="F251" t="str">
            <v>AUGUSTO</v>
          </cell>
          <cell r="G251">
            <v>44939</v>
          </cell>
          <cell r="H251" t="str">
            <v>Jose</v>
          </cell>
          <cell r="I251" t="str">
            <v>PASS</v>
          </cell>
          <cell r="J251" t="str">
            <v>N/A</v>
          </cell>
          <cell r="K251" t="str">
            <v>720-4</v>
          </cell>
          <cell r="L251">
            <v>6</v>
          </cell>
          <cell r="M251" t="str">
            <v>OVALIDAD</v>
          </cell>
        </row>
        <row r="252">
          <cell r="A252">
            <v>20230249</v>
          </cell>
          <cell r="B252">
            <v>44940</v>
          </cell>
          <cell r="C252" t="str">
            <v>34141784BBB</v>
          </cell>
          <cell r="D252">
            <v>1</v>
          </cell>
          <cell r="E252" t="str">
            <v xml:space="preserve">Conforme al rip </v>
          </cell>
          <cell r="F252" t="str">
            <v>Nuevos programas</v>
          </cell>
          <cell r="G252">
            <v>44940</v>
          </cell>
          <cell r="H252" t="str">
            <v xml:space="preserve">Adela </v>
          </cell>
          <cell r="I252" t="str">
            <v>NO PASS</v>
          </cell>
          <cell r="J252" t="str">
            <v>N/A</v>
          </cell>
          <cell r="K252" t="str">
            <v>N/A</v>
          </cell>
          <cell r="L252">
            <v>300</v>
          </cell>
          <cell r="M252"/>
        </row>
        <row r="253">
          <cell r="A253">
            <v>20230250</v>
          </cell>
          <cell r="B253">
            <v>44940</v>
          </cell>
          <cell r="C253" t="str">
            <v>34324759E</v>
          </cell>
          <cell r="D253" t="str">
            <v>N/A</v>
          </cell>
          <cell r="E253" t="str">
            <v>CONCENTRICIDAD</v>
          </cell>
          <cell r="F253" t="str">
            <v>Gabriel Ramos</v>
          </cell>
          <cell r="G253">
            <v>44940</v>
          </cell>
          <cell r="H253" t="str">
            <v xml:space="preserve">Adela </v>
          </cell>
          <cell r="I253" t="str">
            <v>PASS</v>
          </cell>
          <cell r="J253" t="str">
            <v>N/A</v>
          </cell>
          <cell r="K253" t="str">
            <v>720-1</v>
          </cell>
          <cell r="L253">
            <v>12</v>
          </cell>
          <cell r="M253" t="str">
            <v>CONCENTRICIDAD</v>
          </cell>
        </row>
        <row r="254">
          <cell r="A254">
            <v>20230251</v>
          </cell>
          <cell r="B254">
            <v>44940</v>
          </cell>
          <cell r="C254" t="str">
            <v>34324759E</v>
          </cell>
          <cell r="D254" t="str">
            <v>N/A</v>
          </cell>
          <cell r="E254" t="str">
            <v>OVALIDAD</v>
          </cell>
          <cell r="F254" t="str">
            <v>Gabriel Ramos</v>
          </cell>
          <cell r="G254">
            <v>44940</v>
          </cell>
          <cell r="H254" t="str">
            <v xml:space="preserve">Adela </v>
          </cell>
          <cell r="I254" t="str">
            <v>PASS</v>
          </cell>
          <cell r="J254" t="str">
            <v>N/A</v>
          </cell>
          <cell r="K254" t="str">
            <v>720-1</v>
          </cell>
          <cell r="L254">
            <v>12</v>
          </cell>
          <cell r="M254" t="str">
            <v>OVALIDAD</v>
          </cell>
        </row>
        <row r="255">
          <cell r="A255">
            <v>20230252</v>
          </cell>
          <cell r="B255">
            <v>44940</v>
          </cell>
          <cell r="C255" t="str">
            <v>34324760D</v>
          </cell>
          <cell r="D255" t="str">
            <v>N/A</v>
          </cell>
          <cell r="E255" t="str">
            <v>CONCENTRICIDAD</v>
          </cell>
          <cell r="F255" t="str">
            <v>Gabriel Ramos</v>
          </cell>
          <cell r="G255">
            <v>44940</v>
          </cell>
          <cell r="H255" t="str">
            <v xml:space="preserve">Adela </v>
          </cell>
          <cell r="I255" t="str">
            <v>PASS</v>
          </cell>
          <cell r="J255" t="str">
            <v>N/A</v>
          </cell>
          <cell r="K255" t="str">
            <v>720-5</v>
          </cell>
          <cell r="L255">
            <v>6</v>
          </cell>
          <cell r="M255"/>
        </row>
        <row r="256">
          <cell r="A256">
            <v>20230253</v>
          </cell>
          <cell r="B256">
            <v>44940</v>
          </cell>
          <cell r="C256" t="str">
            <v>34324760D</v>
          </cell>
          <cell r="D256" t="str">
            <v>N/A</v>
          </cell>
          <cell r="E256" t="str">
            <v>OVALIDAD</v>
          </cell>
          <cell r="F256" t="str">
            <v>Gabriel Ramos</v>
          </cell>
          <cell r="G256">
            <v>44940</v>
          </cell>
          <cell r="H256" t="str">
            <v xml:space="preserve">Adela </v>
          </cell>
          <cell r="I256" t="str">
            <v>PASS</v>
          </cell>
          <cell r="J256" t="str">
            <v>N/A</v>
          </cell>
          <cell r="K256" t="str">
            <v>720-5</v>
          </cell>
          <cell r="L256">
            <v>6</v>
          </cell>
          <cell r="M256"/>
        </row>
        <row r="257">
          <cell r="A257">
            <v>20230254</v>
          </cell>
          <cell r="B257">
            <v>44940</v>
          </cell>
          <cell r="C257" t="str">
            <v>34324760D</v>
          </cell>
          <cell r="D257" t="str">
            <v>N/A</v>
          </cell>
          <cell r="E257" t="str">
            <v>CONCENTRICIDAD</v>
          </cell>
          <cell r="F257" t="str">
            <v>AUGUSTO</v>
          </cell>
          <cell r="G257">
            <v>44940</v>
          </cell>
          <cell r="H257" t="str">
            <v>Eric</v>
          </cell>
          <cell r="I257" t="str">
            <v>PASS</v>
          </cell>
          <cell r="J257" t="str">
            <v>N/A</v>
          </cell>
          <cell r="K257" t="str">
            <v>720-1</v>
          </cell>
          <cell r="L257">
            <v>6</v>
          </cell>
          <cell r="M257" t="str">
            <v>TUBOS</v>
          </cell>
        </row>
        <row r="258">
          <cell r="A258">
            <v>20230255</v>
          </cell>
          <cell r="B258">
            <v>44940</v>
          </cell>
          <cell r="C258" t="str">
            <v>34296437C</v>
          </cell>
          <cell r="D258" t="str">
            <v>N/A</v>
          </cell>
          <cell r="E258" t="str">
            <v>CONCENTRICIDAD</v>
          </cell>
          <cell r="F258" t="str">
            <v>AUGUSTO</v>
          </cell>
          <cell r="G258">
            <v>44940</v>
          </cell>
          <cell r="H258" t="str">
            <v>Eric</v>
          </cell>
          <cell r="I258" t="str">
            <v>PASS</v>
          </cell>
          <cell r="J258" t="str">
            <v>N/A</v>
          </cell>
          <cell r="K258" t="str">
            <v>720-2</v>
          </cell>
          <cell r="L258">
            <v>6</v>
          </cell>
          <cell r="M258" t="str">
            <v>TUBOS</v>
          </cell>
        </row>
        <row r="259">
          <cell r="A259">
            <v>20230256</v>
          </cell>
          <cell r="B259">
            <v>44940</v>
          </cell>
          <cell r="C259" t="str">
            <v>34324760D</v>
          </cell>
          <cell r="D259" t="str">
            <v>N/A</v>
          </cell>
          <cell r="E259" t="str">
            <v>OVALIDAD</v>
          </cell>
          <cell r="F259" t="str">
            <v>AUGUSTO</v>
          </cell>
          <cell r="G259">
            <v>44940</v>
          </cell>
          <cell r="H259" t="str">
            <v>Eric</v>
          </cell>
          <cell r="I259" t="str">
            <v>PASS</v>
          </cell>
          <cell r="J259" t="str">
            <v>N/A</v>
          </cell>
          <cell r="K259" t="str">
            <v>720-1</v>
          </cell>
          <cell r="L259">
            <v>6</v>
          </cell>
          <cell r="M259" t="str">
            <v>TUBOS</v>
          </cell>
        </row>
        <row r="260">
          <cell r="A260">
            <v>20230257</v>
          </cell>
          <cell r="B260">
            <v>44940</v>
          </cell>
          <cell r="C260" t="str">
            <v>34296437C</v>
          </cell>
          <cell r="D260" t="str">
            <v>N/A</v>
          </cell>
          <cell r="E260" t="str">
            <v>OVALIDAD</v>
          </cell>
          <cell r="F260" t="str">
            <v>AUGUSTO</v>
          </cell>
          <cell r="G260">
            <v>44940</v>
          </cell>
          <cell r="H260" t="str">
            <v>Eric</v>
          </cell>
          <cell r="I260" t="str">
            <v>PASS</v>
          </cell>
          <cell r="J260" t="str">
            <v>N/A</v>
          </cell>
          <cell r="K260" t="str">
            <v>720-2</v>
          </cell>
          <cell r="L260">
            <v>6</v>
          </cell>
          <cell r="M260" t="str">
            <v>TUBOS</v>
          </cell>
        </row>
        <row r="261">
          <cell r="A261">
            <v>20230258</v>
          </cell>
          <cell r="B261">
            <v>44942</v>
          </cell>
          <cell r="C261" t="str">
            <v>34298999A</v>
          </cell>
          <cell r="D261" t="str">
            <v>N/A</v>
          </cell>
          <cell r="E261">
            <v>24</v>
          </cell>
          <cell r="F261" t="str">
            <v>Javier Bautista</v>
          </cell>
          <cell r="G261">
            <v>44942</v>
          </cell>
          <cell r="H261" t="str">
            <v>Nohemi</v>
          </cell>
          <cell r="I261" t="str">
            <v>PASS</v>
          </cell>
          <cell r="J261" t="str">
            <v>N/A</v>
          </cell>
          <cell r="K261">
            <v>427</v>
          </cell>
          <cell r="L261">
            <v>3</v>
          </cell>
          <cell r="M261" t="str">
            <v>A0034B5526A</v>
          </cell>
        </row>
        <row r="262">
          <cell r="A262">
            <v>20230259</v>
          </cell>
          <cell r="B262">
            <v>44942</v>
          </cell>
          <cell r="C262" t="str">
            <v>34285576C</v>
          </cell>
          <cell r="D262" t="str">
            <v>N/A</v>
          </cell>
          <cell r="E262" t="str">
            <v>102,48,49,50,51,12</v>
          </cell>
          <cell r="F262" t="str">
            <v>Laura Castillo</v>
          </cell>
          <cell r="G262">
            <v>44942</v>
          </cell>
          <cell r="H262" t="str">
            <v>Nohemi</v>
          </cell>
          <cell r="I262" t="str">
            <v>PASS</v>
          </cell>
          <cell r="J262" t="str">
            <v>N/A</v>
          </cell>
          <cell r="K262" t="str">
            <v>716-3</v>
          </cell>
          <cell r="L262">
            <v>3</v>
          </cell>
          <cell r="M262" t="str">
            <v>CH34229751 A25</v>
          </cell>
        </row>
        <row r="263">
          <cell r="A263">
            <v>20230260</v>
          </cell>
          <cell r="B263">
            <v>44942</v>
          </cell>
          <cell r="C263" t="str">
            <v>34285576C</v>
          </cell>
          <cell r="D263" t="str">
            <v>N/A</v>
          </cell>
          <cell r="E263" t="str">
            <v>3,8,76,103,102,48,49,50,51,12</v>
          </cell>
          <cell r="F263" t="str">
            <v>Laura Castillo</v>
          </cell>
          <cell r="G263">
            <v>44942</v>
          </cell>
          <cell r="H263" t="str">
            <v>Nohemi</v>
          </cell>
          <cell r="I263" t="str">
            <v>PASS</v>
          </cell>
          <cell r="J263" t="str">
            <v>N/A</v>
          </cell>
          <cell r="K263" t="str">
            <v>716-3</v>
          </cell>
          <cell r="L263">
            <v>2</v>
          </cell>
          <cell r="M263" t="str">
            <v>CH34229751 A25</v>
          </cell>
        </row>
        <row r="264">
          <cell r="A264">
            <v>20230261</v>
          </cell>
          <cell r="B264">
            <v>44942</v>
          </cell>
          <cell r="C264" t="str">
            <v>A026T249A</v>
          </cell>
          <cell r="D264" t="str">
            <v>TT001</v>
          </cell>
          <cell r="E264" t="str">
            <v xml:space="preserve">Conforme al rip </v>
          </cell>
          <cell r="F264" t="str">
            <v>Nuevos programas</v>
          </cell>
          <cell r="G264">
            <v>44942</v>
          </cell>
          <cell r="H264" t="str">
            <v xml:space="preserve">Adela </v>
          </cell>
          <cell r="I264" t="str">
            <v>NO PASS</v>
          </cell>
          <cell r="J264" t="str">
            <v>N/A</v>
          </cell>
          <cell r="K264" t="str">
            <v>N/A</v>
          </cell>
          <cell r="L264"/>
          <cell r="M264"/>
        </row>
        <row r="265">
          <cell r="A265">
            <v>20230262</v>
          </cell>
          <cell r="B265">
            <v>44942</v>
          </cell>
          <cell r="C265" t="str">
            <v>GAGE</v>
          </cell>
          <cell r="D265" t="str">
            <v>N/A</v>
          </cell>
          <cell r="E265" t="str">
            <v>R &amp; HRC</v>
          </cell>
          <cell r="F265" t="str">
            <v>MANUEL ITUARTE</v>
          </cell>
          <cell r="G265">
            <v>44942</v>
          </cell>
          <cell r="H265" t="str">
            <v>MAURICIO</v>
          </cell>
          <cell r="I265" t="str">
            <v>PASS</v>
          </cell>
          <cell r="J265" t="str">
            <v>SPR4</v>
          </cell>
          <cell r="K265" t="str">
            <v>720-5</v>
          </cell>
          <cell r="L265">
            <v>9</v>
          </cell>
          <cell r="M265" t="str">
            <v>PLANO MARCADO</v>
          </cell>
        </row>
        <row r="266">
          <cell r="A266">
            <v>20230263</v>
          </cell>
          <cell r="B266">
            <v>44942</v>
          </cell>
          <cell r="C266" t="str">
            <v>34130163BBB</v>
          </cell>
          <cell r="D266">
            <v>1</v>
          </cell>
          <cell r="E266" t="str">
            <v xml:space="preserve">Conforme al rip </v>
          </cell>
          <cell r="F266" t="str">
            <v>Nuevos programas</v>
          </cell>
          <cell r="G266">
            <v>44942</v>
          </cell>
          <cell r="H266" t="str">
            <v xml:space="preserve">Adela </v>
          </cell>
          <cell r="I266" t="str">
            <v>NO PASS</v>
          </cell>
          <cell r="J266" t="str">
            <v>N/A</v>
          </cell>
          <cell r="K266" t="str">
            <v>N/A</v>
          </cell>
          <cell r="L266">
            <v>300</v>
          </cell>
          <cell r="M266"/>
        </row>
        <row r="267">
          <cell r="A267">
            <v>20230264</v>
          </cell>
          <cell r="B267">
            <v>44942</v>
          </cell>
          <cell r="C267" t="str">
            <v>34146057BBB</v>
          </cell>
          <cell r="D267">
            <v>1</v>
          </cell>
          <cell r="E267" t="str">
            <v xml:space="preserve">Conforme al rip </v>
          </cell>
          <cell r="F267" t="str">
            <v>Nuevos programas</v>
          </cell>
          <cell r="G267">
            <v>44942</v>
          </cell>
          <cell r="H267" t="str">
            <v xml:space="preserve">Adela </v>
          </cell>
          <cell r="I267" t="str">
            <v>NO PASS</v>
          </cell>
          <cell r="J267" t="str">
            <v>N/A</v>
          </cell>
          <cell r="K267" t="str">
            <v>N/A</v>
          </cell>
          <cell r="L267">
            <v>300</v>
          </cell>
          <cell r="M267"/>
        </row>
        <row r="268">
          <cell r="A268">
            <v>20230265</v>
          </cell>
          <cell r="B268">
            <v>44942</v>
          </cell>
          <cell r="C268" t="str">
            <v>34263818B</v>
          </cell>
          <cell r="D268" t="str">
            <v>N/A</v>
          </cell>
          <cell r="E268" t="str">
            <v>20,22,23,27</v>
          </cell>
          <cell r="F268" t="str">
            <v>Laura Castillo</v>
          </cell>
          <cell r="G268">
            <v>44942</v>
          </cell>
          <cell r="H268" t="str">
            <v>Nohemi</v>
          </cell>
          <cell r="I268" t="str">
            <v>PASS</v>
          </cell>
          <cell r="J268" t="str">
            <v>BMW</v>
          </cell>
          <cell r="K268" t="str">
            <v>705-B</v>
          </cell>
          <cell r="L268">
            <v>2</v>
          </cell>
          <cell r="M268" t="str">
            <v>CH34263830 A16</v>
          </cell>
        </row>
        <row r="269">
          <cell r="A269">
            <v>20230266</v>
          </cell>
          <cell r="B269">
            <v>44942</v>
          </cell>
          <cell r="C269" t="str">
            <v>34324760D</v>
          </cell>
          <cell r="D269" t="str">
            <v>N/A</v>
          </cell>
          <cell r="E269" t="str">
            <v>CONCENTRICIDAD</v>
          </cell>
          <cell r="F269" t="str">
            <v>EVELYN ESTUDILLO</v>
          </cell>
          <cell r="G269">
            <v>44942</v>
          </cell>
          <cell r="H269" t="str">
            <v>MAURICIO</v>
          </cell>
          <cell r="I269" t="str">
            <v>PASS</v>
          </cell>
          <cell r="J269" t="str">
            <v>SPR8</v>
          </cell>
          <cell r="K269" t="str">
            <v>720-1</v>
          </cell>
          <cell r="L269">
            <v>12</v>
          </cell>
          <cell r="M269" t="str">
            <v>CONCENTRICIDAD</v>
          </cell>
        </row>
        <row r="270">
          <cell r="A270">
            <v>20230267</v>
          </cell>
          <cell r="B270">
            <v>44942</v>
          </cell>
          <cell r="C270" t="str">
            <v>34306788D</v>
          </cell>
          <cell r="D270" t="str">
            <v>N/A</v>
          </cell>
          <cell r="E270" t="str">
            <v>CONCENTRICIDAD</v>
          </cell>
          <cell r="F270" t="str">
            <v>EVELYN ESTUDILLO</v>
          </cell>
          <cell r="G270">
            <v>44942</v>
          </cell>
          <cell r="H270" t="str">
            <v>MAURICIO</v>
          </cell>
          <cell r="I270" t="str">
            <v>PASS</v>
          </cell>
          <cell r="J270" t="str">
            <v>SPR8</v>
          </cell>
          <cell r="K270" t="str">
            <v>720-2</v>
          </cell>
          <cell r="L270">
            <v>12</v>
          </cell>
          <cell r="M270" t="str">
            <v>CONCENTRICIDAD</v>
          </cell>
        </row>
        <row r="271">
          <cell r="A271">
            <v>20230268</v>
          </cell>
          <cell r="B271">
            <v>44942</v>
          </cell>
          <cell r="C271" t="str">
            <v>34324760D</v>
          </cell>
          <cell r="D271" t="str">
            <v>N/A</v>
          </cell>
          <cell r="E271" t="str">
            <v>CONCENTRICIDAD</v>
          </cell>
          <cell r="F271" t="str">
            <v>EVELYN ESTUDILLO</v>
          </cell>
          <cell r="G271">
            <v>44942</v>
          </cell>
          <cell r="H271" t="str">
            <v>MAURICIO</v>
          </cell>
          <cell r="I271" t="str">
            <v>PASS</v>
          </cell>
          <cell r="J271" t="str">
            <v>SPR8</v>
          </cell>
          <cell r="K271" t="str">
            <v>720-5</v>
          </cell>
          <cell r="L271">
            <v>12</v>
          </cell>
          <cell r="M271" t="str">
            <v>CONCENTRICIDAD</v>
          </cell>
        </row>
        <row r="272">
          <cell r="A272">
            <v>20230269</v>
          </cell>
          <cell r="B272">
            <v>44942</v>
          </cell>
          <cell r="C272" t="str">
            <v>A020R620A</v>
          </cell>
          <cell r="D272" t="str">
            <v>N/A</v>
          </cell>
          <cell r="E272" t="str">
            <v>CONCENTRICIDAD</v>
          </cell>
          <cell r="F272" t="str">
            <v>EVELYN ESTUDILLO</v>
          </cell>
          <cell r="G272">
            <v>44942</v>
          </cell>
          <cell r="H272" t="str">
            <v>MAURICIO</v>
          </cell>
          <cell r="I272" t="str">
            <v>PASS</v>
          </cell>
          <cell r="J272" t="str">
            <v>SPR8</v>
          </cell>
          <cell r="K272" t="str">
            <v>720-6</v>
          </cell>
          <cell r="L272">
            <v>12</v>
          </cell>
          <cell r="M272" t="str">
            <v>CONCENTRICIDAD</v>
          </cell>
        </row>
        <row r="273">
          <cell r="A273">
            <v>20230270</v>
          </cell>
          <cell r="B273">
            <v>44942</v>
          </cell>
          <cell r="C273" t="str">
            <v>34271008G</v>
          </cell>
          <cell r="D273" t="str">
            <v>N/A</v>
          </cell>
          <cell r="E273" t="str">
            <v>CONCENTRICIDAD</v>
          </cell>
          <cell r="F273" t="str">
            <v>EVELYN ESTUDILLO</v>
          </cell>
          <cell r="G273">
            <v>44942</v>
          </cell>
          <cell r="H273" t="str">
            <v>MAURICIO</v>
          </cell>
          <cell r="I273" t="str">
            <v>PASS</v>
          </cell>
          <cell r="J273" t="str">
            <v>SPR8</v>
          </cell>
          <cell r="K273" t="str">
            <v>720-3</v>
          </cell>
          <cell r="L273">
            <v>12</v>
          </cell>
          <cell r="M273" t="str">
            <v>CONCENTRICIDAD</v>
          </cell>
        </row>
        <row r="274">
          <cell r="A274">
            <v>20230271</v>
          </cell>
          <cell r="B274">
            <v>44942</v>
          </cell>
          <cell r="C274" t="str">
            <v>34309474B</v>
          </cell>
          <cell r="D274" t="str">
            <v>N/A</v>
          </cell>
          <cell r="E274" t="str">
            <v>CONCENTRICIDAD</v>
          </cell>
          <cell r="F274" t="str">
            <v>EVELYN ESTUDILLO</v>
          </cell>
          <cell r="G274">
            <v>44942</v>
          </cell>
          <cell r="H274" t="str">
            <v>MAURICIO</v>
          </cell>
          <cell r="I274" t="str">
            <v>PASS</v>
          </cell>
          <cell r="J274" t="str">
            <v>SPR8</v>
          </cell>
          <cell r="K274" t="str">
            <v>720-4</v>
          </cell>
          <cell r="L274">
            <v>12</v>
          </cell>
          <cell r="M274" t="str">
            <v>CONCENTRICIDAD</v>
          </cell>
        </row>
        <row r="275">
          <cell r="A275">
            <v>20230272</v>
          </cell>
          <cell r="B275">
            <v>44942</v>
          </cell>
          <cell r="C275" t="str">
            <v>34324760D</v>
          </cell>
          <cell r="D275" t="str">
            <v>N/A</v>
          </cell>
          <cell r="E275" t="str">
            <v>OVALIDAD</v>
          </cell>
          <cell r="F275" t="str">
            <v>EVELYN ESTUDILLO</v>
          </cell>
          <cell r="G275">
            <v>44942</v>
          </cell>
          <cell r="H275" t="str">
            <v>MAURICIO</v>
          </cell>
          <cell r="I275" t="str">
            <v>PASS</v>
          </cell>
          <cell r="J275" t="str">
            <v>SPR8</v>
          </cell>
          <cell r="K275" t="str">
            <v>720-1</v>
          </cell>
          <cell r="L275">
            <v>12</v>
          </cell>
          <cell r="M275" t="str">
            <v>OVALIDAD</v>
          </cell>
        </row>
        <row r="276">
          <cell r="A276">
            <v>20230273</v>
          </cell>
          <cell r="B276">
            <v>44942</v>
          </cell>
          <cell r="C276" t="str">
            <v>34306788D</v>
          </cell>
          <cell r="D276" t="str">
            <v>N/A</v>
          </cell>
          <cell r="E276" t="str">
            <v>OVALIDAD</v>
          </cell>
          <cell r="F276" t="str">
            <v>EVELYN ESTUDILLO</v>
          </cell>
          <cell r="G276">
            <v>44942</v>
          </cell>
          <cell r="H276" t="str">
            <v>MAURICIO</v>
          </cell>
          <cell r="I276" t="str">
            <v>PASS</v>
          </cell>
          <cell r="J276" t="str">
            <v>SPR8</v>
          </cell>
          <cell r="K276" t="str">
            <v>720-2</v>
          </cell>
          <cell r="L276">
            <v>12</v>
          </cell>
          <cell r="M276" t="str">
            <v>OVALIDAD</v>
          </cell>
        </row>
        <row r="277">
          <cell r="A277">
            <v>20230274</v>
          </cell>
          <cell r="B277">
            <v>44942</v>
          </cell>
          <cell r="C277" t="str">
            <v>34324760D</v>
          </cell>
          <cell r="D277" t="str">
            <v>N/A</v>
          </cell>
          <cell r="E277" t="str">
            <v>OVALIDAD</v>
          </cell>
          <cell r="F277" t="str">
            <v>EVELYN ESTUDILLO</v>
          </cell>
          <cell r="G277">
            <v>44942</v>
          </cell>
          <cell r="H277" t="str">
            <v>MAURICIO</v>
          </cell>
          <cell r="I277" t="str">
            <v>PASS</v>
          </cell>
          <cell r="J277" t="str">
            <v>SPR8</v>
          </cell>
          <cell r="K277" t="str">
            <v>720-5</v>
          </cell>
          <cell r="L277">
            <v>12</v>
          </cell>
          <cell r="M277" t="str">
            <v>OVALIDAD</v>
          </cell>
        </row>
        <row r="278">
          <cell r="A278">
            <v>20230275</v>
          </cell>
          <cell r="B278">
            <v>44942</v>
          </cell>
          <cell r="C278" t="str">
            <v>A020R620A</v>
          </cell>
          <cell r="D278" t="str">
            <v>N/A</v>
          </cell>
          <cell r="E278" t="str">
            <v>OVALIDAD</v>
          </cell>
          <cell r="F278" t="str">
            <v>EVELYN ESTUDILLO</v>
          </cell>
          <cell r="G278">
            <v>44942</v>
          </cell>
          <cell r="H278" t="str">
            <v>MAURICIO</v>
          </cell>
          <cell r="I278" t="str">
            <v>PASS</v>
          </cell>
          <cell r="J278" t="str">
            <v>SPR8</v>
          </cell>
          <cell r="K278" t="str">
            <v>720-6</v>
          </cell>
          <cell r="L278">
            <v>12</v>
          </cell>
          <cell r="M278" t="str">
            <v>OVALIDAD</v>
          </cell>
        </row>
        <row r="279">
          <cell r="A279">
            <v>20230276</v>
          </cell>
          <cell r="B279">
            <v>44942</v>
          </cell>
          <cell r="C279" t="str">
            <v>34271008G</v>
          </cell>
          <cell r="D279" t="str">
            <v>N/A</v>
          </cell>
          <cell r="E279" t="str">
            <v>OVALIDAD</v>
          </cell>
          <cell r="F279" t="str">
            <v>EVELYN ESTUDILLO</v>
          </cell>
          <cell r="G279">
            <v>44942</v>
          </cell>
          <cell r="H279" t="str">
            <v>MAURICIO</v>
          </cell>
          <cell r="I279" t="str">
            <v>PASS</v>
          </cell>
          <cell r="J279" t="str">
            <v>SPR8</v>
          </cell>
          <cell r="K279" t="str">
            <v>720-3</v>
          </cell>
          <cell r="L279">
            <v>12</v>
          </cell>
          <cell r="M279" t="str">
            <v>OVALIDAD</v>
          </cell>
        </row>
        <row r="280">
          <cell r="A280">
            <v>20230277</v>
          </cell>
          <cell r="B280">
            <v>44942</v>
          </cell>
          <cell r="C280" t="str">
            <v>34309474B</v>
          </cell>
          <cell r="D280" t="str">
            <v>N/A</v>
          </cell>
          <cell r="E280" t="str">
            <v>OVALIDAD</v>
          </cell>
          <cell r="F280" t="str">
            <v>EVELYN ESTUDILLO</v>
          </cell>
          <cell r="G280">
            <v>44942</v>
          </cell>
          <cell r="H280" t="str">
            <v>MAURICIO</v>
          </cell>
          <cell r="I280" t="str">
            <v>PASS</v>
          </cell>
          <cell r="J280" t="str">
            <v>SPR8</v>
          </cell>
          <cell r="K280" t="str">
            <v>720-4</v>
          </cell>
          <cell r="L280">
            <v>12</v>
          </cell>
          <cell r="M280" t="str">
            <v>OVALIDAD</v>
          </cell>
        </row>
        <row r="281">
          <cell r="A281">
            <v>20230278</v>
          </cell>
          <cell r="B281">
            <v>44942</v>
          </cell>
          <cell r="C281" t="str">
            <v>34285576C</v>
          </cell>
          <cell r="D281" t="str">
            <v>N/A</v>
          </cell>
          <cell r="E281" t="str">
            <v>102,48,49,50,51,12</v>
          </cell>
          <cell r="F281" t="str">
            <v>Laura Castillo</v>
          </cell>
          <cell r="G281">
            <v>44942</v>
          </cell>
          <cell r="H281" t="str">
            <v>Nohemi</v>
          </cell>
          <cell r="I281" t="str">
            <v>PASS</v>
          </cell>
          <cell r="J281" t="str">
            <v>SPR8</v>
          </cell>
          <cell r="K281" t="str">
            <v>716-2</v>
          </cell>
          <cell r="L281">
            <v>3</v>
          </cell>
          <cell r="M281" t="str">
            <v>CH34229751 A25</v>
          </cell>
        </row>
        <row r="282">
          <cell r="A282">
            <v>20230279</v>
          </cell>
          <cell r="B282">
            <v>44942</v>
          </cell>
          <cell r="C282" t="str">
            <v>34361271A</v>
          </cell>
          <cell r="D282" t="str">
            <v>N/A</v>
          </cell>
          <cell r="E282" t="str">
            <v>CONCENTRICIDAD</v>
          </cell>
          <cell r="F282" t="str">
            <v>Augusto rdz</v>
          </cell>
          <cell r="G282">
            <v>44942</v>
          </cell>
          <cell r="H282" t="str">
            <v>Abel</v>
          </cell>
          <cell r="I282" t="str">
            <v>PASS</v>
          </cell>
          <cell r="J282" t="str">
            <v>SPR8</v>
          </cell>
          <cell r="K282" t="str">
            <v>720-4</v>
          </cell>
          <cell r="L282">
            <v>12</v>
          </cell>
          <cell r="M282" t="str">
            <v>CONCENTRICIDAD</v>
          </cell>
        </row>
        <row r="283">
          <cell r="A283">
            <v>20230280</v>
          </cell>
          <cell r="B283">
            <v>44942</v>
          </cell>
          <cell r="C283" t="str">
            <v>A020R619B</v>
          </cell>
          <cell r="D283" t="str">
            <v>N/A</v>
          </cell>
          <cell r="E283" t="str">
            <v>CONCENTRICIDAD</v>
          </cell>
          <cell r="F283" t="str">
            <v>Augusto rdz</v>
          </cell>
          <cell r="G283">
            <v>44942</v>
          </cell>
          <cell r="H283" t="str">
            <v>Abel</v>
          </cell>
          <cell r="I283" t="str">
            <v>PASS</v>
          </cell>
          <cell r="J283" t="str">
            <v>SPR8</v>
          </cell>
          <cell r="K283" t="str">
            <v>720-6</v>
          </cell>
          <cell r="L283">
            <v>12</v>
          </cell>
          <cell r="M283" t="str">
            <v>CONCENTRICIDAD</v>
          </cell>
        </row>
        <row r="284">
          <cell r="A284">
            <v>20230281</v>
          </cell>
          <cell r="B284">
            <v>44942</v>
          </cell>
          <cell r="C284" t="str">
            <v>34235232G</v>
          </cell>
          <cell r="D284" t="str">
            <v>N/A</v>
          </cell>
          <cell r="E284" t="str">
            <v>CONCENTRICIDAD</v>
          </cell>
          <cell r="F284" t="str">
            <v>Augusto rdz</v>
          </cell>
          <cell r="G284">
            <v>44942</v>
          </cell>
          <cell r="H284" t="str">
            <v>Abel</v>
          </cell>
          <cell r="I284" t="str">
            <v>PASS</v>
          </cell>
          <cell r="J284" t="str">
            <v>SPR8</v>
          </cell>
          <cell r="K284" t="str">
            <v>720-3</v>
          </cell>
          <cell r="L284">
            <v>18</v>
          </cell>
          <cell r="M284" t="str">
            <v>CONCENTRICIDAD</v>
          </cell>
        </row>
        <row r="285">
          <cell r="A285">
            <v>20230282</v>
          </cell>
          <cell r="B285">
            <v>44942</v>
          </cell>
          <cell r="C285" t="str">
            <v>34235234G</v>
          </cell>
          <cell r="D285" t="str">
            <v>N/A</v>
          </cell>
          <cell r="E285" t="str">
            <v>CONCENTRICIDAD</v>
          </cell>
          <cell r="F285" t="str">
            <v>Augusto rdz</v>
          </cell>
          <cell r="G285">
            <v>44942</v>
          </cell>
          <cell r="H285" t="str">
            <v>Abel</v>
          </cell>
          <cell r="I285" t="str">
            <v>PASS</v>
          </cell>
          <cell r="J285" t="str">
            <v>SPR8</v>
          </cell>
          <cell r="K285" t="str">
            <v>720-2</v>
          </cell>
          <cell r="L285">
            <v>12</v>
          </cell>
          <cell r="M285" t="str">
            <v>CONCENTRICIDAD</v>
          </cell>
        </row>
        <row r="286">
          <cell r="A286">
            <v>20230283</v>
          </cell>
          <cell r="B286">
            <v>44942</v>
          </cell>
          <cell r="C286" t="str">
            <v>34327460D</v>
          </cell>
          <cell r="D286" t="str">
            <v>N/A</v>
          </cell>
          <cell r="E286" t="str">
            <v>CONCENTRICIDAD</v>
          </cell>
          <cell r="F286" t="str">
            <v>Augusto rdz</v>
          </cell>
          <cell r="G286">
            <v>44942</v>
          </cell>
          <cell r="H286" t="str">
            <v>Abel</v>
          </cell>
          <cell r="I286" t="str">
            <v>PASS</v>
          </cell>
          <cell r="J286" t="str">
            <v>SPR8</v>
          </cell>
          <cell r="K286" t="str">
            <v>720-5</v>
          </cell>
          <cell r="L286">
            <v>12</v>
          </cell>
          <cell r="M286" t="str">
            <v>CONCENTRICIDAD</v>
          </cell>
        </row>
        <row r="287">
          <cell r="A287">
            <v>20230284</v>
          </cell>
          <cell r="B287">
            <v>44942</v>
          </cell>
          <cell r="C287" t="str">
            <v>34324758A</v>
          </cell>
          <cell r="D287" t="str">
            <v>N/A</v>
          </cell>
          <cell r="E287" t="str">
            <v>CONCENTRICIDAD</v>
          </cell>
          <cell r="F287" t="str">
            <v>Augusto rdz</v>
          </cell>
          <cell r="G287">
            <v>44942</v>
          </cell>
          <cell r="H287" t="str">
            <v>Abel</v>
          </cell>
          <cell r="I287" t="str">
            <v>PASS</v>
          </cell>
          <cell r="J287" t="str">
            <v>SPR8</v>
          </cell>
          <cell r="K287" t="str">
            <v>720-1</v>
          </cell>
          <cell r="L287">
            <v>12</v>
          </cell>
          <cell r="M287" t="str">
            <v>CONCENTRICIDAD</v>
          </cell>
        </row>
        <row r="288">
          <cell r="A288">
            <v>20230285</v>
          </cell>
          <cell r="B288">
            <v>44942</v>
          </cell>
          <cell r="C288" t="str">
            <v>34361271A</v>
          </cell>
          <cell r="D288" t="str">
            <v>N/A</v>
          </cell>
          <cell r="E288" t="str">
            <v>OVALIDAD</v>
          </cell>
          <cell r="F288" t="str">
            <v>Augusto rdz</v>
          </cell>
          <cell r="G288">
            <v>44942</v>
          </cell>
          <cell r="H288" t="str">
            <v>Abel</v>
          </cell>
          <cell r="I288" t="str">
            <v>PASS</v>
          </cell>
          <cell r="J288" t="str">
            <v>SPR8</v>
          </cell>
          <cell r="K288" t="str">
            <v>720-4</v>
          </cell>
          <cell r="L288">
            <v>12</v>
          </cell>
          <cell r="M288" t="str">
            <v>OVALIDAD</v>
          </cell>
        </row>
        <row r="289">
          <cell r="A289">
            <v>20230286</v>
          </cell>
          <cell r="B289">
            <v>44942</v>
          </cell>
          <cell r="C289" t="str">
            <v>A020R619B</v>
          </cell>
          <cell r="D289" t="str">
            <v>N/A</v>
          </cell>
          <cell r="E289" t="str">
            <v>OVALIDAD</v>
          </cell>
          <cell r="F289" t="str">
            <v>Augusto rdz</v>
          </cell>
          <cell r="G289">
            <v>44942</v>
          </cell>
          <cell r="H289" t="str">
            <v>Abel</v>
          </cell>
          <cell r="I289" t="str">
            <v>PASS</v>
          </cell>
          <cell r="J289" t="str">
            <v>SPR8</v>
          </cell>
          <cell r="K289" t="str">
            <v>720-6</v>
          </cell>
          <cell r="L289">
            <v>12</v>
          </cell>
          <cell r="M289" t="str">
            <v>OVALIDAD</v>
          </cell>
        </row>
        <row r="290">
          <cell r="A290">
            <v>20230287</v>
          </cell>
          <cell r="B290">
            <v>44942</v>
          </cell>
          <cell r="C290" t="str">
            <v>34235232G</v>
          </cell>
          <cell r="D290" t="str">
            <v>N/A</v>
          </cell>
          <cell r="E290" t="str">
            <v>OVALIDAD</v>
          </cell>
          <cell r="F290" t="str">
            <v>Augusto rdz</v>
          </cell>
          <cell r="G290">
            <v>44942</v>
          </cell>
          <cell r="H290" t="str">
            <v>Abel</v>
          </cell>
          <cell r="I290" t="str">
            <v>PASS</v>
          </cell>
          <cell r="J290" t="str">
            <v>SPR8</v>
          </cell>
          <cell r="K290" t="str">
            <v>720-3</v>
          </cell>
          <cell r="L290">
            <v>18</v>
          </cell>
          <cell r="M290" t="str">
            <v>OVALIDAD</v>
          </cell>
        </row>
        <row r="291">
          <cell r="A291">
            <v>20230288</v>
          </cell>
          <cell r="B291">
            <v>44942</v>
          </cell>
          <cell r="C291" t="str">
            <v>34235234G</v>
          </cell>
          <cell r="D291" t="str">
            <v>N/A</v>
          </cell>
          <cell r="E291" t="str">
            <v>OVALIDAD</v>
          </cell>
          <cell r="F291" t="str">
            <v>Augusto rdz</v>
          </cell>
          <cell r="G291">
            <v>44942</v>
          </cell>
          <cell r="H291" t="str">
            <v>Abel</v>
          </cell>
          <cell r="I291" t="str">
            <v>PASS</v>
          </cell>
          <cell r="J291" t="str">
            <v>SPR8</v>
          </cell>
          <cell r="K291" t="str">
            <v>720-2</v>
          </cell>
          <cell r="L291">
            <v>12</v>
          </cell>
          <cell r="M291" t="str">
            <v>OVALIDAD</v>
          </cell>
        </row>
        <row r="292">
          <cell r="A292">
            <v>20230289</v>
          </cell>
          <cell r="B292">
            <v>44942</v>
          </cell>
          <cell r="C292" t="str">
            <v>34327460D</v>
          </cell>
          <cell r="D292" t="str">
            <v>N/A</v>
          </cell>
          <cell r="E292" t="str">
            <v>OVALIDAD</v>
          </cell>
          <cell r="F292" t="str">
            <v>Augusto rdz</v>
          </cell>
          <cell r="G292">
            <v>44942</v>
          </cell>
          <cell r="H292" t="str">
            <v>Abel</v>
          </cell>
          <cell r="I292" t="str">
            <v>PASS</v>
          </cell>
          <cell r="J292" t="str">
            <v>SPR8</v>
          </cell>
          <cell r="K292" t="str">
            <v>720-5</v>
          </cell>
          <cell r="L292">
            <v>12</v>
          </cell>
          <cell r="M292" t="str">
            <v>OVALIDAD</v>
          </cell>
        </row>
        <row r="293">
          <cell r="A293">
            <v>20230290</v>
          </cell>
          <cell r="B293">
            <v>44942</v>
          </cell>
          <cell r="C293" t="str">
            <v>34324758A</v>
          </cell>
          <cell r="D293" t="str">
            <v>N/A</v>
          </cell>
          <cell r="E293" t="str">
            <v>OVALIDAD</v>
          </cell>
          <cell r="F293" t="str">
            <v>Augusto rdz</v>
          </cell>
          <cell r="G293">
            <v>44942</v>
          </cell>
          <cell r="H293" t="str">
            <v>Abel</v>
          </cell>
          <cell r="I293" t="str">
            <v>PASS</v>
          </cell>
          <cell r="J293" t="str">
            <v>SPR8</v>
          </cell>
          <cell r="K293" t="str">
            <v>720-1</v>
          </cell>
          <cell r="L293">
            <v>12</v>
          </cell>
          <cell r="M293" t="str">
            <v>OVALIDAD</v>
          </cell>
        </row>
        <row r="294">
          <cell r="A294">
            <v>20230291</v>
          </cell>
          <cell r="B294">
            <v>44943</v>
          </cell>
          <cell r="C294" t="str">
            <v>34229827A</v>
          </cell>
          <cell r="D294" t="str">
            <v>CAV 25-32</v>
          </cell>
          <cell r="E294" t="str">
            <v xml:space="preserve">Conforme al rip </v>
          </cell>
          <cell r="F294" t="str">
            <v>Nuevos programas</v>
          </cell>
          <cell r="G294">
            <v>44943</v>
          </cell>
          <cell r="H294" t="str">
            <v xml:space="preserve">Adela </v>
          </cell>
          <cell r="I294" t="str">
            <v>PASS</v>
          </cell>
          <cell r="J294" t="str">
            <v>N/A</v>
          </cell>
          <cell r="K294" t="str">
            <v>N/A</v>
          </cell>
          <cell r="L294" t="str">
            <v>300 pcs</v>
          </cell>
          <cell r="M294" t="str">
            <v>N/A</v>
          </cell>
        </row>
        <row r="295">
          <cell r="A295">
            <v>20230292</v>
          </cell>
          <cell r="B295">
            <v>44943</v>
          </cell>
          <cell r="C295" t="str">
            <v>34235231G</v>
          </cell>
          <cell r="D295" t="str">
            <v>N/A</v>
          </cell>
          <cell r="E295" t="str">
            <v>CONCENTRICIDAD</v>
          </cell>
          <cell r="F295" t="str">
            <v>EVELYN ESTUDILLO</v>
          </cell>
          <cell r="G295">
            <v>44943</v>
          </cell>
          <cell r="H295" t="str">
            <v>MAURICIO</v>
          </cell>
          <cell r="I295" t="str">
            <v>PASS</v>
          </cell>
          <cell r="J295" t="str">
            <v>SPR8</v>
          </cell>
          <cell r="K295" t="str">
            <v>720-2</v>
          </cell>
          <cell r="L295">
            <v>12</v>
          </cell>
          <cell r="M295" t="str">
            <v>CONCENTRICIDAD</v>
          </cell>
        </row>
        <row r="296">
          <cell r="A296">
            <v>20230293</v>
          </cell>
          <cell r="B296">
            <v>44943</v>
          </cell>
          <cell r="C296" t="str">
            <v>34309473B</v>
          </cell>
          <cell r="D296" t="str">
            <v>N/A</v>
          </cell>
          <cell r="E296" t="str">
            <v>CONCENTRICIDAD</v>
          </cell>
          <cell r="F296" t="str">
            <v>EVELYN ESTUDILLO</v>
          </cell>
          <cell r="G296">
            <v>44943</v>
          </cell>
          <cell r="H296" t="str">
            <v>MAURICIO</v>
          </cell>
          <cell r="I296" t="str">
            <v>PASS</v>
          </cell>
          <cell r="J296" t="str">
            <v>SPR8</v>
          </cell>
          <cell r="K296" t="str">
            <v>720-4</v>
          </cell>
          <cell r="L296">
            <v>12</v>
          </cell>
          <cell r="M296" t="str">
            <v>CONCENTRICIDAD</v>
          </cell>
        </row>
        <row r="297">
          <cell r="A297">
            <v>20230294</v>
          </cell>
          <cell r="B297">
            <v>44943</v>
          </cell>
          <cell r="C297" t="str">
            <v>34364568B</v>
          </cell>
          <cell r="D297" t="str">
            <v>N/A</v>
          </cell>
          <cell r="E297" t="str">
            <v>CONCENTRICIDAD</v>
          </cell>
          <cell r="F297" t="str">
            <v>EVELYN ESTUDILLO</v>
          </cell>
          <cell r="G297">
            <v>44943</v>
          </cell>
          <cell r="H297" t="str">
            <v>MAURICIO</v>
          </cell>
          <cell r="I297" t="str">
            <v>PASS</v>
          </cell>
          <cell r="J297" t="str">
            <v>SPR8</v>
          </cell>
          <cell r="K297" t="str">
            <v>720-5</v>
          </cell>
          <cell r="L297">
            <v>12</v>
          </cell>
          <cell r="M297" t="str">
            <v>CONCENTRICIDAD</v>
          </cell>
        </row>
        <row r="298">
          <cell r="A298">
            <v>20230295</v>
          </cell>
          <cell r="B298">
            <v>44943</v>
          </cell>
          <cell r="C298" t="str">
            <v>34324759E</v>
          </cell>
          <cell r="D298" t="str">
            <v>N/A</v>
          </cell>
          <cell r="E298" t="str">
            <v>CONCENTRICIDAD</v>
          </cell>
          <cell r="F298" t="str">
            <v>EVELYN ESTUDILLO</v>
          </cell>
          <cell r="G298">
            <v>44943</v>
          </cell>
          <cell r="H298" t="str">
            <v>MAURICIO</v>
          </cell>
          <cell r="I298" t="str">
            <v>PASS</v>
          </cell>
          <cell r="J298" t="str">
            <v>SPR8</v>
          </cell>
          <cell r="K298" t="str">
            <v>720-1</v>
          </cell>
          <cell r="L298">
            <v>12</v>
          </cell>
          <cell r="M298" t="str">
            <v>CONCENTRICIDAD</v>
          </cell>
        </row>
        <row r="299">
          <cell r="A299">
            <v>20230296</v>
          </cell>
          <cell r="B299">
            <v>44943</v>
          </cell>
          <cell r="C299" t="str">
            <v>34235233G</v>
          </cell>
          <cell r="D299" t="str">
            <v>N/A</v>
          </cell>
          <cell r="E299" t="str">
            <v>CONCENTRICIDAD</v>
          </cell>
          <cell r="F299" t="str">
            <v>EVELYN ESTUDILLO</v>
          </cell>
          <cell r="G299">
            <v>44943</v>
          </cell>
          <cell r="H299" t="str">
            <v>MAURICIO</v>
          </cell>
          <cell r="I299" t="str">
            <v>PASS</v>
          </cell>
          <cell r="J299" t="str">
            <v>SPR8</v>
          </cell>
          <cell r="K299" t="str">
            <v>720-3</v>
          </cell>
          <cell r="L299">
            <v>12</v>
          </cell>
          <cell r="M299" t="str">
            <v>CONCENTRICIDAD</v>
          </cell>
        </row>
        <row r="300">
          <cell r="A300">
            <v>20230297</v>
          </cell>
          <cell r="B300">
            <v>44943</v>
          </cell>
          <cell r="C300" t="str">
            <v>A020R617B</v>
          </cell>
          <cell r="D300" t="str">
            <v>N/A</v>
          </cell>
          <cell r="E300" t="str">
            <v>CONCENTRICIDAD</v>
          </cell>
          <cell r="F300" t="str">
            <v>EVELYN ESTUDILLO</v>
          </cell>
          <cell r="G300">
            <v>44943</v>
          </cell>
          <cell r="H300" t="str">
            <v>MAURICIO</v>
          </cell>
          <cell r="I300" t="str">
            <v>PASS</v>
          </cell>
          <cell r="J300" t="str">
            <v>SPR8</v>
          </cell>
          <cell r="K300" t="str">
            <v>720-6</v>
          </cell>
          <cell r="L300">
            <v>12</v>
          </cell>
          <cell r="M300" t="str">
            <v>CONCENTRICIDAD</v>
          </cell>
        </row>
        <row r="301">
          <cell r="A301">
            <v>20230298</v>
          </cell>
          <cell r="B301">
            <v>44943</v>
          </cell>
          <cell r="C301" t="str">
            <v>34235231G</v>
          </cell>
          <cell r="D301" t="str">
            <v>N/A</v>
          </cell>
          <cell r="E301" t="str">
            <v>OVALIDAD</v>
          </cell>
          <cell r="F301" t="str">
            <v>EVELYN ESTUDILLO</v>
          </cell>
          <cell r="G301">
            <v>44943</v>
          </cell>
          <cell r="H301" t="str">
            <v>MAURICIO</v>
          </cell>
          <cell r="I301" t="str">
            <v>PASS</v>
          </cell>
          <cell r="J301" t="str">
            <v>SPR8</v>
          </cell>
          <cell r="K301" t="str">
            <v>720-2</v>
          </cell>
          <cell r="L301">
            <v>12</v>
          </cell>
          <cell r="M301" t="str">
            <v>OVALIDAD</v>
          </cell>
        </row>
        <row r="302">
          <cell r="A302">
            <v>20230299</v>
          </cell>
          <cell r="B302">
            <v>44943</v>
          </cell>
          <cell r="C302" t="str">
            <v>34309473B</v>
          </cell>
          <cell r="D302" t="str">
            <v>N/A</v>
          </cell>
          <cell r="E302" t="str">
            <v>OVALIDAD</v>
          </cell>
          <cell r="F302" t="str">
            <v>EVELYN ESTUDILLO</v>
          </cell>
          <cell r="G302">
            <v>44943</v>
          </cell>
          <cell r="H302" t="str">
            <v>MAURICIO</v>
          </cell>
          <cell r="I302" t="str">
            <v>PASS</v>
          </cell>
          <cell r="J302" t="str">
            <v>SPR8</v>
          </cell>
          <cell r="K302" t="str">
            <v>720-4</v>
          </cell>
          <cell r="L302">
            <v>12</v>
          </cell>
          <cell r="M302" t="str">
            <v>OVALIDAD</v>
          </cell>
        </row>
        <row r="303">
          <cell r="A303">
            <v>20230300</v>
          </cell>
          <cell r="B303">
            <v>44943</v>
          </cell>
          <cell r="C303" t="str">
            <v>34364568B</v>
          </cell>
          <cell r="D303" t="str">
            <v>N/A</v>
          </cell>
          <cell r="E303" t="str">
            <v>OVALIDAD</v>
          </cell>
          <cell r="F303" t="str">
            <v>EVELYN ESTUDILLO</v>
          </cell>
          <cell r="G303">
            <v>44943</v>
          </cell>
          <cell r="H303" t="str">
            <v>MAURICIO</v>
          </cell>
          <cell r="I303" t="str">
            <v>PASS</v>
          </cell>
          <cell r="J303" t="str">
            <v>SPR8</v>
          </cell>
          <cell r="K303" t="str">
            <v>720-5</v>
          </cell>
          <cell r="L303">
            <v>12</v>
          </cell>
          <cell r="M303" t="str">
            <v>OVALIDAD</v>
          </cell>
        </row>
        <row r="304">
          <cell r="A304">
            <v>20230301</v>
          </cell>
          <cell r="B304">
            <v>44943</v>
          </cell>
          <cell r="C304" t="str">
            <v>34324759E</v>
          </cell>
          <cell r="D304" t="str">
            <v>N/A</v>
          </cell>
          <cell r="E304" t="str">
            <v>OVALIDAD</v>
          </cell>
          <cell r="F304" t="str">
            <v>EVELYN ESTUDILLO</v>
          </cell>
          <cell r="G304">
            <v>44943</v>
          </cell>
          <cell r="H304" t="str">
            <v>MAURICIO</v>
          </cell>
          <cell r="I304" t="str">
            <v>PASS</v>
          </cell>
          <cell r="J304" t="str">
            <v>SPR8</v>
          </cell>
          <cell r="K304" t="str">
            <v>720-1</v>
          </cell>
          <cell r="L304">
            <v>12</v>
          </cell>
          <cell r="M304" t="str">
            <v>OVALIDAD</v>
          </cell>
        </row>
        <row r="305">
          <cell r="A305">
            <v>20230302</v>
          </cell>
          <cell r="B305">
            <v>44943</v>
          </cell>
          <cell r="C305" t="str">
            <v>34235233G</v>
          </cell>
          <cell r="D305" t="str">
            <v>N/A</v>
          </cell>
          <cell r="E305" t="str">
            <v>OVALIDAD</v>
          </cell>
          <cell r="F305" t="str">
            <v>EVELYN ESTUDILLO</v>
          </cell>
          <cell r="G305">
            <v>44943</v>
          </cell>
          <cell r="H305" t="str">
            <v>MAURICIO</v>
          </cell>
          <cell r="I305" t="str">
            <v>PASS</v>
          </cell>
          <cell r="J305" t="str">
            <v>SPR8</v>
          </cell>
          <cell r="K305" t="str">
            <v>720-3</v>
          </cell>
          <cell r="L305">
            <v>12</v>
          </cell>
          <cell r="M305" t="str">
            <v>OVALIDAD</v>
          </cell>
        </row>
        <row r="306">
          <cell r="A306">
            <v>20230303</v>
          </cell>
          <cell r="B306">
            <v>44943</v>
          </cell>
          <cell r="C306" t="str">
            <v>A020R617B</v>
          </cell>
          <cell r="D306" t="str">
            <v>N/A</v>
          </cell>
          <cell r="E306" t="str">
            <v>OVALIDAD</v>
          </cell>
          <cell r="F306" t="str">
            <v>EVELYN ESTUDILLO</v>
          </cell>
          <cell r="G306">
            <v>44943</v>
          </cell>
          <cell r="H306" t="str">
            <v>MAURICIO</v>
          </cell>
          <cell r="I306" t="str">
            <v>PASS</v>
          </cell>
          <cell r="J306" t="str">
            <v>SPR8</v>
          </cell>
          <cell r="K306" t="str">
            <v>720-6</v>
          </cell>
          <cell r="L306">
            <v>12</v>
          </cell>
          <cell r="M306" t="str">
            <v>OVALIDAD</v>
          </cell>
        </row>
        <row r="307">
          <cell r="A307">
            <v>20230304</v>
          </cell>
          <cell r="B307">
            <v>44943</v>
          </cell>
          <cell r="C307" t="str">
            <v>GAGE</v>
          </cell>
          <cell r="D307" t="str">
            <v>N/A</v>
          </cell>
          <cell r="E307" t="str">
            <v>DIS 109.02 ± 0.25</v>
          </cell>
          <cell r="F307" t="str">
            <v>CRISTIAN ARNOLDO</v>
          </cell>
          <cell r="G307">
            <v>44943</v>
          </cell>
          <cell r="H307" t="str">
            <v>MAURICIO</v>
          </cell>
          <cell r="I307" t="str">
            <v>NO PASS</v>
          </cell>
          <cell r="J307" t="str">
            <v>N/A</v>
          </cell>
          <cell r="K307" t="str">
            <v>N/A</v>
          </cell>
          <cell r="L307">
            <v>3</v>
          </cell>
          <cell r="M307" t="str">
            <v>PLANO MARCADO</v>
          </cell>
        </row>
        <row r="308">
          <cell r="A308">
            <v>20230305</v>
          </cell>
          <cell r="B308">
            <v>44943</v>
          </cell>
          <cell r="C308" t="str">
            <v>A024R306B</v>
          </cell>
          <cell r="D308">
            <v>330161</v>
          </cell>
          <cell r="E308" t="str">
            <v xml:space="preserve">Conforme al rip </v>
          </cell>
          <cell r="F308" t="str">
            <v>Nuevos programas</v>
          </cell>
          <cell r="G308">
            <v>44943</v>
          </cell>
          <cell r="H308" t="str">
            <v xml:space="preserve">Adela </v>
          </cell>
          <cell r="I308" t="str">
            <v>NO PASS</v>
          </cell>
          <cell r="J308" t="str">
            <v>N/A</v>
          </cell>
          <cell r="K308" t="str">
            <v>N/A</v>
          </cell>
          <cell r="L308">
            <v>200</v>
          </cell>
          <cell r="M308" t="str">
            <v>N/A</v>
          </cell>
        </row>
        <row r="309">
          <cell r="A309">
            <v>20230306</v>
          </cell>
          <cell r="B309">
            <v>44943</v>
          </cell>
          <cell r="C309" t="str">
            <v>34324759E</v>
          </cell>
          <cell r="D309" t="str">
            <v>N/A</v>
          </cell>
          <cell r="E309" t="str">
            <v>CONCENTRICIDAD</v>
          </cell>
          <cell r="F309" t="str">
            <v>Gabriel Ramos</v>
          </cell>
          <cell r="G309">
            <v>44943</v>
          </cell>
          <cell r="H309" t="str">
            <v>Nohemi</v>
          </cell>
          <cell r="I309" t="str">
            <v>PASS</v>
          </cell>
          <cell r="J309" t="str">
            <v>SPR8</v>
          </cell>
          <cell r="K309" t="str">
            <v>720-1</v>
          </cell>
          <cell r="L309">
            <v>6</v>
          </cell>
          <cell r="M309" t="str">
            <v>CONCENTRICIDAD</v>
          </cell>
        </row>
        <row r="310">
          <cell r="A310">
            <v>20230307</v>
          </cell>
          <cell r="B310">
            <v>44943</v>
          </cell>
          <cell r="C310" t="str">
            <v>34361270A</v>
          </cell>
          <cell r="D310" t="str">
            <v>N/A</v>
          </cell>
          <cell r="E310" t="str">
            <v>CONCENTRICIDAD</v>
          </cell>
          <cell r="F310" t="str">
            <v>Gabriel Ramos</v>
          </cell>
          <cell r="G310">
            <v>44943</v>
          </cell>
          <cell r="H310" t="str">
            <v>Nohemi</v>
          </cell>
          <cell r="I310" t="str">
            <v>PASS</v>
          </cell>
          <cell r="J310" t="str">
            <v>SPR8</v>
          </cell>
          <cell r="K310" t="str">
            <v>720-4</v>
          </cell>
          <cell r="L310">
            <v>6</v>
          </cell>
          <cell r="M310" t="str">
            <v>CONCENTRICIDAD</v>
          </cell>
        </row>
        <row r="311">
          <cell r="A311">
            <v>20230308</v>
          </cell>
          <cell r="B311">
            <v>44943</v>
          </cell>
          <cell r="C311" t="str">
            <v>34324759E</v>
          </cell>
          <cell r="D311" t="str">
            <v>N/A</v>
          </cell>
          <cell r="E311" t="str">
            <v>OVALIDAD</v>
          </cell>
          <cell r="F311" t="str">
            <v>Gabriel Ramos</v>
          </cell>
          <cell r="G311">
            <v>44943</v>
          </cell>
          <cell r="H311" t="str">
            <v>Nohemi</v>
          </cell>
          <cell r="I311" t="str">
            <v>PASS</v>
          </cell>
          <cell r="J311" t="str">
            <v>SPR8</v>
          </cell>
          <cell r="K311" t="str">
            <v>720-1</v>
          </cell>
          <cell r="L311">
            <v>6</v>
          </cell>
          <cell r="M311" t="str">
            <v>OVALIDAD</v>
          </cell>
        </row>
        <row r="312">
          <cell r="A312">
            <v>20230309</v>
          </cell>
          <cell r="B312">
            <v>44943</v>
          </cell>
          <cell r="C312" t="str">
            <v>34361270A</v>
          </cell>
          <cell r="D312" t="str">
            <v>N/A</v>
          </cell>
          <cell r="E312" t="str">
            <v>OVALIDAD</v>
          </cell>
          <cell r="F312" t="str">
            <v>Gabriel Ramos</v>
          </cell>
          <cell r="G312">
            <v>44943</v>
          </cell>
          <cell r="H312" t="str">
            <v>Nohemi</v>
          </cell>
          <cell r="I312" t="str">
            <v>PASS</v>
          </cell>
          <cell r="J312" t="str">
            <v>SPR8</v>
          </cell>
          <cell r="K312" t="str">
            <v>720-4</v>
          </cell>
          <cell r="L312">
            <v>6</v>
          </cell>
          <cell r="M312" t="str">
            <v>OVALIDAD</v>
          </cell>
        </row>
        <row r="313">
          <cell r="A313">
            <v>20230310</v>
          </cell>
          <cell r="B313">
            <v>44943</v>
          </cell>
          <cell r="C313" t="str">
            <v>34285573C</v>
          </cell>
          <cell r="D313" t="str">
            <v>N/A</v>
          </cell>
          <cell r="E313" t="str">
            <v>CONCENTRICIDAD</v>
          </cell>
          <cell r="F313" t="str">
            <v>Augusto rdz</v>
          </cell>
          <cell r="G313">
            <v>44943</v>
          </cell>
          <cell r="H313" t="str">
            <v>Jose</v>
          </cell>
          <cell r="I313" t="str">
            <v>PASS</v>
          </cell>
          <cell r="J313" t="str">
            <v>SPR8</v>
          </cell>
          <cell r="K313" t="str">
            <v>720-2</v>
          </cell>
          <cell r="L313">
            <v>12</v>
          </cell>
          <cell r="M313" t="str">
            <v>CONCENTRICIDAD</v>
          </cell>
        </row>
        <row r="314">
          <cell r="A314">
            <v>20230311</v>
          </cell>
          <cell r="B314">
            <v>44943</v>
          </cell>
          <cell r="C314" t="str">
            <v>34285573C</v>
          </cell>
          <cell r="D314" t="str">
            <v>N/A</v>
          </cell>
          <cell r="E314" t="str">
            <v>OVALIDAD</v>
          </cell>
          <cell r="F314" t="str">
            <v>Augusto rdz</v>
          </cell>
          <cell r="G314">
            <v>44943</v>
          </cell>
          <cell r="H314" t="str">
            <v>Jose</v>
          </cell>
          <cell r="I314" t="str">
            <v>PASS</v>
          </cell>
          <cell r="J314" t="str">
            <v>SPR8</v>
          </cell>
          <cell r="K314" t="str">
            <v>720-2</v>
          </cell>
          <cell r="L314">
            <v>12</v>
          </cell>
          <cell r="M314" t="str">
            <v>OVALIDAD</v>
          </cell>
        </row>
        <row r="315">
          <cell r="A315">
            <v>20230312</v>
          </cell>
          <cell r="B315">
            <v>44943</v>
          </cell>
          <cell r="C315" t="str">
            <v>34235233G</v>
          </cell>
          <cell r="D315" t="str">
            <v>N/A</v>
          </cell>
          <cell r="E315" t="str">
            <v>CONCENTRICIDAD</v>
          </cell>
          <cell r="F315" t="str">
            <v>Augusto rdz</v>
          </cell>
          <cell r="G315">
            <v>44943</v>
          </cell>
          <cell r="H315" t="str">
            <v>Jose</v>
          </cell>
          <cell r="I315" t="str">
            <v>PASS</v>
          </cell>
          <cell r="J315" t="str">
            <v>SPR8</v>
          </cell>
          <cell r="K315" t="str">
            <v>720-3</v>
          </cell>
          <cell r="L315">
            <v>18</v>
          </cell>
          <cell r="M315" t="str">
            <v>CONCENTRICIDAD</v>
          </cell>
        </row>
        <row r="316">
          <cell r="A316">
            <v>20230313</v>
          </cell>
          <cell r="B316">
            <v>44943</v>
          </cell>
          <cell r="C316" t="str">
            <v>34235233G</v>
          </cell>
          <cell r="D316" t="str">
            <v>N/A</v>
          </cell>
          <cell r="E316" t="str">
            <v>OVALIDAD</v>
          </cell>
          <cell r="F316" t="str">
            <v>Augusto rdz</v>
          </cell>
          <cell r="G316">
            <v>44943</v>
          </cell>
          <cell r="H316" t="str">
            <v>Jose</v>
          </cell>
          <cell r="I316" t="str">
            <v>PASS</v>
          </cell>
          <cell r="J316" t="str">
            <v>SPR8</v>
          </cell>
          <cell r="K316" t="str">
            <v>720-3</v>
          </cell>
          <cell r="L316">
            <v>18</v>
          </cell>
          <cell r="M316" t="str">
            <v>OVALIDAD</v>
          </cell>
        </row>
        <row r="317">
          <cell r="A317">
            <v>20230314</v>
          </cell>
          <cell r="B317">
            <v>44943</v>
          </cell>
          <cell r="C317" t="str">
            <v>34327671B</v>
          </cell>
          <cell r="D317" t="str">
            <v>N/A</v>
          </cell>
          <cell r="E317" t="str">
            <v>CONCENTRICIDAD</v>
          </cell>
          <cell r="F317" t="str">
            <v>Augusto rdz</v>
          </cell>
          <cell r="G317">
            <v>44943</v>
          </cell>
          <cell r="H317" t="str">
            <v>Jose</v>
          </cell>
          <cell r="I317" t="str">
            <v>PASS</v>
          </cell>
          <cell r="J317" t="str">
            <v>SPR8</v>
          </cell>
          <cell r="K317" t="str">
            <v>720-5</v>
          </cell>
          <cell r="L317">
            <v>12</v>
          </cell>
          <cell r="M317" t="str">
            <v>CONCENTRICIDAD</v>
          </cell>
        </row>
        <row r="318">
          <cell r="A318">
            <v>20230315</v>
          </cell>
          <cell r="B318">
            <v>44943</v>
          </cell>
          <cell r="C318" t="str">
            <v>34327671B</v>
          </cell>
          <cell r="D318" t="str">
            <v>N/A</v>
          </cell>
          <cell r="E318" t="str">
            <v>OVALIDAD</v>
          </cell>
          <cell r="F318" t="str">
            <v>Augusto rdz</v>
          </cell>
          <cell r="G318">
            <v>44943</v>
          </cell>
          <cell r="H318" t="str">
            <v>Jose</v>
          </cell>
          <cell r="I318" t="str">
            <v>PASS</v>
          </cell>
          <cell r="J318" t="str">
            <v>SPR8</v>
          </cell>
          <cell r="K318" t="str">
            <v>720-5</v>
          </cell>
          <cell r="L318">
            <v>12</v>
          </cell>
          <cell r="M318" t="str">
            <v>OVALIDAD</v>
          </cell>
        </row>
        <row r="319">
          <cell r="A319">
            <v>20230316</v>
          </cell>
          <cell r="B319">
            <v>44943</v>
          </cell>
          <cell r="C319" t="str">
            <v>A020R621B</v>
          </cell>
          <cell r="D319" t="str">
            <v>N/A</v>
          </cell>
          <cell r="E319" t="str">
            <v>CONCENTRICIDAD</v>
          </cell>
          <cell r="F319" t="str">
            <v>Augusto rdz</v>
          </cell>
          <cell r="G319">
            <v>44943</v>
          </cell>
          <cell r="H319" t="str">
            <v>Jose</v>
          </cell>
          <cell r="I319" t="str">
            <v>PASS</v>
          </cell>
          <cell r="J319" t="str">
            <v>SPR8</v>
          </cell>
          <cell r="K319" t="str">
            <v>720-6</v>
          </cell>
          <cell r="L319">
            <v>12</v>
          </cell>
          <cell r="M319" t="str">
            <v>CONCENTRICIDAD</v>
          </cell>
        </row>
        <row r="320">
          <cell r="A320">
            <v>20230317</v>
          </cell>
          <cell r="B320">
            <v>44943</v>
          </cell>
          <cell r="C320" t="str">
            <v>A020R621B</v>
          </cell>
          <cell r="D320" t="str">
            <v>N/A</v>
          </cell>
          <cell r="E320" t="str">
            <v>OVALIDAD</v>
          </cell>
          <cell r="F320" t="str">
            <v>Augusto rdz</v>
          </cell>
          <cell r="G320">
            <v>44943</v>
          </cell>
          <cell r="H320" t="str">
            <v>Jose</v>
          </cell>
          <cell r="I320" t="str">
            <v>PASS</v>
          </cell>
          <cell r="J320" t="str">
            <v>SPR8</v>
          </cell>
          <cell r="K320" t="str">
            <v>720-6</v>
          </cell>
          <cell r="L320">
            <v>12</v>
          </cell>
          <cell r="M320" t="str">
            <v>OVALIDAD</v>
          </cell>
        </row>
        <row r="321">
          <cell r="A321">
            <v>20230318</v>
          </cell>
          <cell r="B321">
            <v>44944</v>
          </cell>
          <cell r="C321" t="str">
            <v>34301470D</v>
          </cell>
          <cell r="D321" t="str">
            <v>N/A</v>
          </cell>
          <cell r="E321" t="str">
            <v>CONCENTRICIDAD</v>
          </cell>
          <cell r="F321" t="str">
            <v>Augusto rdz</v>
          </cell>
          <cell r="G321">
            <v>44944</v>
          </cell>
          <cell r="H321" t="str">
            <v>Jose</v>
          </cell>
          <cell r="I321" t="str">
            <v>PASS</v>
          </cell>
          <cell r="J321" t="str">
            <v>SPR8</v>
          </cell>
          <cell r="K321" t="str">
            <v>720-2</v>
          </cell>
          <cell r="L321">
            <v>6</v>
          </cell>
          <cell r="M321" t="str">
            <v>CONCENTRICIDAD</v>
          </cell>
        </row>
        <row r="322">
          <cell r="A322">
            <v>20230319</v>
          </cell>
          <cell r="B322">
            <v>44944</v>
          </cell>
          <cell r="C322" t="str">
            <v>34301470D</v>
          </cell>
          <cell r="D322" t="str">
            <v>N/A</v>
          </cell>
          <cell r="E322" t="str">
            <v>OVALIDAD</v>
          </cell>
          <cell r="F322" t="str">
            <v>Augusto rdz</v>
          </cell>
          <cell r="G322">
            <v>44944</v>
          </cell>
          <cell r="H322" t="str">
            <v>Jose</v>
          </cell>
          <cell r="I322" t="str">
            <v>PASS</v>
          </cell>
          <cell r="J322" t="str">
            <v>SPR8</v>
          </cell>
          <cell r="K322" t="str">
            <v>720-2</v>
          </cell>
          <cell r="L322">
            <v>6</v>
          </cell>
          <cell r="M322" t="str">
            <v>OVALIDAD</v>
          </cell>
        </row>
        <row r="323">
          <cell r="A323">
            <v>20230320</v>
          </cell>
          <cell r="B323">
            <v>44944</v>
          </cell>
          <cell r="C323" t="str">
            <v>P34309473B</v>
          </cell>
          <cell r="D323" t="str">
            <v>N/A</v>
          </cell>
          <cell r="E323" t="str">
            <v>BASES CONCENTRICIDAD</v>
          </cell>
          <cell r="F323" t="str">
            <v>FIDEL ZAPATA</v>
          </cell>
          <cell r="G323">
            <v>44944</v>
          </cell>
          <cell r="H323" t="str">
            <v>MAURICIO</v>
          </cell>
          <cell r="I323" t="str">
            <v>NO PASS</v>
          </cell>
          <cell r="J323" t="str">
            <v>SPR8</v>
          </cell>
          <cell r="K323" t="str">
            <v>N/A</v>
          </cell>
          <cell r="L323">
            <v>4</v>
          </cell>
          <cell r="M323" t="str">
            <v>BASES CONCENTRICIDAD</v>
          </cell>
        </row>
        <row r="324">
          <cell r="A324">
            <v>20230321</v>
          </cell>
          <cell r="B324">
            <v>44944</v>
          </cell>
          <cell r="C324" t="str">
            <v>33056397B</v>
          </cell>
          <cell r="D324">
            <v>2301095023</v>
          </cell>
          <cell r="E324" t="str">
            <v xml:space="preserve">Conforme al rip </v>
          </cell>
          <cell r="F324" t="str">
            <v>Nuevos programas</v>
          </cell>
          <cell r="G324">
            <v>44944</v>
          </cell>
          <cell r="H324" t="str">
            <v xml:space="preserve">Adela </v>
          </cell>
          <cell r="I324" t="str">
            <v>PASS</v>
          </cell>
          <cell r="J324" t="str">
            <v>N/A</v>
          </cell>
          <cell r="K324" t="str">
            <v>N/A</v>
          </cell>
          <cell r="L324">
            <v>1080</v>
          </cell>
          <cell r="M324" t="str">
            <v>N/A</v>
          </cell>
        </row>
        <row r="325">
          <cell r="A325">
            <v>20230322</v>
          </cell>
          <cell r="B325">
            <v>44944</v>
          </cell>
          <cell r="C325" t="str">
            <v>34328619B</v>
          </cell>
          <cell r="D325" t="str">
            <v>N/A</v>
          </cell>
          <cell r="E325" t="str">
            <v>QA#23 DUREZA</v>
          </cell>
          <cell r="F325" t="str">
            <v>Rogelio Del Angel</v>
          </cell>
          <cell r="G325">
            <v>44944</v>
          </cell>
          <cell r="H325" t="str">
            <v xml:space="preserve">Adela </v>
          </cell>
          <cell r="I325" t="str">
            <v>PASS</v>
          </cell>
          <cell r="J325" t="str">
            <v>N/A</v>
          </cell>
          <cell r="K325" t="str">
            <v>N/A</v>
          </cell>
          <cell r="L325">
            <v>5</v>
          </cell>
          <cell r="M325" t="str">
            <v>N/A</v>
          </cell>
        </row>
        <row r="326">
          <cell r="A326">
            <v>20230323</v>
          </cell>
          <cell r="B326">
            <v>44944</v>
          </cell>
          <cell r="C326" t="str">
            <v>33024457D</v>
          </cell>
          <cell r="D326">
            <v>5110</v>
          </cell>
          <cell r="E326" t="str">
            <v>40 42 44 46 x3</v>
          </cell>
          <cell r="F326" t="str">
            <v>JORGE GONZALEZ</v>
          </cell>
          <cell r="G326">
            <v>44944</v>
          </cell>
          <cell r="H326" t="str">
            <v>MAURICIO</v>
          </cell>
          <cell r="I326" t="str">
            <v>NO PASS</v>
          </cell>
          <cell r="J326" t="str">
            <v>N/A</v>
          </cell>
          <cell r="K326" t="str">
            <v>AGRATI-TIFFIN</v>
          </cell>
          <cell r="L326">
            <v>5</v>
          </cell>
          <cell r="M326" t="str">
            <v>PLANO MARCADO</v>
          </cell>
        </row>
        <row r="327">
          <cell r="A327">
            <v>20230324</v>
          </cell>
          <cell r="B327">
            <v>44944</v>
          </cell>
          <cell r="C327" t="str">
            <v>A020R315B</v>
          </cell>
          <cell r="D327" t="str">
            <v>N/A</v>
          </cell>
          <cell r="E327" t="str">
            <v>CONCENTRICIDAD</v>
          </cell>
          <cell r="F327" t="str">
            <v>EVELYN ESTUDILLO</v>
          </cell>
          <cell r="G327">
            <v>44944</v>
          </cell>
          <cell r="H327" t="str">
            <v>MAURICIO</v>
          </cell>
          <cell r="I327" t="str">
            <v>PASS</v>
          </cell>
          <cell r="J327" t="str">
            <v>SPR8</v>
          </cell>
          <cell r="K327" t="str">
            <v>720-6</v>
          </cell>
          <cell r="L327">
            <v>12</v>
          </cell>
          <cell r="M327" t="str">
            <v>CONCENTRICIDAD</v>
          </cell>
        </row>
        <row r="328">
          <cell r="A328">
            <v>20230325</v>
          </cell>
          <cell r="B328">
            <v>44944</v>
          </cell>
          <cell r="C328" t="str">
            <v>34296437C</v>
          </cell>
          <cell r="D328" t="str">
            <v>N/A</v>
          </cell>
          <cell r="E328" t="str">
            <v>CONCENTRICIDAD</v>
          </cell>
          <cell r="F328" t="str">
            <v>EVELYN ESTUDILLO</v>
          </cell>
          <cell r="G328">
            <v>44944</v>
          </cell>
          <cell r="H328" t="str">
            <v>MAURICIO</v>
          </cell>
          <cell r="I328" t="str">
            <v>PASS</v>
          </cell>
          <cell r="J328" t="str">
            <v>SPR8</v>
          </cell>
          <cell r="K328" t="str">
            <v>720-1</v>
          </cell>
          <cell r="L328">
            <v>12</v>
          </cell>
          <cell r="M328" t="str">
            <v>CONCENTRICIDAD</v>
          </cell>
        </row>
        <row r="329">
          <cell r="A329">
            <v>20230326</v>
          </cell>
          <cell r="B329">
            <v>44944</v>
          </cell>
          <cell r="C329" t="str">
            <v>34327672C</v>
          </cell>
          <cell r="D329" t="str">
            <v>N/A</v>
          </cell>
          <cell r="E329" t="str">
            <v>CONCENTRICIDAD</v>
          </cell>
          <cell r="F329" t="str">
            <v>EVELYN ESTUDILLO</v>
          </cell>
          <cell r="G329">
            <v>44944</v>
          </cell>
          <cell r="H329" t="str">
            <v>MAURICIO</v>
          </cell>
          <cell r="I329" t="str">
            <v>PASS</v>
          </cell>
          <cell r="J329" t="str">
            <v>SPR8</v>
          </cell>
          <cell r="K329" t="str">
            <v>720-5</v>
          </cell>
          <cell r="L329">
            <v>12</v>
          </cell>
          <cell r="M329" t="str">
            <v>CONCENTRICIDAD</v>
          </cell>
        </row>
        <row r="330">
          <cell r="A330">
            <v>20230327</v>
          </cell>
          <cell r="B330">
            <v>44944</v>
          </cell>
          <cell r="C330" t="str">
            <v>34235232G</v>
          </cell>
          <cell r="D330" t="str">
            <v>N/A</v>
          </cell>
          <cell r="E330" t="str">
            <v>CONCENTRICIDAD</v>
          </cell>
          <cell r="F330" t="str">
            <v>EVELYN ESTUDILLO</v>
          </cell>
          <cell r="G330">
            <v>44944</v>
          </cell>
          <cell r="H330" t="str">
            <v>MAURICIO</v>
          </cell>
          <cell r="I330" t="str">
            <v>PASS</v>
          </cell>
          <cell r="J330" t="str">
            <v>SPR8</v>
          </cell>
          <cell r="K330" t="str">
            <v>720-3</v>
          </cell>
          <cell r="L330">
            <v>12</v>
          </cell>
          <cell r="M330" t="str">
            <v>CONCENTRICIDAD</v>
          </cell>
        </row>
        <row r="331">
          <cell r="A331">
            <v>20230328</v>
          </cell>
          <cell r="B331">
            <v>44944</v>
          </cell>
          <cell r="C331" t="str">
            <v>34301470D</v>
          </cell>
          <cell r="D331" t="str">
            <v>N/A</v>
          </cell>
          <cell r="E331" t="str">
            <v>CONCENTRICIDAD</v>
          </cell>
          <cell r="F331" t="str">
            <v>EVELYN ESTUDILLO</v>
          </cell>
          <cell r="G331">
            <v>44944</v>
          </cell>
          <cell r="H331" t="str">
            <v>MAURICIO</v>
          </cell>
          <cell r="I331" t="str">
            <v>PASS</v>
          </cell>
          <cell r="J331" t="str">
            <v>SPR8</v>
          </cell>
          <cell r="K331" t="str">
            <v>720-2</v>
          </cell>
          <cell r="L331">
            <v>12</v>
          </cell>
          <cell r="M331" t="str">
            <v>CONCENTRICIDAD</v>
          </cell>
        </row>
        <row r="332">
          <cell r="A332">
            <v>20230329</v>
          </cell>
          <cell r="B332">
            <v>44944</v>
          </cell>
          <cell r="C332" t="str">
            <v>A020R315B</v>
          </cell>
          <cell r="D332" t="str">
            <v>N/A</v>
          </cell>
          <cell r="E332" t="str">
            <v>OVALIDAD</v>
          </cell>
          <cell r="F332" t="str">
            <v>EVELYN ESTUDILLO</v>
          </cell>
          <cell r="G332">
            <v>44944</v>
          </cell>
          <cell r="H332" t="str">
            <v>MAURICIO</v>
          </cell>
          <cell r="I332" t="str">
            <v>PASS</v>
          </cell>
          <cell r="J332" t="str">
            <v>SPR8</v>
          </cell>
          <cell r="K332" t="str">
            <v>720-6</v>
          </cell>
          <cell r="L332">
            <v>12</v>
          </cell>
          <cell r="M332" t="str">
            <v>OVALIDAD</v>
          </cell>
        </row>
        <row r="333">
          <cell r="A333">
            <v>20230330</v>
          </cell>
          <cell r="B333">
            <v>44944</v>
          </cell>
          <cell r="C333" t="str">
            <v>34296437C</v>
          </cell>
          <cell r="D333" t="str">
            <v>N/A</v>
          </cell>
          <cell r="E333" t="str">
            <v>OVALIDAD</v>
          </cell>
          <cell r="F333" t="str">
            <v>EVELYN ESTUDILLO</v>
          </cell>
          <cell r="G333">
            <v>44944</v>
          </cell>
          <cell r="H333" t="str">
            <v>MAURICIO</v>
          </cell>
          <cell r="I333" t="str">
            <v>PASS</v>
          </cell>
          <cell r="J333" t="str">
            <v>SPR8</v>
          </cell>
          <cell r="K333" t="str">
            <v>720-1</v>
          </cell>
          <cell r="L333">
            <v>12</v>
          </cell>
          <cell r="M333" t="str">
            <v>OVALIDAD</v>
          </cell>
        </row>
        <row r="334">
          <cell r="A334">
            <v>20230331</v>
          </cell>
          <cell r="B334">
            <v>44944</v>
          </cell>
          <cell r="C334" t="str">
            <v>34327672C</v>
          </cell>
          <cell r="D334" t="str">
            <v>N/A</v>
          </cell>
          <cell r="E334" t="str">
            <v>OVALIDAD</v>
          </cell>
          <cell r="F334" t="str">
            <v>EVELYN ESTUDILLO</v>
          </cell>
          <cell r="G334">
            <v>44944</v>
          </cell>
          <cell r="H334" t="str">
            <v>MAURICIO</v>
          </cell>
          <cell r="I334" t="str">
            <v>PASS</v>
          </cell>
          <cell r="J334" t="str">
            <v>SPR8</v>
          </cell>
          <cell r="K334" t="str">
            <v>720-5</v>
          </cell>
          <cell r="L334">
            <v>12</v>
          </cell>
          <cell r="M334" t="str">
            <v>OVALIDAD</v>
          </cell>
        </row>
        <row r="335">
          <cell r="A335">
            <v>20230332</v>
          </cell>
          <cell r="B335">
            <v>44944</v>
          </cell>
          <cell r="C335" t="str">
            <v>34235232G</v>
          </cell>
          <cell r="D335" t="str">
            <v>N/A</v>
          </cell>
          <cell r="E335" t="str">
            <v>OVALIDAD</v>
          </cell>
          <cell r="F335" t="str">
            <v>EVELYN ESTUDILLO</v>
          </cell>
          <cell r="G335">
            <v>44944</v>
          </cell>
          <cell r="H335" t="str">
            <v>MAURICIO</v>
          </cell>
          <cell r="I335" t="str">
            <v>PASS</v>
          </cell>
          <cell r="J335" t="str">
            <v>SPR8</v>
          </cell>
          <cell r="K335" t="str">
            <v>720-3</v>
          </cell>
          <cell r="L335">
            <v>12</v>
          </cell>
          <cell r="M335" t="str">
            <v>OVALIDAD</v>
          </cell>
        </row>
        <row r="336">
          <cell r="A336">
            <v>20230333</v>
          </cell>
          <cell r="B336">
            <v>44944</v>
          </cell>
          <cell r="C336" t="str">
            <v>34301470D</v>
          </cell>
          <cell r="D336" t="str">
            <v>N/A</v>
          </cell>
          <cell r="E336" t="str">
            <v>OVALIDAD</v>
          </cell>
          <cell r="F336" t="str">
            <v>EVELYN ESTUDILLO</v>
          </cell>
          <cell r="G336">
            <v>44944</v>
          </cell>
          <cell r="H336" t="str">
            <v>MAURICIO</v>
          </cell>
          <cell r="I336" t="str">
            <v>PASS</v>
          </cell>
          <cell r="J336" t="str">
            <v>SPR8</v>
          </cell>
          <cell r="K336" t="str">
            <v>720-2</v>
          </cell>
          <cell r="L336">
            <v>12</v>
          </cell>
          <cell r="M336" t="str">
            <v>OVALIDAD</v>
          </cell>
        </row>
        <row r="337">
          <cell r="A337">
            <v>20230334</v>
          </cell>
          <cell r="B337">
            <v>44944</v>
          </cell>
          <cell r="C337" t="str">
            <v>34242430C</v>
          </cell>
          <cell r="D337" t="str">
            <v>N/A</v>
          </cell>
          <cell r="E337">
            <v>7</v>
          </cell>
          <cell r="F337" t="str">
            <v>Yesenia Venegas</v>
          </cell>
          <cell r="G337">
            <v>44944</v>
          </cell>
          <cell r="H337" t="str">
            <v>Nohemi</v>
          </cell>
          <cell r="I337" t="str">
            <v>NO PASS</v>
          </cell>
          <cell r="J337" t="str">
            <v>N/A</v>
          </cell>
          <cell r="K337">
            <v>761</v>
          </cell>
          <cell r="L337">
            <v>30</v>
          </cell>
          <cell r="M337" t="str">
            <v>CH34243004A A20</v>
          </cell>
        </row>
        <row r="338">
          <cell r="A338">
            <v>20230335</v>
          </cell>
          <cell r="B338">
            <v>44944</v>
          </cell>
          <cell r="C338" t="str">
            <v>A024V115A</v>
          </cell>
          <cell r="D338" t="str">
            <v>N/A</v>
          </cell>
          <cell r="E338" t="str">
            <v>102,48,49,50,51,12,3,8,76,103</v>
          </cell>
          <cell r="F338" t="str">
            <v>Laura Castillo</v>
          </cell>
          <cell r="G338">
            <v>44944</v>
          </cell>
          <cell r="H338" t="str">
            <v>Nohemi</v>
          </cell>
          <cell r="I338" t="str">
            <v>NO PASS</v>
          </cell>
          <cell r="J338" t="str">
            <v>JL MCA</v>
          </cell>
          <cell r="K338" t="str">
            <v>716-3</v>
          </cell>
          <cell r="L338">
            <v>5</v>
          </cell>
          <cell r="M338" t="str">
            <v>A0033G4854 A-B</v>
          </cell>
        </row>
        <row r="339">
          <cell r="A339">
            <v>20230336</v>
          </cell>
          <cell r="B339">
            <v>44944</v>
          </cell>
          <cell r="C339" t="str">
            <v>34235240B</v>
          </cell>
          <cell r="D339" t="str">
            <v>13-16</v>
          </cell>
          <cell r="E339" t="str">
            <v xml:space="preserve">Conforme al rip </v>
          </cell>
          <cell r="F339" t="str">
            <v>Nuevos programas</v>
          </cell>
          <cell r="G339">
            <v>44944</v>
          </cell>
          <cell r="H339" t="str">
            <v xml:space="preserve">Adela </v>
          </cell>
          <cell r="I339" t="str">
            <v>NO PASS</v>
          </cell>
          <cell r="J339" t="str">
            <v>N/A</v>
          </cell>
          <cell r="K339" t="str">
            <v>N/A</v>
          </cell>
          <cell r="L339">
            <v>200</v>
          </cell>
          <cell r="M339" t="str">
            <v>N/A</v>
          </cell>
        </row>
        <row r="340">
          <cell r="A340">
            <v>20230337</v>
          </cell>
          <cell r="B340">
            <v>44944</v>
          </cell>
          <cell r="C340" t="str">
            <v>34327672C</v>
          </cell>
          <cell r="D340" t="str">
            <v>N/A</v>
          </cell>
          <cell r="E340" t="str">
            <v>CONCENTRICIDAD</v>
          </cell>
          <cell r="F340" t="str">
            <v>Gabriel Ramos</v>
          </cell>
          <cell r="G340">
            <v>44944</v>
          </cell>
          <cell r="H340" t="str">
            <v>Nohemi</v>
          </cell>
          <cell r="I340" t="str">
            <v>PASS</v>
          </cell>
          <cell r="J340" t="str">
            <v>SPR8</v>
          </cell>
          <cell r="K340" t="str">
            <v>720-5</v>
          </cell>
          <cell r="L340">
            <v>6</v>
          </cell>
          <cell r="M340" t="str">
            <v>CONCENTRICIDAD</v>
          </cell>
        </row>
        <row r="341">
          <cell r="A341">
            <v>20230338</v>
          </cell>
          <cell r="B341">
            <v>44944</v>
          </cell>
          <cell r="C341" t="str">
            <v>A020R620A</v>
          </cell>
          <cell r="D341" t="str">
            <v>N/A</v>
          </cell>
          <cell r="E341" t="str">
            <v>CONCENTRICIDAD</v>
          </cell>
          <cell r="F341" t="str">
            <v>Gabriel Ramos</v>
          </cell>
          <cell r="G341">
            <v>44944</v>
          </cell>
          <cell r="H341" t="str">
            <v>Nohemi</v>
          </cell>
          <cell r="I341" t="str">
            <v>PASS</v>
          </cell>
          <cell r="J341" t="str">
            <v>SPR8</v>
          </cell>
          <cell r="K341" t="str">
            <v>720-6</v>
          </cell>
          <cell r="L341">
            <v>6</v>
          </cell>
          <cell r="M341" t="str">
            <v>CONCENTRICIDAD</v>
          </cell>
        </row>
        <row r="342">
          <cell r="A342">
            <v>20230339</v>
          </cell>
          <cell r="B342">
            <v>44944</v>
          </cell>
          <cell r="C342" t="str">
            <v>34327672C</v>
          </cell>
          <cell r="D342" t="str">
            <v>N/A</v>
          </cell>
          <cell r="E342" t="str">
            <v>OVALIDAD</v>
          </cell>
          <cell r="F342" t="str">
            <v>Gabriel Ramos</v>
          </cell>
          <cell r="G342">
            <v>44944</v>
          </cell>
          <cell r="H342" t="str">
            <v>Nohemi</v>
          </cell>
          <cell r="I342" t="str">
            <v>PASS</v>
          </cell>
          <cell r="J342" t="str">
            <v>SPR8</v>
          </cell>
          <cell r="K342" t="str">
            <v>720-5</v>
          </cell>
          <cell r="L342">
            <v>6</v>
          </cell>
          <cell r="M342" t="str">
            <v>OVALIDAD</v>
          </cell>
        </row>
        <row r="343">
          <cell r="A343">
            <v>20230340</v>
          </cell>
          <cell r="B343">
            <v>44944</v>
          </cell>
          <cell r="C343" t="str">
            <v>A020R620A</v>
          </cell>
          <cell r="D343" t="str">
            <v>N/A</v>
          </cell>
          <cell r="E343" t="str">
            <v>OVALIDAD</v>
          </cell>
          <cell r="F343" t="str">
            <v>Gabriel Ramos</v>
          </cell>
          <cell r="G343">
            <v>44944</v>
          </cell>
          <cell r="H343" t="str">
            <v>Nohemi</v>
          </cell>
          <cell r="I343" t="str">
            <v>PASS</v>
          </cell>
          <cell r="J343" t="str">
            <v>SPR8</v>
          </cell>
          <cell r="K343" t="str">
            <v>720-6</v>
          </cell>
          <cell r="L343">
            <v>6</v>
          </cell>
          <cell r="M343" t="str">
            <v>OVALIDAD</v>
          </cell>
        </row>
        <row r="344">
          <cell r="A344">
            <v>20230341</v>
          </cell>
          <cell r="B344">
            <v>44944</v>
          </cell>
          <cell r="C344" t="str">
            <v>34296438C</v>
          </cell>
          <cell r="D344" t="str">
            <v>N/A</v>
          </cell>
          <cell r="E344" t="str">
            <v>CONCENTRICIDAD</v>
          </cell>
          <cell r="F344" t="str">
            <v>Augusto rdz</v>
          </cell>
          <cell r="G344">
            <v>44944</v>
          </cell>
          <cell r="H344" t="str">
            <v>Jose</v>
          </cell>
          <cell r="I344" t="str">
            <v>PASS</v>
          </cell>
          <cell r="J344" t="str">
            <v>SPR8</v>
          </cell>
          <cell r="K344" t="str">
            <v>720-1</v>
          </cell>
          <cell r="L344">
            <v>12</v>
          </cell>
          <cell r="M344" t="str">
            <v>CONCENTRICIDAD</v>
          </cell>
        </row>
        <row r="345">
          <cell r="A345">
            <v>20230342</v>
          </cell>
          <cell r="B345">
            <v>44944</v>
          </cell>
          <cell r="C345" t="str">
            <v>34296438C</v>
          </cell>
          <cell r="D345" t="str">
            <v>N/A</v>
          </cell>
          <cell r="E345" t="str">
            <v>OVALIDAD</v>
          </cell>
          <cell r="F345" t="str">
            <v>Augusto rdz</v>
          </cell>
          <cell r="G345">
            <v>44944</v>
          </cell>
          <cell r="H345" t="str">
            <v>Jose</v>
          </cell>
          <cell r="I345" t="str">
            <v>PASS</v>
          </cell>
          <cell r="J345" t="str">
            <v>SPR8</v>
          </cell>
          <cell r="K345" t="str">
            <v>720-1</v>
          </cell>
          <cell r="L345">
            <v>12</v>
          </cell>
          <cell r="M345" t="str">
            <v>OVALIDAD</v>
          </cell>
        </row>
        <row r="346">
          <cell r="A346">
            <v>20230343</v>
          </cell>
          <cell r="B346">
            <v>44944</v>
          </cell>
          <cell r="C346" t="str">
            <v>34235231G</v>
          </cell>
          <cell r="D346" t="str">
            <v>N/A</v>
          </cell>
          <cell r="E346" t="str">
            <v>CONCENTRICIDAD</v>
          </cell>
          <cell r="F346" t="str">
            <v>Augusto rdz</v>
          </cell>
          <cell r="G346">
            <v>44944</v>
          </cell>
          <cell r="H346" t="str">
            <v>Jose</v>
          </cell>
          <cell r="I346" t="str">
            <v>PASS</v>
          </cell>
          <cell r="J346" t="str">
            <v>SPR8</v>
          </cell>
          <cell r="K346" t="str">
            <v>720-2</v>
          </cell>
          <cell r="L346">
            <v>12</v>
          </cell>
          <cell r="M346" t="str">
            <v>CONCENTRICIDAD</v>
          </cell>
        </row>
        <row r="347">
          <cell r="A347">
            <v>20230344</v>
          </cell>
          <cell r="B347">
            <v>44944</v>
          </cell>
          <cell r="C347" t="str">
            <v>34235231G</v>
          </cell>
          <cell r="D347" t="str">
            <v>N/A</v>
          </cell>
          <cell r="E347" t="str">
            <v>OVALIDAD</v>
          </cell>
          <cell r="F347" t="str">
            <v>Augusto rdz</v>
          </cell>
          <cell r="G347">
            <v>44944</v>
          </cell>
          <cell r="H347" t="str">
            <v>Jose</v>
          </cell>
          <cell r="I347" t="str">
            <v>PASS</v>
          </cell>
          <cell r="J347" t="str">
            <v>SPR8</v>
          </cell>
          <cell r="K347" t="str">
            <v>720-2</v>
          </cell>
          <cell r="L347">
            <v>12</v>
          </cell>
          <cell r="M347" t="str">
            <v>OVALIDAD</v>
          </cell>
        </row>
        <row r="348">
          <cell r="A348">
            <v>20230345</v>
          </cell>
          <cell r="B348">
            <v>44944</v>
          </cell>
          <cell r="C348" t="str">
            <v>34235234G</v>
          </cell>
          <cell r="D348" t="str">
            <v>N/A</v>
          </cell>
          <cell r="E348" t="str">
            <v>CONCENTRICIDAD</v>
          </cell>
          <cell r="F348" t="str">
            <v>Augusto rdz</v>
          </cell>
          <cell r="G348">
            <v>44944</v>
          </cell>
          <cell r="H348" t="str">
            <v>Jose</v>
          </cell>
          <cell r="I348" t="str">
            <v>PASS</v>
          </cell>
          <cell r="J348" t="str">
            <v>SPR8</v>
          </cell>
          <cell r="K348" t="str">
            <v>720-3</v>
          </cell>
          <cell r="L348">
            <v>18</v>
          </cell>
          <cell r="M348" t="str">
            <v>CONCENTRICIDAD</v>
          </cell>
        </row>
        <row r="349">
          <cell r="A349">
            <v>20230346</v>
          </cell>
          <cell r="B349">
            <v>44944</v>
          </cell>
          <cell r="C349" t="str">
            <v>34235234G</v>
          </cell>
          <cell r="D349" t="str">
            <v>N/A</v>
          </cell>
          <cell r="E349" t="str">
            <v>OVALIDAD</v>
          </cell>
          <cell r="F349" t="str">
            <v>Augusto rdz</v>
          </cell>
          <cell r="G349">
            <v>44944</v>
          </cell>
          <cell r="H349" t="str">
            <v>Jose</v>
          </cell>
          <cell r="I349" t="str">
            <v>PASS</v>
          </cell>
          <cell r="J349" t="str">
            <v>SPR8</v>
          </cell>
          <cell r="K349" t="str">
            <v>720-3</v>
          </cell>
          <cell r="L349">
            <v>18</v>
          </cell>
          <cell r="M349" t="str">
            <v>OVALIDAD</v>
          </cell>
        </row>
        <row r="350">
          <cell r="A350">
            <v>20230347</v>
          </cell>
          <cell r="B350">
            <v>44944</v>
          </cell>
          <cell r="C350" t="str">
            <v>34361271A</v>
          </cell>
          <cell r="D350" t="str">
            <v>N/A</v>
          </cell>
          <cell r="E350" t="str">
            <v>CONCENTRICIDAD</v>
          </cell>
          <cell r="F350" t="str">
            <v>Augusto rdz</v>
          </cell>
          <cell r="G350">
            <v>44944</v>
          </cell>
          <cell r="H350" t="str">
            <v>Jose</v>
          </cell>
          <cell r="I350" t="str">
            <v>PASS</v>
          </cell>
          <cell r="J350" t="str">
            <v>SPR8</v>
          </cell>
          <cell r="K350" t="str">
            <v>720-4</v>
          </cell>
          <cell r="L350">
            <v>12</v>
          </cell>
          <cell r="M350" t="str">
            <v>CONCENTRICIDAD</v>
          </cell>
        </row>
        <row r="351">
          <cell r="A351">
            <v>20230348</v>
          </cell>
          <cell r="B351">
            <v>44944</v>
          </cell>
          <cell r="C351" t="str">
            <v>34361271A</v>
          </cell>
          <cell r="D351" t="str">
            <v>N/A</v>
          </cell>
          <cell r="E351" t="str">
            <v>OVALIDAD</v>
          </cell>
          <cell r="F351" t="str">
            <v>Augusto rdz</v>
          </cell>
          <cell r="G351">
            <v>44944</v>
          </cell>
          <cell r="H351" t="str">
            <v>Jose</v>
          </cell>
          <cell r="I351" t="str">
            <v>PASS</v>
          </cell>
          <cell r="J351" t="str">
            <v>SPR8</v>
          </cell>
          <cell r="K351" t="str">
            <v>720-4</v>
          </cell>
          <cell r="L351">
            <v>12</v>
          </cell>
          <cell r="M351" t="str">
            <v>OVALIDAD</v>
          </cell>
        </row>
        <row r="352">
          <cell r="A352">
            <v>20230349</v>
          </cell>
          <cell r="B352">
            <v>44945</v>
          </cell>
          <cell r="C352" t="str">
            <v>A023P560B</v>
          </cell>
          <cell r="D352" t="str">
            <v>N/A</v>
          </cell>
          <cell r="E352" t="str">
            <v>CONCENTRICIDAD</v>
          </cell>
          <cell r="F352" t="str">
            <v>Laura Castillo</v>
          </cell>
          <cell r="G352">
            <v>44945</v>
          </cell>
          <cell r="H352" t="str">
            <v>Nohemi</v>
          </cell>
          <cell r="I352" t="str">
            <v>PASS</v>
          </cell>
          <cell r="J352" t="str">
            <v>SPR8</v>
          </cell>
          <cell r="K352" t="str">
            <v>720-3</v>
          </cell>
          <cell r="L352">
            <v>6</v>
          </cell>
          <cell r="M352" t="str">
            <v>CONCENTRICIDAD</v>
          </cell>
        </row>
        <row r="353">
          <cell r="A353">
            <v>20230350</v>
          </cell>
          <cell r="B353">
            <v>44945</v>
          </cell>
          <cell r="C353" t="str">
            <v>A023P560B</v>
          </cell>
          <cell r="D353" t="str">
            <v>N/A</v>
          </cell>
          <cell r="E353" t="str">
            <v>OVALIDAD</v>
          </cell>
          <cell r="F353" t="str">
            <v>Laura Castillo</v>
          </cell>
          <cell r="G353">
            <v>44945</v>
          </cell>
          <cell r="H353" t="str">
            <v>Nohemi</v>
          </cell>
          <cell r="I353" t="str">
            <v>PASS</v>
          </cell>
          <cell r="J353" t="str">
            <v>SPR8</v>
          </cell>
          <cell r="K353" t="str">
            <v>720-3</v>
          </cell>
          <cell r="L353">
            <v>6</v>
          </cell>
          <cell r="M353" t="str">
            <v>OVALIDAD</v>
          </cell>
        </row>
        <row r="354">
          <cell r="A354">
            <v>20230351</v>
          </cell>
          <cell r="B354">
            <v>44945</v>
          </cell>
          <cell r="C354" t="str">
            <v>34242414B</v>
          </cell>
          <cell r="D354" t="str">
            <v>N/A</v>
          </cell>
          <cell r="E354">
            <v>15</v>
          </cell>
          <cell r="F354" t="str">
            <v>Yesenia Venegas</v>
          </cell>
          <cell r="G354">
            <v>44945</v>
          </cell>
          <cell r="H354" t="str">
            <v>Nohemi</v>
          </cell>
          <cell r="I354" t="str">
            <v>NO PASS</v>
          </cell>
          <cell r="J354" t="str">
            <v>BT1CC</v>
          </cell>
          <cell r="K354">
            <v>761</v>
          </cell>
          <cell r="L354">
            <v>30</v>
          </cell>
          <cell r="M354" t="str">
            <v>CH34174173 A33</v>
          </cell>
        </row>
        <row r="355">
          <cell r="A355">
            <v>20230352</v>
          </cell>
          <cell r="B355">
            <v>44945</v>
          </cell>
          <cell r="C355" t="str">
            <v>A023P560B</v>
          </cell>
          <cell r="D355" t="str">
            <v>N/A</v>
          </cell>
          <cell r="E355" t="str">
            <v>7,8,9,10,11,Z,17,18,19</v>
          </cell>
          <cell r="F355" t="str">
            <v>Laura Castillo</v>
          </cell>
          <cell r="G355">
            <v>44945</v>
          </cell>
          <cell r="H355" t="str">
            <v>Nohemi</v>
          </cell>
          <cell r="I355" t="str">
            <v>PASS</v>
          </cell>
          <cell r="J355" t="str">
            <v>SPR8</v>
          </cell>
          <cell r="K355" t="str">
            <v>714-3</v>
          </cell>
          <cell r="L355">
            <v>4</v>
          </cell>
          <cell r="M355" t="str">
            <v>A0054G8117A-C</v>
          </cell>
        </row>
        <row r="356">
          <cell r="A356">
            <v>20230353</v>
          </cell>
          <cell r="B356">
            <v>44945</v>
          </cell>
          <cell r="C356" t="str">
            <v>34257331B</v>
          </cell>
          <cell r="D356" t="str">
            <v>N/A</v>
          </cell>
          <cell r="E356" t="str">
            <v>15,16,17,19</v>
          </cell>
          <cell r="F356" t="str">
            <v>Laura Castillo</v>
          </cell>
          <cell r="G356">
            <v>44945</v>
          </cell>
          <cell r="H356" t="str">
            <v>Nohemi</v>
          </cell>
          <cell r="I356" t="str">
            <v>NO PASS</v>
          </cell>
          <cell r="J356" t="str">
            <v>SPR8</v>
          </cell>
          <cell r="K356" t="str">
            <v>720-3</v>
          </cell>
          <cell r="L356">
            <v>4</v>
          </cell>
          <cell r="M356" t="str">
            <v>CH34259297 A15</v>
          </cell>
        </row>
        <row r="357">
          <cell r="A357">
            <v>20230354</v>
          </cell>
          <cell r="B357">
            <v>44945</v>
          </cell>
          <cell r="C357" t="str">
            <v>A024V116A</v>
          </cell>
          <cell r="D357" t="str">
            <v>N/A</v>
          </cell>
          <cell r="E357" t="str">
            <v>102,48,49,50,51,3,8,76,103,12</v>
          </cell>
          <cell r="F357" t="str">
            <v>Laura Castillo</v>
          </cell>
          <cell r="G357">
            <v>44945</v>
          </cell>
          <cell r="H357" t="str">
            <v>Nohemi</v>
          </cell>
          <cell r="I357" t="str">
            <v>NO PASS</v>
          </cell>
          <cell r="J357" t="str">
            <v>SPR8</v>
          </cell>
          <cell r="K357" t="str">
            <v>716-3</v>
          </cell>
          <cell r="L357">
            <v>4</v>
          </cell>
          <cell r="M357" t="str">
            <v>A0033G4854 A-B</v>
          </cell>
        </row>
        <row r="358">
          <cell r="A358">
            <v>20230355</v>
          </cell>
          <cell r="B358">
            <v>44945</v>
          </cell>
          <cell r="C358" t="str">
            <v>34324865B</v>
          </cell>
          <cell r="D358" t="str">
            <v>TC001</v>
          </cell>
          <cell r="E358" t="str">
            <v xml:space="preserve">Conforme al rip </v>
          </cell>
          <cell r="F358" t="str">
            <v>Nuevos programas</v>
          </cell>
          <cell r="G358">
            <v>44945</v>
          </cell>
          <cell r="H358" t="str">
            <v xml:space="preserve">Adela </v>
          </cell>
          <cell r="I358" t="str">
            <v>NO PASS</v>
          </cell>
          <cell r="J358" t="str">
            <v>N/A</v>
          </cell>
          <cell r="K358" t="str">
            <v>N/A</v>
          </cell>
          <cell r="L358">
            <v>923</v>
          </cell>
          <cell r="M358" t="str">
            <v>N/A</v>
          </cell>
        </row>
        <row r="359">
          <cell r="A359">
            <v>20230356</v>
          </cell>
          <cell r="B359">
            <v>44945</v>
          </cell>
          <cell r="C359" t="str">
            <v>34336033A</v>
          </cell>
          <cell r="D359" t="str">
            <v>N/A</v>
          </cell>
          <cell r="E359" t="str">
            <v>16,17,18</v>
          </cell>
          <cell r="F359" t="str">
            <v>Javier Bautista</v>
          </cell>
          <cell r="G359">
            <v>44945</v>
          </cell>
          <cell r="H359" t="str">
            <v>Nohemi</v>
          </cell>
          <cell r="I359" t="str">
            <v>NO PASS</v>
          </cell>
          <cell r="J359" t="str">
            <v>SPR8</v>
          </cell>
          <cell r="K359">
            <v>604</v>
          </cell>
          <cell r="L359">
            <v>3</v>
          </cell>
          <cell r="M359" t="str">
            <v>A0034B4178A B</v>
          </cell>
        </row>
        <row r="360">
          <cell r="A360">
            <v>20230357</v>
          </cell>
          <cell r="B360">
            <v>44945</v>
          </cell>
          <cell r="C360" t="str">
            <v>34324980B</v>
          </cell>
          <cell r="D360" t="str">
            <v>N/A</v>
          </cell>
          <cell r="E360" t="str">
            <v>16,15,17,19</v>
          </cell>
          <cell r="F360" t="str">
            <v>Javier Bautista</v>
          </cell>
          <cell r="G360">
            <v>44945</v>
          </cell>
          <cell r="H360" t="str">
            <v>Nohemi</v>
          </cell>
          <cell r="I360" t="str">
            <v>NO PASS</v>
          </cell>
          <cell r="J360" t="str">
            <v>SPR8</v>
          </cell>
          <cell r="K360" t="str">
            <v>720-5</v>
          </cell>
          <cell r="L360">
            <v>2</v>
          </cell>
          <cell r="M360" t="str">
            <v>CH34259297 A11</v>
          </cell>
        </row>
        <row r="361">
          <cell r="A361">
            <v>20230358</v>
          </cell>
          <cell r="B361">
            <v>44945</v>
          </cell>
          <cell r="C361" t="str">
            <v>34141784BBB</v>
          </cell>
          <cell r="D361" t="str">
            <v>01</v>
          </cell>
          <cell r="E361" t="str">
            <v xml:space="preserve">Conforme al rip </v>
          </cell>
          <cell r="F361" t="str">
            <v>Nuevos programas</v>
          </cell>
          <cell r="G361">
            <v>44945</v>
          </cell>
          <cell r="H361" t="str">
            <v xml:space="preserve">Adela </v>
          </cell>
          <cell r="I361" t="str">
            <v>NO PASS</v>
          </cell>
          <cell r="J361" t="str">
            <v>N/A</v>
          </cell>
          <cell r="K361" t="str">
            <v>N/A</v>
          </cell>
          <cell r="L361">
            <v>900</v>
          </cell>
          <cell r="M361" t="str">
            <v>N/A</v>
          </cell>
        </row>
        <row r="362">
          <cell r="A362">
            <v>20230359</v>
          </cell>
          <cell r="B362">
            <v>44945</v>
          </cell>
          <cell r="C362" t="str">
            <v>34130163BBB</v>
          </cell>
          <cell r="D362" t="str">
            <v>01</v>
          </cell>
          <cell r="E362" t="str">
            <v xml:space="preserve">Conforme al rip </v>
          </cell>
          <cell r="F362" t="str">
            <v>Nuevos programas</v>
          </cell>
          <cell r="G362">
            <v>44945</v>
          </cell>
          <cell r="H362" t="str">
            <v xml:space="preserve">Adela </v>
          </cell>
          <cell r="I362" t="str">
            <v>NO PASS</v>
          </cell>
          <cell r="J362" t="str">
            <v>N/A</v>
          </cell>
          <cell r="K362" t="str">
            <v>N/A</v>
          </cell>
          <cell r="L362">
            <v>900</v>
          </cell>
          <cell r="M362" t="str">
            <v>N/A</v>
          </cell>
        </row>
        <row r="363">
          <cell r="A363">
            <v>20230360</v>
          </cell>
          <cell r="B363">
            <v>44945</v>
          </cell>
          <cell r="C363" t="str">
            <v>34146057BBB</v>
          </cell>
          <cell r="D363" t="str">
            <v>01</v>
          </cell>
          <cell r="E363" t="str">
            <v xml:space="preserve">Conforme al rip </v>
          </cell>
          <cell r="F363" t="str">
            <v>Nuevos programas</v>
          </cell>
          <cell r="G363">
            <v>44945</v>
          </cell>
          <cell r="H363" t="str">
            <v xml:space="preserve">Adela </v>
          </cell>
          <cell r="I363" t="str">
            <v>NO PASS</v>
          </cell>
          <cell r="J363" t="str">
            <v>N/A</v>
          </cell>
          <cell r="K363" t="str">
            <v>N/A</v>
          </cell>
          <cell r="L363">
            <v>400</v>
          </cell>
          <cell r="M363" t="str">
            <v>N/A</v>
          </cell>
        </row>
        <row r="364">
          <cell r="A364">
            <v>20230361</v>
          </cell>
          <cell r="B364">
            <v>44945</v>
          </cell>
          <cell r="C364">
            <v>34262544</v>
          </cell>
          <cell r="D364" t="str">
            <v>N/A</v>
          </cell>
          <cell r="E364" t="str">
            <v>CONCENTRICIDAD</v>
          </cell>
          <cell r="F364" t="str">
            <v>EVELYN ESTUDILLO</v>
          </cell>
          <cell r="G364">
            <v>44945</v>
          </cell>
          <cell r="H364" t="str">
            <v>MAURICIO</v>
          </cell>
          <cell r="I364" t="str">
            <v>PASS</v>
          </cell>
          <cell r="J364" t="str">
            <v>SPR8</v>
          </cell>
          <cell r="K364" t="str">
            <v>720-3</v>
          </cell>
          <cell r="L364">
            <v>12</v>
          </cell>
          <cell r="M364" t="str">
            <v>CONCENTRICIDAD</v>
          </cell>
        </row>
        <row r="365">
          <cell r="A365">
            <v>20230362</v>
          </cell>
          <cell r="B365">
            <v>44945</v>
          </cell>
          <cell r="C365" t="str">
            <v>34296441C</v>
          </cell>
          <cell r="D365" t="str">
            <v>N/A</v>
          </cell>
          <cell r="E365" t="str">
            <v>CONCENTRICIDAD</v>
          </cell>
          <cell r="F365" t="str">
            <v>EVELYN ESTUDILLO</v>
          </cell>
          <cell r="G365">
            <v>44945</v>
          </cell>
          <cell r="H365" t="str">
            <v>MAURICIO</v>
          </cell>
          <cell r="I365" t="str">
            <v>PASS</v>
          </cell>
          <cell r="J365" t="str">
            <v>SPR8</v>
          </cell>
          <cell r="K365" t="str">
            <v>720-2</v>
          </cell>
          <cell r="L365">
            <v>12</v>
          </cell>
          <cell r="M365" t="str">
            <v>CONCENTRICIDAD</v>
          </cell>
        </row>
        <row r="366">
          <cell r="A366">
            <v>20230363</v>
          </cell>
          <cell r="B366">
            <v>44945</v>
          </cell>
          <cell r="C366" t="str">
            <v>34361270A</v>
          </cell>
          <cell r="D366" t="str">
            <v>N/A</v>
          </cell>
          <cell r="E366" t="str">
            <v>CONCENTRICIDAD</v>
          </cell>
          <cell r="F366" t="str">
            <v>EVELYN ESTUDILLO</v>
          </cell>
          <cell r="G366">
            <v>44945</v>
          </cell>
          <cell r="H366" t="str">
            <v>MAURICIO</v>
          </cell>
          <cell r="I366" t="str">
            <v>PASS</v>
          </cell>
          <cell r="J366" t="str">
            <v>SPR8</v>
          </cell>
          <cell r="K366" t="str">
            <v>720-4</v>
          </cell>
          <cell r="L366">
            <v>12</v>
          </cell>
          <cell r="M366" t="str">
            <v>CONCENTRICIDAD</v>
          </cell>
        </row>
        <row r="367">
          <cell r="A367">
            <v>20230364</v>
          </cell>
          <cell r="B367">
            <v>44945</v>
          </cell>
          <cell r="C367" t="str">
            <v>34327673B</v>
          </cell>
          <cell r="D367" t="str">
            <v>N/A</v>
          </cell>
          <cell r="E367" t="str">
            <v>CONCENTRICIDAD</v>
          </cell>
          <cell r="F367" t="str">
            <v>EVELYN ESTUDILLO</v>
          </cell>
          <cell r="G367">
            <v>44945</v>
          </cell>
          <cell r="H367" t="str">
            <v>MAURICIO</v>
          </cell>
          <cell r="I367" t="str">
            <v>PASS</v>
          </cell>
          <cell r="J367" t="str">
            <v>SPR8</v>
          </cell>
          <cell r="K367" t="str">
            <v>720-5</v>
          </cell>
          <cell r="L367">
            <v>12</v>
          </cell>
          <cell r="M367" t="str">
            <v>CONCENTRICIDAD</v>
          </cell>
        </row>
        <row r="368">
          <cell r="A368">
            <v>20230365</v>
          </cell>
          <cell r="B368">
            <v>44945</v>
          </cell>
          <cell r="C368" t="str">
            <v>A020R620A</v>
          </cell>
          <cell r="D368" t="str">
            <v>N/A</v>
          </cell>
          <cell r="E368" t="str">
            <v>CONCENTRICIDAD</v>
          </cell>
          <cell r="F368" t="str">
            <v>EVELYN ESTUDILLO</v>
          </cell>
          <cell r="G368">
            <v>44945</v>
          </cell>
          <cell r="H368" t="str">
            <v>MAURICIO</v>
          </cell>
          <cell r="I368" t="str">
            <v>PASS</v>
          </cell>
          <cell r="J368" t="str">
            <v>SPR8</v>
          </cell>
          <cell r="K368" t="str">
            <v>720-6</v>
          </cell>
          <cell r="L368">
            <v>12</v>
          </cell>
          <cell r="M368" t="str">
            <v>CONCENTRICIDAD</v>
          </cell>
        </row>
        <row r="369">
          <cell r="A369">
            <v>20230366</v>
          </cell>
          <cell r="B369">
            <v>44945</v>
          </cell>
          <cell r="C369" t="str">
            <v>34296437C</v>
          </cell>
          <cell r="D369" t="str">
            <v>N/A</v>
          </cell>
          <cell r="E369" t="str">
            <v>CONCENTRICIDAD</v>
          </cell>
          <cell r="F369" t="str">
            <v>EVELYN ESTUDILLO</v>
          </cell>
          <cell r="G369">
            <v>44945</v>
          </cell>
          <cell r="H369" t="str">
            <v>MAURICIO</v>
          </cell>
          <cell r="I369" t="str">
            <v>PASS</v>
          </cell>
          <cell r="J369" t="str">
            <v>SPR8</v>
          </cell>
          <cell r="K369" t="str">
            <v>720-1</v>
          </cell>
          <cell r="L369">
            <v>12</v>
          </cell>
          <cell r="M369" t="str">
            <v>CONCENTRICIDAD</v>
          </cell>
        </row>
        <row r="370">
          <cell r="A370">
            <v>20230367</v>
          </cell>
          <cell r="B370">
            <v>44945</v>
          </cell>
          <cell r="C370">
            <v>34262544</v>
          </cell>
          <cell r="D370" t="str">
            <v>N/A</v>
          </cell>
          <cell r="E370" t="str">
            <v>OVALIDAD</v>
          </cell>
          <cell r="F370" t="str">
            <v>EVELYN ESTUDILLO</v>
          </cell>
          <cell r="G370">
            <v>44945</v>
          </cell>
          <cell r="H370" t="str">
            <v>MAURICIO</v>
          </cell>
          <cell r="I370" t="str">
            <v>PASS</v>
          </cell>
          <cell r="J370" t="str">
            <v>SPR8</v>
          </cell>
          <cell r="K370" t="str">
            <v>720-3</v>
          </cell>
          <cell r="L370">
            <v>12</v>
          </cell>
          <cell r="M370" t="str">
            <v>OVALIDAD</v>
          </cell>
        </row>
        <row r="371">
          <cell r="A371">
            <v>20230368</v>
          </cell>
          <cell r="B371">
            <v>44945</v>
          </cell>
          <cell r="C371" t="str">
            <v>34296441C</v>
          </cell>
          <cell r="D371" t="str">
            <v>N/A</v>
          </cell>
          <cell r="E371" t="str">
            <v>OVALIDAD</v>
          </cell>
          <cell r="F371" t="str">
            <v>EVELYN ESTUDILLO</v>
          </cell>
          <cell r="G371">
            <v>44945</v>
          </cell>
          <cell r="H371" t="str">
            <v>MAURICIO</v>
          </cell>
          <cell r="I371" t="str">
            <v>PASS</v>
          </cell>
          <cell r="J371" t="str">
            <v>SPR8</v>
          </cell>
          <cell r="K371" t="str">
            <v>720-2</v>
          </cell>
          <cell r="L371">
            <v>12</v>
          </cell>
          <cell r="M371" t="str">
            <v>OVALIDAD</v>
          </cell>
        </row>
        <row r="372">
          <cell r="A372">
            <v>20230369</v>
          </cell>
          <cell r="B372">
            <v>44945</v>
          </cell>
          <cell r="C372" t="str">
            <v>34361270A</v>
          </cell>
          <cell r="D372" t="str">
            <v>N/A</v>
          </cell>
          <cell r="E372" t="str">
            <v>OVALIDAD</v>
          </cell>
          <cell r="F372" t="str">
            <v>EVELYN ESTUDILLO</v>
          </cell>
          <cell r="G372">
            <v>44945</v>
          </cell>
          <cell r="H372" t="str">
            <v>MAURICIO</v>
          </cell>
          <cell r="I372" t="str">
            <v>PASS</v>
          </cell>
          <cell r="J372" t="str">
            <v>SPR8</v>
          </cell>
          <cell r="K372" t="str">
            <v>720-4</v>
          </cell>
          <cell r="L372">
            <v>12</v>
          </cell>
          <cell r="M372" t="str">
            <v>OVALIDAD</v>
          </cell>
        </row>
        <row r="373">
          <cell r="A373">
            <v>20230370</v>
          </cell>
          <cell r="B373">
            <v>44945</v>
          </cell>
          <cell r="C373" t="str">
            <v>34327673B</v>
          </cell>
          <cell r="D373" t="str">
            <v>N/A</v>
          </cell>
          <cell r="E373" t="str">
            <v>OVALIDAD</v>
          </cell>
          <cell r="F373" t="str">
            <v>EVELYN ESTUDILLO</v>
          </cell>
          <cell r="G373">
            <v>44945</v>
          </cell>
          <cell r="H373" t="str">
            <v>MAURICIO</v>
          </cell>
          <cell r="I373" t="str">
            <v>PASS</v>
          </cell>
          <cell r="J373" t="str">
            <v>SPR8</v>
          </cell>
          <cell r="K373" t="str">
            <v>720-5</v>
          </cell>
          <cell r="L373">
            <v>12</v>
          </cell>
          <cell r="M373" t="str">
            <v>OVALIDAD</v>
          </cell>
        </row>
        <row r="374">
          <cell r="A374">
            <v>20230371</v>
          </cell>
          <cell r="B374">
            <v>44945</v>
          </cell>
          <cell r="C374" t="str">
            <v>A020R620A</v>
          </cell>
          <cell r="D374" t="str">
            <v>N/A</v>
          </cell>
          <cell r="E374" t="str">
            <v>OVALIDAD</v>
          </cell>
          <cell r="F374" t="str">
            <v>EVELYN ESTUDILLO</v>
          </cell>
          <cell r="G374">
            <v>44945</v>
          </cell>
          <cell r="H374" t="str">
            <v>MAURICIO</v>
          </cell>
          <cell r="I374" t="str">
            <v>PASS</v>
          </cell>
          <cell r="J374" t="str">
            <v>SPR8</v>
          </cell>
          <cell r="K374" t="str">
            <v>720-6</v>
          </cell>
          <cell r="L374">
            <v>12</v>
          </cell>
          <cell r="M374" t="str">
            <v>OVALIDAD</v>
          </cell>
        </row>
        <row r="375">
          <cell r="A375">
            <v>20230372</v>
          </cell>
          <cell r="B375">
            <v>44945</v>
          </cell>
          <cell r="C375" t="str">
            <v>34296437C</v>
          </cell>
          <cell r="D375" t="str">
            <v>N/A</v>
          </cell>
          <cell r="E375" t="str">
            <v>OVALIDAD</v>
          </cell>
          <cell r="F375" t="str">
            <v>EVELYN ESTUDILLO</v>
          </cell>
          <cell r="G375">
            <v>44945</v>
          </cell>
          <cell r="H375" t="str">
            <v>MAURICIO</v>
          </cell>
          <cell r="I375" t="str">
            <v>PASS</v>
          </cell>
          <cell r="J375" t="str">
            <v>SPR8</v>
          </cell>
          <cell r="K375" t="str">
            <v>720-1</v>
          </cell>
          <cell r="L375">
            <v>12</v>
          </cell>
          <cell r="M375" t="str">
            <v>OVALIDAD</v>
          </cell>
        </row>
        <row r="376">
          <cell r="A376">
            <v>20230373</v>
          </cell>
          <cell r="B376">
            <v>44945</v>
          </cell>
          <cell r="C376" t="str">
            <v>33024457D</v>
          </cell>
          <cell r="D376">
            <v>5110</v>
          </cell>
          <cell r="E376" t="str">
            <v>40 42 44 46 x3</v>
          </cell>
          <cell r="F376" t="str">
            <v>JORGE GONZALEZ</v>
          </cell>
          <cell r="G376">
            <v>44945</v>
          </cell>
          <cell r="H376" t="str">
            <v>MAURICIO</v>
          </cell>
          <cell r="I376" t="str">
            <v>NO PASS</v>
          </cell>
          <cell r="J376" t="str">
            <v>N/A</v>
          </cell>
          <cell r="K376" t="str">
            <v>AGRATI-TIFFIN</v>
          </cell>
          <cell r="L376">
            <v>5</v>
          </cell>
          <cell r="M376" t="str">
            <v>PLANO MARCADO</v>
          </cell>
        </row>
        <row r="377">
          <cell r="A377">
            <v>20230374</v>
          </cell>
          <cell r="B377">
            <v>44945</v>
          </cell>
          <cell r="C377" t="str">
            <v>34285573C</v>
          </cell>
          <cell r="D377" t="str">
            <v>N/A</v>
          </cell>
          <cell r="E377" t="str">
            <v>CONCENTRICIDAD</v>
          </cell>
          <cell r="F377" t="str">
            <v>Gabriel Ramos</v>
          </cell>
          <cell r="G377">
            <v>44945</v>
          </cell>
          <cell r="H377" t="str">
            <v>Nohemi</v>
          </cell>
          <cell r="I377" t="str">
            <v>PASS</v>
          </cell>
          <cell r="J377" t="str">
            <v>SPR8</v>
          </cell>
          <cell r="K377" t="str">
            <v>720-2</v>
          </cell>
          <cell r="L377">
            <v>6</v>
          </cell>
          <cell r="M377" t="str">
            <v>CONCENTRICIDAD</v>
          </cell>
        </row>
        <row r="378">
          <cell r="A378">
            <v>20230375</v>
          </cell>
          <cell r="B378">
            <v>44945</v>
          </cell>
          <cell r="C378" t="str">
            <v>34235234G</v>
          </cell>
          <cell r="D378" t="str">
            <v>N/A</v>
          </cell>
          <cell r="E378" t="str">
            <v>CONCENTRICIDAD</v>
          </cell>
          <cell r="F378" t="str">
            <v>Gabriel Ramos</v>
          </cell>
          <cell r="G378">
            <v>44945</v>
          </cell>
          <cell r="H378" t="str">
            <v>Nohemi</v>
          </cell>
          <cell r="I378" t="str">
            <v>PASS</v>
          </cell>
          <cell r="J378" t="str">
            <v>SPR8</v>
          </cell>
          <cell r="K378" t="str">
            <v>720-3</v>
          </cell>
          <cell r="L378">
            <v>6</v>
          </cell>
          <cell r="M378" t="str">
            <v>CONCENTRICIDAD</v>
          </cell>
        </row>
        <row r="379">
          <cell r="A379">
            <v>20230376</v>
          </cell>
          <cell r="B379">
            <v>44945</v>
          </cell>
          <cell r="C379" t="str">
            <v>34285573C</v>
          </cell>
          <cell r="D379" t="str">
            <v>N/A</v>
          </cell>
          <cell r="E379" t="str">
            <v>OVALIDAD</v>
          </cell>
          <cell r="F379" t="str">
            <v>Gabriel Ramos</v>
          </cell>
          <cell r="G379">
            <v>44945</v>
          </cell>
          <cell r="H379" t="str">
            <v>Nohemi</v>
          </cell>
          <cell r="I379" t="str">
            <v>PASS</v>
          </cell>
          <cell r="J379" t="str">
            <v>SPR8</v>
          </cell>
          <cell r="K379" t="str">
            <v>720-2</v>
          </cell>
          <cell r="L379">
            <v>6</v>
          </cell>
          <cell r="M379" t="str">
            <v>OVALIDAD</v>
          </cell>
        </row>
        <row r="380">
          <cell r="A380">
            <v>20230377</v>
          </cell>
          <cell r="B380">
            <v>44945</v>
          </cell>
          <cell r="C380" t="str">
            <v>34235234G</v>
          </cell>
          <cell r="D380" t="str">
            <v>N/A</v>
          </cell>
          <cell r="E380" t="str">
            <v>OVALIDAD</v>
          </cell>
          <cell r="F380" t="str">
            <v>Gabriel Ramos</v>
          </cell>
          <cell r="G380">
            <v>44945</v>
          </cell>
          <cell r="H380" t="str">
            <v>Nohemi</v>
          </cell>
          <cell r="I380" t="str">
            <v>PASS</v>
          </cell>
          <cell r="J380" t="str">
            <v>SPR8</v>
          </cell>
          <cell r="K380" t="str">
            <v>720-3</v>
          </cell>
          <cell r="L380">
            <v>6</v>
          </cell>
          <cell r="M380" t="str">
            <v>OVALIDAD</v>
          </cell>
        </row>
        <row r="381">
          <cell r="A381">
            <v>20230378</v>
          </cell>
          <cell r="B381">
            <v>44945</v>
          </cell>
          <cell r="C381" t="str">
            <v>34296438C</v>
          </cell>
          <cell r="D381" t="str">
            <v>N/A</v>
          </cell>
          <cell r="E381" t="str">
            <v>CONCENTRICIDAD</v>
          </cell>
          <cell r="F381" t="str">
            <v>Augusto rdz</v>
          </cell>
          <cell r="G381">
            <v>44945</v>
          </cell>
          <cell r="H381" t="str">
            <v>Abel</v>
          </cell>
          <cell r="I381" t="str">
            <v>PASS</v>
          </cell>
          <cell r="J381" t="str">
            <v>SPR8</v>
          </cell>
          <cell r="K381" t="str">
            <v>720-1</v>
          </cell>
          <cell r="L381">
            <v>6</v>
          </cell>
          <cell r="M381" t="str">
            <v>CONCENTRICIDAD</v>
          </cell>
        </row>
        <row r="382">
          <cell r="A382">
            <v>20230379</v>
          </cell>
          <cell r="B382">
            <v>44945</v>
          </cell>
          <cell r="C382" t="str">
            <v>A020R619B</v>
          </cell>
          <cell r="D382" t="str">
            <v>N/A</v>
          </cell>
          <cell r="E382" t="str">
            <v>CONCENTRICIDAD</v>
          </cell>
          <cell r="F382" t="str">
            <v>Augusto rdz</v>
          </cell>
          <cell r="G382">
            <v>44945</v>
          </cell>
          <cell r="H382" t="str">
            <v>Abel</v>
          </cell>
          <cell r="I382" t="str">
            <v>PASS</v>
          </cell>
          <cell r="J382" t="str">
            <v>SPR8</v>
          </cell>
          <cell r="K382" t="str">
            <v>720-6</v>
          </cell>
          <cell r="L382">
            <v>6</v>
          </cell>
          <cell r="M382" t="str">
            <v>CONCENTRICIDAD</v>
          </cell>
        </row>
        <row r="383">
          <cell r="A383">
            <v>20230380</v>
          </cell>
          <cell r="B383">
            <v>44945</v>
          </cell>
          <cell r="C383" t="str">
            <v>34324760D</v>
          </cell>
          <cell r="D383" t="str">
            <v>N/A</v>
          </cell>
          <cell r="E383" t="str">
            <v>CONCENTRICIDAD</v>
          </cell>
          <cell r="F383" t="str">
            <v>Augusto rdz</v>
          </cell>
          <cell r="G383">
            <v>44945</v>
          </cell>
          <cell r="H383" t="str">
            <v>Abel</v>
          </cell>
          <cell r="I383" t="str">
            <v>PASS</v>
          </cell>
          <cell r="J383" t="str">
            <v>SPR8</v>
          </cell>
          <cell r="K383" t="str">
            <v>720-5</v>
          </cell>
          <cell r="L383">
            <v>6</v>
          </cell>
          <cell r="M383" t="str">
            <v>CONCENTRICIDAD</v>
          </cell>
        </row>
        <row r="384">
          <cell r="A384">
            <v>20230381</v>
          </cell>
          <cell r="B384">
            <v>44945</v>
          </cell>
          <cell r="C384" t="str">
            <v>34309474B</v>
          </cell>
          <cell r="D384" t="str">
            <v>N/A</v>
          </cell>
          <cell r="E384" t="str">
            <v>CONCENTRICIDAD</v>
          </cell>
          <cell r="F384" t="str">
            <v>Augusto rdz</v>
          </cell>
          <cell r="G384">
            <v>44945</v>
          </cell>
          <cell r="H384" t="str">
            <v>Abel</v>
          </cell>
          <cell r="I384" t="str">
            <v>PASS</v>
          </cell>
          <cell r="J384" t="str">
            <v>SPR8</v>
          </cell>
          <cell r="K384" t="str">
            <v>720-4</v>
          </cell>
          <cell r="L384">
            <v>6</v>
          </cell>
          <cell r="M384" t="str">
            <v>CONCENTRICIDAD</v>
          </cell>
        </row>
        <row r="385">
          <cell r="A385">
            <v>20230382</v>
          </cell>
          <cell r="B385">
            <v>44945</v>
          </cell>
          <cell r="C385" t="str">
            <v>34296438C</v>
          </cell>
          <cell r="D385" t="str">
            <v>N/A</v>
          </cell>
          <cell r="E385" t="str">
            <v>OVALIDAD</v>
          </cell>
          <cell r="F385" t="str">
            <v>Augusto rdz</v>
          </cell>
          <cell r="G385">
            <v>44945</v>
          </cell>
          <cell r="H385" t="str">
            <v>Abel</v>
          </cell>
          <cell r="I385" t="str">
            <v>PASS</v>
          </cell>
          <cell r="J385" t="str">
            <v>SPR8</v>
          </cell>
          <cell r="K385" t="str">
            <v>720-1</v>
          </cell>
          <cell r="L385">
            <v>6</v>
          </cell>
          <cell r="M385" t="str">
            <v>OVALIDAD</v>
          </cell>
        </row>
        <row r="386">
          <cell r="A386">
            <v>20230383</v>
          </cell>
          <cell r="B386">
            <v>44945</v>
          </cell>
          <cell r="C386" t="str">
            <v>A020R619B</v>
          </cell>
          <cell r="D386" t="str">
            <v>N/A</v>
          </cell>
          <cell r="E386" t="str">
            <v>OVALIDAD</v>
          </cell>
          <cell r="F386" t="str">
            <v>Augusto rdz</v>
          </cell>
          <cell r="G386">
            <v>44945</v>
          </cell>
          <cell r="H386" t="str">
            <v>Abel</v>
          </cell>
          <cell r="I386" t="str">
            <v>PASS</v>
          </cell>
          <cell r="J386" t="str">
            <v>SPR8</v>
          </cell>
          <cell r="K386" t="str">
            <v>720-6</v>
          </cell>
          <cell r="L386">
            <v>6</v>
          </cell>
          <cell r="M386" t="str">
            <v>OVALIDAD</v>
          </cell>
        </row>
        <row r="387">
          <cell r="A387">
            <v>20230384</v>
          </cell>
          <cell r="B387">
            <v>44945</v>
          </cell>
          <cell r="C387" t="str">
            <v>34324760D</v>
          </cell>
          <cell r="D387" t="str">
            <v>N/A</v>
          </cell>
          <cell r="E387" t="str">
            <v>OVALIDAD</v>
          </cell>
          <cell r="F387" t="str">
            <v>Augusto rdz</v>
          </cell>
          <cell r="G387">
            <v>44945</v>
          </cell>
          <cell r="H387" t="str">
            <v>Abel</v>
          </cell>
          <cell r="I387" t="str">
            <v>PASS</v>
          </cell>
          <cell r="J387" t="str">
            <v>SPR8</v>
          </cell>
          <cell r="K387" t="str">
            <v>720-5</v>
          </cell>
          <cell r="L387">
            <v>6</v>
          </cell>
          <cell r="M387" t="str">
            <v>OVALIDAD</v>
          </cell>
        </row>
        <row r="388">
          <cell r="A388">
            <v>20230385</v>
          </cell>
          <cell r="B388">
            <v>44945</v>
          </cell>
          <cell r="C388" t="str">
            <v>34309474B</v>
          </cell>
          <cell r="D388" t="str">
            <v>N/A</v>
          </cell>
          <cell r="E388" t="str">
            <v>OVALIDAD</v>
          </cell>
          <cell r="F388" t="str">
            <v>Augusto rdz</v>
          </cell>
          <cell r="G388">
            <v>44945</v>
          </cell>
          <cell r="H388" t="str">
            <v>Abel</v>
          </cell>
          <cell r="I388" t="str">
            <v>PASS</v>
          </cell>
          <cell r="J388" t="str">
            <v>SPR8</v>
          </cell>
          <cell r="K388" t="str">
            <v>720-4</v>
          </cell>
          <cell r="L388">
            <v>6</v>
          </cell>
          <cell r="M388" t="str">
            <v>OVALIDAD</v>
          </cell>
        </row>
        <row r="389">
          <cell r="A389">
            <v>20230386</v>
          </cell>
          <cell r="B389">
            <v>44946</v>
          </cell>
          <cell r="C389" t="str">
            <v>33024457D</v>
          </cell>
          <cell r="D389">
            <v>5110</v>
          </cell>
          <cell r="E389" t="str">
            <v>40 42 44 46</v>
          </cell>
          <cell r="F389" t="str">
            <v>ALEJANDRO ORTIZ</v>
          </cell>
          <cell r="G389">
            <v>44946</v>
          </cell>
          <cell r="H389" t="str">
            <v>MAURICIO</v>
          </cell>
          <cell r="I389" t="str">
            <v>NO PASS</v>
          </cell>
          <cell r="J389" t="str">
            <v>N/A</v>
          </cell>
          <cell r="K389" t="str">
            <v>AGRATI-TIFFIN</v>
          </cell>
          <cell r="L389">
            <v>1</v>
          </cell>
          <cell r="M389" t="str">
            <v>PLANO MARCADO</v>
          </cell>
        </row>
        <row r="390">
          <cell r="A390">
            <v>20230387</v>
          </cell>
          <cell r="B390">
            <v>44946</v>
          </cell>
          <cell r="C390" t="str">
            <v>GAGE PARA GROMMET</v>
          </cell>
          <cell r="D390" t="str">
            <v>N/A</v>
          </cell>
          <cell r="E390" t="str">
            <v>Ø 12.75 mm  ± 0.0254</v>
          </cell>
          <cell r="F390" t="str">
            <v>Raul Hernandez</v>
          </cell>
          <cell r="G390">
            <v>44946</v>
          </cell>
          <cell r="H390" t="str">
            <v>MAURICIO</v>
          </cell>
          <cell r="I390"/>
          <cell r="J390" t="str">
            <v>N/A</v>
          </cell>
          <cell r="K390">
            <v>532</v>
          </cell>
          <cell r="L390">
            <v>1</v>
          </cell>
          <cell r="M390" t="str">
            <v>PLANO MARCADO</v>
          </cell>
        </row>
        <row r="391">
          <cell r="A391">
            <v>20230388</v>
          </cell>
          <cell r="B391">
            <v>44946</v>
          </cell>
          <cell r="C391" t="str">
            <v>34364768A</v>
          </cell>
          <cell r="D391" t="str">
            <v>N/A</v>
          </cell>
          <cell r="E391" t="str">
            <v>6,15,17,7</v>
          </cell>
          <cell r="F391" t="str">
            <v>Laura Castillo</v>
          </cell>
          <cell r="G391">
            <v>44946</v>
          </cell>
          <cell r="H391" t="str">
            <v>Nohemi</v>
          </cell>
          <cell r="I391" t="str">
            <v>NO PASS</v>
          </cell>
          <cell r="J391" t="str">
            <v>SPR8</v>
          </cell>
          <cell r="K391" t="str">
            <v>715-4</v>
          </cell>
          <cell r="L391">
            <v>4</v>
          </cell>
          <cell r="M391" t="str">
            <v>A0033G4801-C</v>
          </cell>
        </row>
        <row r="392">
          <cell r="A392">
            <v>20230389</v>
          </cell>
          <cell r="B392">
            <v>44946</v>
          </cell>
          <cell r="C392" t="str">
            <v>34361271A</v>
          </cell>
          <cell r="D392" t="str">
            <v>N/A</v>
          </cell>
          <cell r="E392" t="str">
            <v>CONCENTRICIDAD</v>
          </cell>
          <cell r="F392" t="str">
            <v>EVELYN ESTUDILLO</v>
          </cell>
          <cell r="G392">
            <v>44946</v>
          </cell>
          <cell r="H392" t="str">
            <v>MAURICIO</v>
          </cell>
          <cell r="I392" t="str">
            <v>PASS</v>
          </cell>
          <cell r="J392" t="str">
            <v>SPR8</v>
          </cell>
          <cell r="K392" t="str">
            <v>720-4</v>
          </cell>
          <cell r="L392">
            <v>12</v>
          </cell>
          <cell r="M392" t="str">
            <v>CONCENTRICIDAD</v>
          </cell>
        </row>
        <row r="393">
          <cell r="A393">
            <v>20230390</v>
          </cell>
          <cell r="B393">
            <v>44946</v>
          </cell>
          <cell r="C393" t="str">
            <v>34346842C</v>
          </cell>
          <cell r="D393" t="str">
            <v>N/A</v>
          </cell>
          <cell r="E393" t="str">
            <v>CONCENTRICIDAD</v>
          </cell>
          <cell r="F393" t="str">
            <v>EVELYN ESTUDILLO</v>
          </cell>
          <cell r="G393">
            <v>44946</v>
          </cell>
          <cell r="H393" t="str">
            <v>MAURICIO</v>
          </cell>
          <cell r="I393" t="str">
            <v>PASS</v>
          </cell>
          <cell r="J393" t="str">
            <v>SPR8</v>
          </cell>
          <cell r="K393" t="str">
            <v>720-5</v>
          </cell>
          <cell r="L393">
            <v>12</v>
          </cell>
          <cell r="M393" t="str">
            <v>CONCENTRICIDAD</v>
          </cell>
        </row>
        <row r="394">
          <cell r="A394">
            <v>20230391</v>
          </cell>
          <cell r="B394">
            <v>44946</v>
          </cell>
          <cell r="C394" t="str">
            <v>A020R621B</v>
          </cell>
          <cell r="D394" t="str">
            <v>N/A</v>
          </cell>
          <cell r="E394" t="str">
            <v>CONCENTRICIDAD</v>
          </cell>
          <cell r="F394" t="str">
            <v>EVELYN ESTUDILLO</v>
          </cell>
          <cell r="G394">
            <v>44946</v>
          </cell>
          <cell r="H394" t="str">
            <v>MAURICIO</v>
          </cell>
          <cell r="I394" t="str">
            <v>PASS</v>
          </cell>
          <cell r="J394" t="str">
            <v>SPR8</v>
          </cell>
          <cell r="K394" t="str">
            <v>720-6</v>
          </cell>
          <cell r="L394">
            <v>12</v>
          </cell>
          <cell r="M394" t="str">
            <v>CONCENTRICIDAD</v>
          </cell>
        </row>
        <row r="395">
          <cell r="A395">
            <v>20230392</v>
          </cell>
          <cell r="B395">
            <v>44946</v>
          </cell>
          <cell r="C395" t="str">
            <v>34324758A</v>
          </cell>
          <cell r="D395" t="str">
            <v>N/A</v>
          </cell>
          <cell r="E395" t="str">
            <v>CONCENTRICIDAD</v>
          </cell>
          <cell r="F395" t="str">
            <v>EVELYN ESTUDILLO</v>
          </cell>
          <cell r="G395">
            <v>44946</v>
          </cell>
          <cell r="H395" t="str">
            <v>MAURICIO</v>
          </cell>
          <cell r="I395" t="str">
            <v>PASS</v>
          </cell>
          <cell r="J395" t="str">
            <v>SPR8</v>
          </cell>
          <cell r="K395" t="str">
            <v>720-1</v>
          </cell>
          <cell r="L395">
            <v>12</v>
          </cell>
          <cell r="M395" t="str">
            <v>CONCENTRICIDAD</v>
          </cell>
        </row>
        <row r="396">
          <cell r="A396">
            <v>20230393</v>
          </cell>
          <cell r="B396">
            <v>44946</v>
          </cell>
          <cell r="C396" t="str">
            <v>34235232G</v>
          </cell>
          <cell r="D396" t="str">
            <v>N/A</v>
          </cell>
          <cell r="E396" t="str">
            <v>CONCENTRICIDAD</v>
          </cell>
          <cell r="F396" t="str">
            <v>EVELYN ESTUDILLO</v>
          </cell>
          <cell r="G396">
            <v>44946</v>
          </cell>
          <cell r="H396" t="str">
            <v>MAURICIO</v>
          </cell>
          <cell r="I396" t="str">
            <v>PASS</v>
          </cell>
          <cell r="J396" t="str">
            <v>SPR8</v>
          </cell>
          <cell r="K396" t="str">
            <v>720-2</v>
          </cell>
          <cell r="L396">
            <v>12</v>
          </cell>
          <cell r="M396" t="str">
            <v>CONCENTRICIDAD</v>
          </cell>
        </row>
        <row r="397">
          <cell r="A397">
            <v>20230394</v>
          </cell>
          <cell r="B397">
            <v>44946</v>
          </cell>
          <cell r="C397" t="str">
            <v>34235233G</v>
          </cell>
          <cell r="D397" t="str">
            <v>N/A</v>
          </cell>
          <cell r="E397" t="str">
            <v>CONCENTRICIDAD</v>
          </cell>
          <cell r="F397" t="str">
            <v>EVELYN ESTUDILLO</v>
          </cell>
          <cell r="G397">
            <v>44946</v>
          </cell>
          <cell r="H397" t="str">
            <v>MAURICIO</v>
          </cell>
          <cell r="I397" t="str">
            <v>PASS</v>
          </cell>
          <cell r="J397" t="str">
            <v>SPR8</v>
          </cell>
          <cell r="K397" t="str">
            <v>720-3</v>
          </cell>
          <cell r="L397">
            <v>12</v>
          </cell>
          <cell r="M397" t="str">
            <v>CONCENTRICIDAD</v>
          </cell>
        </row>
        <row r="398">
          <cell r="A398">
            <v>20230395</v>
          </cell>
          <cell r="B398">
            <v>44946</v>
          </cell>
          <cell r="C398" t="str">
            <v>34361271A</v>
          </cell>
          <cell r="D398" t="str">
            <v>N/A</v>
          </cell>
          <cell r="E398" t="str">
            <v>OVALIDAD</v>
          </cell>
          <cell r="F398" t="str">
            <v>EVELYN ESTUDILLO</v>
          </cell>
          <cell r="G398">
            <v>44946</v>
          </cell>
          <cell r="H398" t="str">
            <v>MAURICIO</v>
          </cell>
          <cell r="I398" t="str">
            <v>PASS</v>
          </cell>
          <cell r="J398" t="str">
            <v>SPR8</v>
          </cell>
          <cell r="K398" t="str">
            <v>720-4</v>
          </cell>
          <cell r="L398">
            <v>12</v>
          </cell>
          <cell r="M398" t="str">
            <v>OVALIDAD</v>
          </cell>
        </row>
        <row r="399">
          <cell r="A399">
            <v>20230396</v>
          </cell>
          <cell r="B399">
            <v>44946</v>
          </cell>
          <cell r="C399" t="str">
            <v>34346842C</v>
          </cell>
          <cell r="D399" t="str">
            <v>N/A</v>
          </cell>
          <cell r="E399" t="str">
            <v>OVALIDAD</v>
          </cell>
          <cell r="F399" t="str">
            <v>EVELYN ESTUDILLO</v>
          </cell>
          <cell r="G399">
            <v>44946</v>
          </cell>
          <cell r="H399" t="str">
            <v>MAURICIO</v>
          </cell>
          <cell r="I399" t="str">
            <v>PASS</v>
          </cell>
          <cell r="J399" t="str">
            <v>SPR8</v>
          </cell>
          <cell r="K399" t="str">
            <v>720-5</v>
          </cell>
          <cell r="L399">
            <v>12</v>
          </cell>
          <cell r="M399" t="str">
            <v>OVALIDAD</v>
          </cell>
        </row>
        <row r="400">
          <cell r="A400">
            <v>20230397</v>
          </cell>
          <cell r="B400">
            <v>44946</v>
          </cell>
          <cell r="C400" t="str">
            <v>A020R621B</v>
          </cell>
          <cell r="D400" t="str">
            <v>N/A</v>
          </cell>
          <cell r="E400" t="str">
            <v>OVALIDAD</v>
          </cell>
          <cell r="F400" t="str">
            <v>EVELYN ESTUDILLO</v>
          </cell>
          <cell r="G400">
            <v>44946</v>
          </cell>
          <cell r="H400" t="str">
            <v>MAURICIO</v>
          </cell>
          <cell r="I400" t="str">
            <v>PASS</v>
          </cell>
          <cell r="J400" t="str">
            <v>SPR8</v>
          </cell>
          <cell r="K400" t="str">
            <v>720-6</v>
          </cell>
          <cell r="L400">
            <v>12</v>
          </cell>
          <cell r="M400" t="str">
            <v>OVALIDAD</v>
          </cell>
        </row>
        <row r="401">
          <cell r="A401">
            <v>20230398</v>
          </cell>
          <cell r="B401">
            <v>44946</v>
          </cell>
          <cell r="C401" t="str">
            <v>34324758A</v>
          </cell>
          <cell r="D401" t="str">
            <v>N/A</v>
          </cell>
          <cell r="E401" t="str">
            <v>OVALIDAD</v>
          </cell>
          <cell r="F401" t="str">
            <v>EVELYN ESTUDILLO</v>
          </cell>
          <cell r="G401">
            <v>44946</v>
          </cell>
          <cell r="H401" t="str">
            <v>MAURICIO</v>
          </cell>
          <cell r="I401" t="str">
            <v>PASS</v>
          </cell>
          <cell r="J401" t="str">
            <v>SPR8</v>
          </cell>
          <cell r="K401" t="str">
            <v>720-1</v>
          </cell>
          <cell r="L401">
            <v>12</v>
          </cell>
          <cell r="M401" t="str">
            <v>OVALIDAD</v>
          </cell>
        </row>
        <row r="402">
          <cell r="A402">
            <v>20230399</v>
          </cell>
          <cell r="B402">
            <v>44946</v>
          </cell>
          <cell r="C402" t="str">
            <v>34235232G</v>
          </cell>
          <cell r="D402" t="str">
            <v>N/A</v>
          </cell>
          <cell r="E402" t="str">
            <v>OVALIDAD</v>
          </cell>
          <cell r="F402" t="str">
            <v>EVELYN ESTUDILLO</v>
          </cell>
          <cell r="G402">
            <v>44946</v>
          </cell>
          <cell r="H402" t="str">
            <v>MAURICIO</v>
          </cell>
          <cell r="I402" t="str">
            <v>PASS</v>
          </cell>
          <cell r="J402" t="str">
            <v>SPR8</v>
          </cell>
          <cell r="K402" t="str">
            <v>720-2</v>
          </cell>
          <cell r="L402">
            <v>12</v>
          </cell>
          <cell r="M402" t="str">
            <v>OVALIDAD</v>
          </cell>
        </row>
        <row r="403">
          <cell r="A403">
            <v>20230400</v>
          </cell>
          <cell r="B403">
            <v>44946</v>
          </cell>
          <cell r="C403" t="str">
            <v>34235233G</v>
          </cell>
          <cell r="D403" t="str">
            <v>N/A</v>
          </cell>
          <cell r="E403" t="str">
            <v>OVALIDAD</v>
          </cell>
          <cell r="F403" t="str">
            <v>EVELYN ESTUDILLO</v>
          </cell>
          <cell r="G403">
            <v>44946</v>
          </cell>
          <cell r="H403" t="str">
            <v>MAURICIO</v>
          </cell>
          <cell r="I403" t="str">
            <v>PASS</v>
          </cell>
          <cell r="J403" t="str">
            <v>SPR8</v>
          </cell>
          <cell r="K403" t="str">
            <v>720-3</v>
          </cell>
          <cell r="L403">
            <v>12</v>
          </cell>
          <cell r="M403" t="str">
            <v>OVALIDAD</v>
          </cell>
        </row>
        <row r="404">
          <cell r="A404">
            <v>20230401</v>
          </cell>
          <cell r="B404">
            <v>44946</v>
          </cell>
          <cell r="C404" t="str">
            <v>34350791B</v>
          </cell>
          <cell r="D404" t="str">
            <v>TC001</v>
          </cell>
          <cell r="E404" t="str">
            <v xml:space="preserve">Conforme al rip </v>
          </cell>
          <cell r="F404" t="str">
            <v>Nuevos programas</v>
          </cell>
          <cell r="G404">
            <v>44946</v>
          </cell>
          <cell r="H404" t="str">
            <v xml:space="preserve">Adela </v>
          </cell>
          <cell r="I404" t="str">
            <v>NO PASS</v>
          </cell>
          <cell r="J404" t="str">
            <v>N/A</v>
          </cell>
          <cell r="K404" t="str">
            <v>N/A</v>
          </cell>
          <cell r="L404">
            <v>2985</v>
          </cell>
          <cell r="M404" t="str">
            <v>N/A</v>
          </cell>
        </row>
        <row r="405">
          <cell r="A405">
            <v>20230402</v>
          </cell>
          <cell r="B405">
            <v>44946</v>
          </cell>
          <cell r="C405" t="str">
            <v>34312447A</v>
          </cell>
          <cell r="D405" t="str">
            <v>N/A</v>
          </cell>
          <cell r="E405" t="str">
            <v>37,41,42,45</v>
          </cell>
          <cell r="F405" t="str">
            <v>Javier Bautista</v>
          </cell>
          <cell r="G405">
            <v>44946</v>
          </cell>
          <cell r="H405" t="str">
            <v>Nohemi</v>
          </cell>
          <cell r="I405" t="str">
            <v>NO PASS</v>
          </cell>
          <cell r="J405" t="str">
            <v>SPR4</v>
          </cell>
          <cell r="K405" t="str">
            <v>702-6</v>
          </cell>
          <cell r="L405">
            <v>6</v>
          </cell>
          <cell r="M405" t="str">
            <v>A0034F7508A-A</v>
          </cell>
        </row>
        <row r="406">
          <cell r="A406">
            <v>20230403</v>
          </cell>
          <cell r="B406">
            <v>44946</v>
          </cell>
          <cell r="C406" t="str">
            <v>34368404A</v>
          </cell>
          <cell r="D406" t="str">
            <v>N/A</v>
          </cell>
          <cell r="E406" t="str">
            <v>102,48,49,50,51,3,8,76,103,12</v>
          </cell>
          <cell r="F406" t="str">
            <v>Laura Castillo</v>
          </cell>
          <cell r="G406">
            <v>44946</v>
          </cell>
          <cell r="H406" t="str">
            <v>Nohemi</v>
          </cell>
          <cell r="I406" t="str">
            <v>NO PASS</v>
          </cell>
          <cell r="J406" t="str">
            <v>SPR8</v>
          </cell>
          <cell r="K406" t="str">
            <v>716-2</v>
          </cell>
          <cell r="L406">
            <v>4</v>
          </cell>
          <cell r="M406" t="str">
            <v>CH34229751 A25</v>
          </cell>
        </row>
        <row r="407">
          <cell r="A407">
            <v>20230404</v>
          </cell>
          <cell r="B407">
            <v>44946</v>
          </cell>
          <cell r="C407" t="str">
            <v>34138932F</v>
          </cell>
          <cell r="D407" t="str">
            <v>CAV 57-64</v>
          </cell>
          <cell r="E407" t="str">
            <v xml:space="preserve">Conforme al rip </v>
          </cell>
          <cell r="F407" t="str">
            <v>Nuevos programas</v>
          </cell>
          <cell r="G407">
            <v>44946</v>
          </cell>
          <cell r="H407" t="str">
            <v xml:space="preserve">Adela </v>
          </cell>
          <cell r="I407" t="str">
            <v>NO PASS</v>
          </cell>
          <cell r="J407" t="str">
            <v>N/A</v>
          </cell>
          <cell r="K407" t="str">
            <v>N/A</v>
          </cell>
          <cell r="L407">
            <v>300</v>
          </cell>
          <cell r="M407" t="str">
            <v>N/A</v>
          </cell>
        </row>
        <row r="408">
          <cell r="A408">
            <v>20230405</v>
          </cell>
          <cell r="B408">
            <v>44946</v>
          </cell>
          <cell r="C408" t="str">
            <v>34160254D</v>
          </cell>
          <cell r="D408" t="str">
            <v>N/A</v>
          </cell>
          <cell r="E408" t="str">
            <v>1,2</v>
          </cell>
          <cell r="F408" t="str">
            <v>Javier Bautista</v>
          </cell>
          <cell r="G408">
            <v>44946</v>
          </cell>
          <cell r="H408" t="str">
            <v>Nohemi</v>
          </cell>
          <cell r="I408" t="str">
            <v>PASS</v>
          </cell>
          <cell r="J408" t="str">
            <v>N/A</v>
          </cell>
          <cell r="K408">
            <v>754</v>
          </cell>
          <cell r="L408">
            <v>2</v>
          </cell>
          <cell r="M408" t="str">
            <v>CH34160246 A04</v>
          </cell>
        </row>
        <row r="409">
          <cell r="A409">
            <v>20230406</v>
          </cell>
          <cell r="B409">
            <v>44946</v>
          </cell>
          <cell r="C409" t="str">
            <v>34271009G</v>
          </cell>
          <cell r="D409" t="str">
            <v>N/A</v>
          </cell>
          <cell r="E409" t="str">
            <v>CONCENTRICIDAD</v>
          </cell>
          <cell r="F409" t="str">
            <v>Augusto rdz</v>
          </cell>
          <cell r="G409">
            <v>44946</v>
          </cell>
          <cell r="H409" t="str">
            <v>Abel</v>
          </cell>
          <cell r="I409" t="str">
            <v>PASS</v>
          </cell>
          <cell r="J409" t="str">
            <v>SPR8</v>
          </cell>
          <cell r="K409" t="str">
            <v>720-3</v>
          </cell>
          <cell r="L409" t="str">
            <v>18 pzas</v>
          </cell>
          <cell r="M409" t="str">
            <v>CONCENTRICIDAD</v>
          </cell>
        </row>
        <row r="410">
          <cell r="A410">
            <v>20230407</v>
          </cell>
          <cell r="B410">
            <v>44946</v>
          </cell>
          <cell r="C410" t="str">
            <v>34296437C</v>
          </cell>
          <cell r="D410" t="str">
            <v>N/A</v>
          </cell>
          <cell r="E410" t="str">
            <v>CONCENTRICIDAD</v>
          </cell>
          <cell r="F410" t="str">
            <v>Augusto rdz</v>
          </cell>
          <cell r="G410">
            <v>44946</v>
          </cell>
          <cell r="H410" t="str">
            <v>Abel</v>
          </cell>
          <cell r="I410" t="str">
            <v>PASS</v>
          </cell>
          <cell r="J410" t="str">
            <v>SPR8</v>
          </cell>
          <cell r="K410" t="str">
            <v>720-2</v>
          </cell>
          <cell r="L410">
            <v>12</v>
          </cell>
          <cell r="M410" t="str">
            <v>CONCENTRICIDAD</v>
          </cell>
        </row>
        <row r="411">
          <cell r="A411">
            <v>20230408</v>
          </cell>
          <cell r="B411">
            <v>44946</v>
          </cell>
          <cell r="C411" t="str">
            <v>34324759E</v>
          </cell>
          <cell r="D411" t="str">
            <v>N/A</v>
          </cell>
          <cell r="E411" t="str">
            <v>CONCENTRICIDAD</v>
          </cell>
          <cell r="F411" t="str">
            <v>Augusto rdz</v>
          </cell>
          <cell r="G411">
            <v>44946</v>
          </cell>
          <cell r="H411" t="str">
            <v>Abel</v>
          </cell>
          <cell r="I411" t="str">
            <v>PASS</v>
          </cell>
          <cell r="J411" t="str">
            <v>SPR8</v>
          </cell>
          <cell r="K411" t="str">
            <v>720-5</v>
          </cell>
          <cell r="L411">
            <v>12</v>
          </cell>
          <cell r="M411" t="str">
            <v>CONCENTRICIDAD</v>
          </cell>
        </row>
        <row r="412">
          <cell r="A412">
            <v>20230409</v>
          </cell>
          <cell r="B412">
            <v>44946</v>
          </cell>
          <cell r="C412" t="str">
            <v>34324759E</v>
          </cell>
          <cell r="D412" t="str">
            <v>N/A</v>
          </cell>
          <cell r="E412" t="str">
            <v>CONCENTRICIDAD</v>
          </cell>
          <cell r="F412" t="str">
            <v>Augusto rdz</v>
          </cell>
          <cell r="G412">
            <v>44946</v>
          </cell>
          <cell r="H412" t="str">
            <v>Abel</v>
          </cell>
          <cell r="I412" t="str">
            <v>PASS</v>
          </cell>
          <cell r="J412" t="str">
            <v>SPR8</v>
          </cell>
          <cell r="K412" t="str">
            <v>720-1</v>
          </cell>
          <cell r="L412">
            <v>12</v>
          </cell>
          <cell r="M412" t="str">
            <v>CONCENTRICIDAD</v>
          </cell>
        </row>
        <row r="413">
          <cell r="A413">
            <v>20230410</v>
          </cell>
          <cell r="B413">
            <v>44946</v>
          </cell>
          <cell r="C413" t="str">
            <v>34271009G</v>
          </cell>
          <cell r="D413" t="str">
            <v>N/A</v>
          </cell>
          <cell r="E413" t="str">
            <v>OVALIDAD</v>
          </cell>
          <cell r="F413" t="str">
            <v>Augusto rdz</v>
          </cell>
          <cell r="G413">
            <v>44946</v>
          </cell>
          <cell r="H413" t="str">
            <v>Abel</v>
          </cell>
          <cell r="I413" t="str">
            <v>PASS</v>
          </cell>
          <cell r="J413" t="str">
            <v>SPR8</v>
          </cell>
          <cell r="K413" t="str">
            <v>720-3</v>
          </cell>
          <cell r="L413">
            <v>12</v>
          </cell>
          <cell r="M413" t="str">
            <v>OVALIDAD</v>
          </cell>
        </row>
        <row r="414">
          <cell r="A414">
            <v>20230411</v>
          </cell>
          <cell r="B414">
            <v>44946</v>
          </cell>
          <cell r="C414" t="str">
            <v>34296437C</v>
          </cell>
          <cell r="D414" t="str">
            <v>N/A</v>
          </cell>
          <cell r="E414" t="str">
            <v>OVALIDAD</v>
          </cell>
          <cell r="F414" t="str">
            <v>Augusto rdz</v>
          </cell>
          <cell r="G414">
            <v>44946</v>
          </cell>
          <cell r="H414" t="str">
            <v>Abel</v>
          </cell>
          <cell r="I414" t="str">
            <v>PASS</v>
          </cell>
          <cell r="J414" t="str">
            <v>SPR8</v>
          </cell>
          <cell r="K414" t="str">
            <v>720-2</v>
          </cell>
          <cell r="L414">
            <v>12</v>
          </cell>
          <cell r="M414" t="str">
            <v>OVALIDAD</v>
          </cell>
        </row>
        <row r="415">
          <cell r="A415">
            <v>20230412</v>
          </cell>
          <cell r="B415">
            <v>44946</v>
          </cell>
          <cell r="C415" t="str">
            <v>34324759E</v>
          </cell>
          <cell r="D415" t="str">
            <v>N/A</v>
          </cell>
          <cell r="E415" t="str">
            <v>OVALIDAD</v>
          </cell>
          <cell r="F415" t="str">
            <v>Augusto rdz</v>
          </cell>
          <cell r="G415">
            <v>44946</v>
          </cell>
          <cell r="H415" t="str">
            <v>Abel</v>
          </cell>
          <cell r="I415" t="str">
            <v>PASS</v>
          </cell>
          <cell r="J415" t="str">
            <v>SPR8</v>
          </cell>
          <cell r="K415" t="str">
            <v>720-5</v>
          </cell>
          <cell r="L415">
            <v>12</v>
          </cell>
          <cell r="M415" t="str">
            <v>OVALIDAD</v>
          </cell>
        </row>
        <row r="416">
          <cell r="A416">
            <v>20230413</v>
          </cell>
          <cell r="B416">
            <v>44946</v>
          </cell>
          <cell r="C416" t="str">
            <v>34324759E</v>
          </cell>
          <cell r="D416" t="str">
            <v>N/A</v>
          </cell>
          <cell r="E416" t="str">
            <v>OVALIDAD</v>
          </cell>
          <cell r="F416" t="str">
            <v>Augusto rdz</v>
          </cell>
          <cell r="G416">
            <v>44946</v>
          </cell>
          <cell r="H416" t="str">
            <v>Abel</v>
          </cell>
          <cell r="I416" t="str">
            <v>PASS</v>
          </cell>
          <cell r="J416" t="str">
            <v>SPR8</v>
          </cell>
          <cell r="K416" t="str">
            <v>720-1</v>
          </cell>
          <cell r="L416">
            <v>12</v>
          </cell>
          <cell r="M416" t="str">
            <v>OVALIDAD</v>
          </cell>
        </row>
        <row r="417">
          <cell r="A417">
            <v>20230414</v>
          </cell>
          <cell r="B417">
            <v>44582</v>
          </cell>
          <cell r="C417" t="str">
            <v>34235234G</v>
          </cell>
          <cell r="D417" t="str">
            <v>N/A</v>
          </cell>
          <cell r="E417" t="str">
            <v>CONCENTRICIDAD</v>
          </cell>
          <cell r="F417" t="str">
            <v>Gabriel Ramos</v>
          </cell>
          <cell r="G417">
            <v>44947</v>
          </cell>
          <cell r="H417" t="str">
            <v>Luis</v>
          </cell>
          <cell r="I417" t="str">
            <v>PASS</v>
          </cell>
          <cell r="J417" t="str">
            <v>SPR8</v>
          </cell>
          <cell r="K417" t="str">
            <v>720-2</v>
          </cell>
          <cell r="L417">
            <v>12</v>
          </cell>
          <cell r="M417" t="str">
            <v>CONCENTRICIDAD</v>
          </cell>
        </row>
        <row r="418">
          <cell r="A418">
            <v>20230415</v>
          </cell>
          <cell r="B418">
            <v>44582</v>
          </cell>
          <cell r="C418" t="str">
            <v>34306788D</v>
          </cell>
          <cell r="D418" t="str">
            <v>N/A</v>
          </cell>
          <cell r="E418" t="str">
            <v>CONCENTRICIDAD</v>
          </cell>
          <cell r="F418" t="str">
            <v>Gabriel Ramos</v>
          </cell>
          <cell r="G418">
            <v>44947</v>
          </cell>
          <cell r="H418" t="str">
            <v>Luis</v>
          </cell>
          <cell r="I418" t="str">
            <v>PASS</v>
          </cell>
          <cell r="J418" t="str">
            <v>SPR8</v>
          </cell>
          <cell r="K418" t="str">
            <v>720-1</v>
          </cell>
          <cell r="L418">
            <v>12</v>
          </cell>
          <cell r="M418" t="str">
            <v>CONCENTRICIDAD</v>
          </cell>
        </row>
        <row r="419">
          <cell r="A419">
            <v>20230416</v>
          </cell>
          <cell r="B419">
            <v>44582</v>
          </cell>
          <cell r="C419" t="str">
            <v>37324760D</v>
          </cell>
          <cell r="D419" t="str">
            <v>N/A</v>
          </cell>
          <cell r="E419" t="str">
            <v>CONCENTRICIDAD</v>
          </cell>
          <cell r="F419" t="str">
            <v>Gabriel Ramos</v>
          </cell>
          <cell r="G419">
            <v>44947</v>
          </cell>
          <cell r="H419" t="str">
            <v>Luis</v>
          </cell>
          <cell r="I419" t="str">
            <v>PASS</v>
          </cell>
          <cell r="J419" t="str">
            <v>SPR8</v>
          </cell>
          <cell r="K419" t="str">
            <v>720-5</v>
          </cell>
          <cell r="L419">
            <v>12</v>
          </cell>
          <cell r="M419" t="str">
            <v>CONCENTRICIDAD</v>
          </cell>
        </row>
        <row r="420">
          <cell r="A420">
            <v>20230417</v>
          </cell>
          <cell r="B420">
            <v>44582</v>
          </cell>
          <cell r="C420" t="str">
            <v>34235234G</v>
          </cell>
          <cell r="D420" t="str">
            <v>N/A</v>
          </cell>
          <cell r="E420" t="str">
            <v>OVALIDAD</v>
          </cell>
          <cell r="F420" t="str">
            <v>Gabriel Ramos</v>
          </cell>
          <cell r="G420">
            <v>44947</v>
          </cell>
          <cell r="H420" t="str">
            <v>Luis</v>
          </cell>
          <cell r="I420" t="str">
            <v>PASS</v>
          </cell>
          <cell r="J420" t="str">
            <v>SPR8</v>
          </cell>
          <cell r="K420" t="str">
            <v>720-2</v>
          </cell>
          <cell r="L420">
            <v>12</v>
          </cell>
          <cell r="M420" t="str">
            <v>OVALIDAD</v>
          </cell>
        </row>
        <row r="421">
          <cell r="A421">
            <v>20230418</v>
          </cell>
          <cell r="B421">
            <v>44582</v>
          </cell>
          <cell r="C421" t="str">
            <v>34306788D</v>
          </cell>
          <cell r="D421" t="str">
            <v>N/A</v>
          </cell>
          <cell r="E421" t="str">
            <v>OVALIDAD</v>
          </cell>
          <cell r="F421" t="str">
            <v>Gabriel Ramos</v>
          </cell>
          <cell r="G421">
            <v>44947</v>
          </cell>
          <cell r="H421" t="str">
            <v>Luis</v>
          </cell>
          <cell r="I421" t="str">
            <v>PASS</v>
          </cell>
          <cell r="J421" t="str">
            <v>SPR8</v>
          </cell>
          <cell r="K421" t="str">
            <v>720-1</v>
          </cell>
          <cell r="L421">
            <v>12</v>
          </cell>
          <cell r="M421" t="str">
            <v>OVALIDAD</v>
          </cell>
        </row>
        <row r="422">
          <cell r="A422">
            <v>20230419</v>
          </cell>
          <cell r="B422">
            <v>44582</v>
          </cell>
          <cell r="C422" t="str">
            <v>37324760D</v>
          </cell>
          <cell r="D422" t="str">
            <v>N/A</v>
          </cell>
          <cell r="E422" t="str">
            <v>OVALIDAD</v>
          </cell>
          <cell r="F422" t="str">
            <v>Gabriel Ramos</v>
          </cell>
          <cell r="G422">
            <v>44947</v>
          </cell>
          <cell r="H422" t="str">
            <v>Luis</v>
          </cell>
          <cell r="I422" t="str">
            <v>PASS</v>
          </cell>
          <cell r="J422" t="str">
            <v>SPR8</v>
          </cell>
          <cell r="K422" t="str">
            <v>720-5</v>
          </cell>
          <cell r="L422">
            <v>12</v>
          </cell>
          <cell r="M422" t="str">
            <v>OVALIDAD</v>
          </cell>
        </row>
        <row r="423">
          <cell r="A423">
            <v>20230420</v>
          </cell>
          <cell r="B423">
            <v>44582</v>
          </cell>
          <cell r="C423" t="str">
            <v>34296437C</v>
          </cell>
          <cell r="D423" t="str">
            <v>N/A</v>
          </cell>
          <cell r="E423" t="str">
            <v>CONCENTRICIDAD</v>
          </cell>
          <cell r="F423" t="str">
            <v>MAYRA HERNANDEZ</v>
          </cell>
          <cell r="G423">
            <v>44947</v>
          </cell>
          <cell r="H423" t="str">
            <v>ERNESTO</v>
          </cell>
          <cell r="I423" t="str">
            <v>PASS</v>
          </cell>
          <cell r="J423" t="str">
            <v>SPR8</v>
          </cell>
          <cell r="K423" t="str">
            <v>720-1</v>
          </cell>
          <cell r="L423">
            <v>12</v>
          </cell>
          <cell r="M423" t="str">
            <v>CONCENTRICIDAD</v>
          </cell>
        </row>
        <row r="424">
          <cell r="A424">
            <v>20230421</v>
          </cell>
          <cell r="B424">
            <v>44582</v>
          </cell>
          <cell r="C424" t="str">
            <v>34296437C</v>
          </cell>
          <cell r="D424" t="str">
            <v>N/A</v>
          </cell>
          <cell r="E424" t="str">
            <v>OVALIDAD</v>
          </cell>
          <cell r="F424" t="str">
            <v>MAYRA HERNANDEZ</v>
          </cell>
          <cell r="G424">
            <v>44947</v>
          </cell>
          <cell r="H424" t="str">
            <v>ERNESTO</v>
          </cell>
          <cell r="I424" t="str">
            <v>PASS</v>
          </cell>
          <cell r="J424" t="str">
            <v>SPR8</v>
          </cell>
          <cell r="K424" t="str">
            <v>720-1</v>
          </cell>
          <cell r="L424">
            <v>12</v>
          </cell>
          <cell r="M424" t="str">
            <v>OVALIDAD</v>
          </cell>
        </row>
        <row r="425">
          <cell r="A425">
            <v>20230422</v>
          </cell>
          <cell r="B425">
            <v>44582</v>
          </cell>
          <cell r="C425" t="str">
            <v>34235231G</v>
          </cell>
          <cell r="D425" t="str">
            <v>N/A</v>
          </cell>
          <cell r="E425" t="str">
            <v>CONCENTRICIDAD</v>
          </cell>
          <cell r="F425" t="str">
            <v>MAYRA HERNANDEZ</v>
          </cell>
          <cell r="G425">
            <v>44947</v>
          </cell>
          <cell r="H425" t="str">
            <v>ERNESTO</v>
          </cell>
          <cell r="I425" t="str">
            <v>PASS</v>
          </cell>
          <cell r="J425" t="str">
            <v>SPR8</v>
          </cell>
          <cell r="K425" t="str">
            <v>720-2</v>
          </cell>
          <cell r="L425">
            <v>12</v>
          </cell>
          <cell r="M425" t="str">
            <v>CONCENTRICIDAD</v>
          </cell>
        </row>
        <row r="426">
          <cell r="A426">
            <v>20230423</v>
          </cell>
          <cell r="B426">
            <v>44582</v>
          </cell>
          <cell r="C426" t="str">
            <v>34235231G</v>
          </cell>
          <cell r="D426" t="str">
            <v>N/A</v>
          </cell>
          <cell r="E426" t="str">
            <v>OVALIDAD</v>
          </cell>
          <cell r="F426" t="str">
            <v>MAYRA HERNANDEZ</v>
          </cell>
          <cell r="G426">
            <v>44947</v>
          </cell>
          <cell r="H426" t="str">
            <v>ERNESTO</v>
          </cell>
          <cell r="I426" t="str">
            <v>PASS</v>
          </cell>
          <cell r="J426" t="str">
            <v>SPR8</v>
          </cell>
          <cell r="K426" t="str">
            <v>720-2</v>
          </cell>
          <cell r="L426">
            <v>12</v>
          </cell>
          <cell r="M426" t="str">
            <v>OVALIDAD</v>
          </cell>
        </row>
        <row r="427">
          <cell r="A427">
            <v>20230424</v>
          </cell>
          <cell r="B427">
            <v>44582</v>
          </cell>
          <cell r="C427" t="str">
            <v>34235233G</v>
          </cell>
          <cell r="D427" t="str">
            <v>N/A</v>
          </cell>
          <cell r="E427" t="str">
            <v>CONCENTRICIDAD</v>
          </cell>
          <cell r="F427" t="str">
            <v>MAYRA HERNANDEZ</v>
          </cell>
          <cell r="G427">
            <v>44947</v>
          </cell>
          <cell r="H427" t="str">
            <v>ERNESTO</v>
          </cell>
          <cell r="I427" t="str">
            <v>PASS</v>
          </cell>
          <cell r="J427" t="str">
            <v>SPR8</v>
          </cell>
          <cell r="K427" t="str">
            <v>720-3</v>
          </cell>
          <cell r="L427">
            <v>18</v>
          </cell>
          <cell r="M427" t="str">
            <v>CONCENTRICIDAD</v>
          </cell>
        </row>
        <row r="428">
          <cell r="A428">
            <v>20230425</v>
          </cell>
          <cell r="B428">
            <v>44582</v>
          </cell>
          <cell r="C428" t="str">
            <v>34235233G</v>
          </cell>
          <cell r="D428" t="str">
            <v>N/A</v>
          </cell>
          <cell r="E428" t="str">
            <v>OVALIDAD</v>
          </cell>
          <cell r="F428" t="str">
            <v>MAYRA HERNANDEZ</v>
          </cell>
          <cell r="G428">
            <v>44947</v>
          </cell>
          <cell r="H428" t="str">
            <v>ERNESTO</v>
          </cell>
          <cell r="I428" t="str">
            <v>PASS</v>
          </cell>
          <cell r="J428" t="str">
            <v>SPR8</v>
          </cell>
          <cell r="K428" t="str">
            <v>720-3</v>
          </cell>
          <cell r="L428">
            <v>18</v>
          </cell>
          <cell r="M428" t="str">
            <v>OVALIDAD</v>
          </cell>
        </row>
        <row r="429">
          <cell r="A429">
            <v>20230426</v>
          </cell>
          <cell r="B429">
            <v>44582</v>
          </cell>
          <cell r="C429" t="str">
            <v>34324759E</v>
          </cell>
          <cell r="D429" t="str">
            <v>N/A</v>
          </cell>
          <cell r="E429" t="str">
            <v>CONCENTRICIDAD</v>
          </cell>
          <cell r="F429" t="str">
            <v>MAYRA HERNANDEZ</v>
          </cell>
          <cell r="G429">
            <v>44947</v>
          </cell>
          <cell r="H429" t="str">
            <v>ERNESTO</v>
          </cell>
          <cell r="I429" t="str">
            <v>PASS</v>
          </cell>
          <cell r="J429" t="str">
            <v>SPR8</v>
          </cell>
          <cell r="K429" t="str">
            <v>720-5</v>
          </cell>
          <cell r="L429">
            <v>12</v>
          </cell>
          <cell r="M429" t="str">
            <v>CONCENTRICIDAD</v>
          </cell>
        </row>
        <row r="430">
          <cell r="A430">
            <v>20230427</v>
          </cell>
          <cell r="B430">
            <v>44582</v>
          </cell>
          <cell r="C430" t="str">
            <v>34324759E</v>
          </cell>
          <cell r="D430" t="str">
            <v>N/A</v>
          </cell>
          <cell r="E430" t="str">
            <v>OVALIDAD</v>
          </cell>
          <cell r="F430" t="str">
            <v>MAYRA HERNANDEZ</v>
          </cell>
          <cell r="G430">
            <v>44947</v>
          </cell>
          <cell r="H430" t="str">
            <v>ERNESTO</v>
          </cell>
          <cell r="I430" t="str">
            <v>PASS</v>
          </cell>
          <cell r="J430" t="str">
            <v>SPR8</v>
          </cell>
          <cell r="K430" t="str">
            <v>720-5</v>
          </cell>
          <cell r="L430">
            <v>12</v>
          </cell>
          <cell r="M430" t="str">
            <v>OVALIDAD</v>
          </cell>
        </row>
        <row r="431">
          <cell r="A431">
            <v>20230428</v>
          </cell>
          <cell r="B431">
            <v>44583</v>
          </cell>
          <cell r="C431" t="str">
            <v>34235231G</v>
          </cell>
          <cell r="D431" t="str">
            <v>N/A</v>
          </cell>
          <cell r="E431" t="str">
            <v>OVALIDAD</v>
          </cell>
          <cell r="F431" t="str">
            <v>Gabriel Ramos</v>
          </cell>
          <cell r="G431">
            <v>44948</v>
          </cell>
          <cell r="H431" t="str">
            <v>GILBERTO</v>
          </cell>
          <cell r="I431" t="str">
            <v>PASS</v>
          </cell>
          <cell r="J431" t="str">
            <v>SPR8</v>
          </cell>
          <cell r="K431" t="str">
            <v>720-2</v>
          </cell>
          <cell r="L431">
            <v>6</v>
          </cell>
          <cell r="M431" t="str">
            <v>OVALIDAD</v>
          </cell>
        </row>
        <row r="432">
          <cell r="A432">
            <v>20230429</v>
          </cell>
          <cell r="B432">
            <v>44583</v>
          </cell>
          <cell r="C432" t="str">
            <v>34235231G</v>
          </cell>
          <cell r="D432" t="str">
            <v>N/A</v>
          </cell>
          <cell r="E432" t="str">
            <v>CONCENTRICIDAD</v>
          </cell>
          <cell r="F432" t="str">
            <v>Gabriel Ramos</v>
          </cell>
          <cell r="G432">
            <v>44948</v>
          </cell>
          <cell r="H432" t="str">
            <v>GILBERTO</v>
          </cell>
          <cell r="I432" t="str">
            <v>PASS</v>
          </cell>
          <cell r="J432" t="str">
            <v>SPR8</v>
          </cell>
          <cell r="K432" t="str">
            <v>720-2</v>
          </cell>
          <cell r="L432">
            <v>6</v>
          </cell>
          <cell r="M432" t="str">
            <v>CONCENTRICIDAD</v>
          </cell>
        </row>
        <row r="433">
          <cell r="A433">
            <v>20230430</v>
          </cell>
          <cell r="B433">
            <v>44583</v>
          </cell>
          <cell r="C433" t="str">
            <v>34306788D</v>
          </cell>
          <cell r="D433" t="str">
            <v>N/A</v>
          </cell>
          <cell r="E433" t="str">
            <v>OVALIDAD</v>
          </cell>
          <cell r="F433" t="str">
            <v>Gabriel Ramos</v>
          </cell>
          <cell r="G433">
            <v>44948</v>
          </cell>
          <cell r="H433" t="str">
            <v>GILBERTO</v>
          </cell>
          <cell r="I433" t="str">
            <v>PASS</v>
          </cell>
          <cell r="J433" t="str">
            <v>SPR8</v>
          </cell>
          <cell r="K433" t="str">
            <v>720-1</v>
          </cell>
          <cell r="L433">
            <v>12</v>
          </cell>
          <cell r="M433" t="str">
            <v>OVALIDAD</v>
          </cell>
        </row>
        <row r="434">
          <cell r="A434">
            <v>20230431</v>
          </cell>
          <cell r="B434">
            <v>44583</v>
          </cell>
          <cell r="C434" t="str">
            <v>34306788D</v>
          </cell>
          <cell r="D434" t="str">
            <v>N/A</v>
          </cell>
          <cell r="E434" t="str">
            <v>CONCENTRICIDAD</v>
          </cell>
          <cell r="F434" t="str">
            <v>Gabriel Ramos</v>
          </cell>
          <cell r="G434">
            <v>44948</v>
          </cell>
          <cell r="H434" t="str">
            <v>GILBERTO</v>
          </cell>
          <cell r="I434" t="str">
            <v>PASS</v>
          </cell>
          <cell r="J434" t="str">
            <v>SPR8</v>
          </cell>
          <cell r="K434" t="str">
            <v>720-1</v>
          </cell>
          <cell r="L434">
            <v>12</v>
          </cell>
          <cell r="M434" t="str">
            <v>CONCENTRICIDAD</v>
          </cell>
        </row>
        <row r="435">
          <cell r="A435">
            <v>20230432</v>
          </cell>
          <cell r="B435">
            <v>44583</v>
          </cell>
          <cell r="C435" t="str">
            <v>34324759E</v>
          </cell>
          <cell r="D435" t="str">
            <v>N/A</v>
          </cell>
          <cell r="E435" t="str">
            <v>OVALIDAD</v>
          </cell>
          <cell r="F435" t="str">
            <v>Gabriel Ramos</v>
          </cell>
          <cell r="G435">
            <v>44948</v>
          </cell>
          <cell r="H435" t="str">
            <v>GILBERTO</v>
          </cell>
          <cell r="I435" t="str">
            <v>PASS</v>
          </cell>
          <cell r="J435" t="str">
            <v>SPR8</v>
          </cell>
          <cell r="K435" t="str">
            <v>720-5</v>
          </cell>
          <cell r="L435">
            <v>12</v>
          </cell>
          <cell r="M435" t="str">
            <v>OVALIDAD</v>
          </cell>
        </row>
        <row r="436">
          <cell r="A436">
            <v>20230433</v>
          </cell>
          <cell r="B436">
            <v>44583</v>
          </cell>
          <cell r="C436" t="str">
            <v>34324759E</v>
          </cell>
          <cell r="D436" t="str">
            <v>N/A</v>
          </cell>
          <cell r="E436" t="str">
            <v>OVALIDAD</v>
          </cell>
          <cell r="F436" t="str">
            <v>Gabriel Ramos</v>
          </cell>
          <cell r="G436">
            <v>44948</v>
          </cell>
          <cell r="H436" t="str">
            <v>GILBERTO</v>
          </cell>
          <cell r="I436" t="str">
            <v>PASS</v>
          </cell>
          <cell r="J436" t="str">
            <v>SPR8</v>
          </cell>
          <cell r="K436" t="str">
            <v>720-5</v>
          </cell>
          <cell r="L436">
            <v>12</v>
          </cell>
          <cell r="M436" t="str">
            <v>CONCENTRICIDAD</v>
          </cell>
        </row>
        <row r="437">
          <cell r="A437">
            <v>20230434</v>
          </cell>
          <cell r="B437">
            <v>44583</v>
          </cell>
          <cell r="C437" t="str">
            <v>34324759E</v>
          </cell>
          <cell r="D437" t="str">
            <v>N/A</v>
          </cell>
          <cell r="E437" t="str">
            <v>CONCENTRICIDAD</v>
          </cell>
          <cell r="F437" t="str">
            <v>Augusto Rdz</v>
          </cell>
          <cell r="G437">
            <v>44948</v>
          </cell>
          <cell r="H437" t="str">
            <v>Carlos</v>
          </cell>
          <cell r="I437" t="str">
            <v>PASS</v>
          </cell>
          <cell r="J437" t="str">
            <v>SPR8</v>
          </cell>
          <cell r="K437" t="str">
            <v>720-5</v>
          </cell>
          <cell r="L437">
            <v>12</v>
          </cell>
          <cell r="M437" t="str">
            <v>CONCENTRICIDAD</v>
          </cell>
        </row>
        <row r="438">
          <cell r="A438">
            <v>20230435</v>
          </cell>
          <cell r="B438">
            <v>44949</v>
          </cell>
          <cell r="C438" t="str">
            <v>34324760D</v>
          </cell>
          <cell r="D438" t="str">
            <v>N/A</v>
          </cell>
          <cell r="E438" t="str">
            <v>CONCENTRICIDAD</v>
          </cell>
          <cell r="F438" t="str">
            <v>Augusto Rdz</v>
          </cell>
          <cell r="G438">
            <v>44948</v>
          </cell>
          <cell r="H438" t="str">
            <v>Carlos</v>
          </cell>
          <cell r="I438" t="str">
            <v>PASS</v>
          </cell>
          <cell r="J438" t="str">
            <v>SPR8</v>
          </cell>
          <cell r="K438" t="str">
            <v>720-1</v>
          </cell>
          <cell r="L438">
            <v>12</v>
          </cell>
          <cell r="M438" t="str">
            <v>CONCENTRICIDAD</v>
          </cell>
        </row>
        <row r="439">
          <cell r="A439">
            <v>20230436</v>
          </cell>
          <cell r="B439">
            <v>44583</v>
          </cell>
          <cell r="C439" t="str">
            <v>34324759E</v>
          </cell>
          <cell r="D439" t="str">
            <v>N/A</v>
          </cell>
          <cell r="E439" t="str">
            <v>OVALIDAD</v>
          </cell>
          <cell r="F439" t="str">
            <v>Augusto Rdz</v>
          </cell>
          <cell r="G439">
            <v>44948</v>
          </cell>
          <cell r="H439" t="str">
            <v>Carlos</v>
          </cell>
          <cell r="I439" t="str">
            <v>PASS</v>
          </cell>
          <cell r="J439" t="str">
            <v>SPR8</v>
          </cell>
          <cell r="K439" t="str">
            <v>720-5</v>
          </cell>
          <cell r="L439">
            <v>12</v>
          </cell>
          <cell r="M439" t="str">
            <v>OVALIDAD</v>
          </cell>
        </row>
        <row r="440">
          <cell r="A440">
            <v>20230437</v>
          </cell>
          <cell r="B440">
            <v>44949</v>
          </cell>
          <cell r="C440" t="str">
            <v>34324760D</v>
          </cell>
          <cell r="D440" t="str">
            <v>N/A</v>
          </cell>
          <cell r="E440" t="str">
            <v>OVALIDAD</v>
          </cell>
          <cell r="F440" t="str">
            <v>Augusto Rdz</v>
          </cell>
          <cell r="G440">
            <v>44948</v>
          </cell>
          <cell r="H440" t="str">
            <v>Carlos</v>
          </cell>
          <cell r="I440" t="str">
            <v>PASS</v>
          </cell>
          <cell r="J440" t="str">
            <v>SPR8</v>
          </cell>
          <cell r="K440" t="str">
            <v>720-1</v>
          </cell>
          <cell r="L440">
            <v>12</v>
          </cell>
          <cell r="M440" t="str">
            <v>OVALIDAD</v>
          </cell>
        </row>
        <row r="441">
          <cell r="A441">
            <v>20230438</v>
          </cell>
          <cell r="B441">
            <v>44949</v>
          </cell>
          <cell r="C441" t="str">
            <v>34339421A</v>
          </cell>
          <cell r="D441">
            <v>13259430</v>
          </cell>
          <cell r="E441" t="str">
            <v>1 2 3 4 5 6 7 8 9 12 6</v>
          </cell>
          <cell r="F441" t="str">
            <v>MARIA SUSTAITA</v>
          </cell>
          <cell r="G441">
            <v>44949</v>
          </cell>
          <cell r="H441" t="str">
            <v>MAURICIO</v>
          </cell>
          <cell r="I441" t="str">
            <v>NO PASS</v>
          </cell>
          <cell r="J441" t="str">
            <v>N/A</v>
          </cell>
          <cell r="K441" t="str">
            <v>N/A</v>
          </cell>
          <cell r="L441">
            <v>2</v>
          </cell>
          <cell r="M441" t="str">
            <v>PLANO MARCADO</v>
          </cell>
        </row>
        <row r="442">
          <cell r="A442">
            <v>20230439</v>
          </cell>
          <cell r="B442">
            <v>44949</v>
          </cell>
          <cell r="C442" t="str">
            <v>ZF-08515-231675-1</v>
          </cell>
          <cell r="D442" t="str">
            <v>N/A</v>
          </cell>
          <cell r="E442" t="str">
            <v>DIAMETRO</v>
          </cell>
          <cell r="F442" t="str">
            <v>Raul Hernandez</v>
          </cell>
          <cell r="G442">
            <v>44949</v>
          </cell>
          <cell r="H442" t="str">
            <v>MAURICIO</v>
          </cell>
          <cell r="I442" t="str">
            <v>PASS</v>
          </cell>
          <cell r="J442" t="str">
            <v>N/A</v>
          </cell>
          <cell r="K442">
            <v>532</v>
          </cell>
          <cell r="L442">
            <v>1</v>
          </cell>
          <cell r="M442" t="str">
            <v>PLANO MARCADO</v>
          </cell>
        </row>
        <row r="443">
          <cell r="A443">
            <v>20230440</v>
          </cell>
          <cell r="B443">
            <v>44949</v>
          </cell>
          <cell r="C443" t="str">
            <v>34240518E</v>
          </cell>
          <cell r="D443" t="str">
            <v>N/A</v>
          </cell>
          <cell r="E443" t="str">
            <v>46,51,52,58</v>
          </cell>
          <cell r="F443" t="str">
            <v>Yesenia Venegas</v>
          </cell>
          <cell r="G443">
            <v>44949</v>
          </cell>
          <cell r="H443" t="str">
            <v>Nohemi</v>
          </cell>
          <cell r="I443" t="str">
            <v>PASS</v>
          </cell>
          <cell r="J443" t="str">
            <v>T1XX</v>
          </cell>
          <cell r="K443" t="str">
            <v>701-B</v>
          </cell>
          <cell r="L443">
            <v>3</v>
          </cell>
          <cell r="M443" t="str">
            <v>CH34246232 A26</v>
          </cell>
        </row>
        <row r="444">
          <cell r="A444">
            <v>20230441</v>
          </cell>
          <cell r="B444">
            <v>44949</v>
          </cell>
          <cell r="C444" t="str">
            <v>34368404A</v>
          </cell>
          <cell r="D444" t="str">
            <v>N/A</v>
          </cell>
          <cell r="E444" t="str">
            <v>102,48,49,50,51,3,8,76,12</v>
          </cell>
          <cell r="F444" t="str">
            <v>Laura Castillo</v>
          </cell>
          <cell r="G444">
            <v>44949</v>
          </cell>
          <cell r="H444" t="str">
            <v>Nohemi</v>
          </cell>
          <cell r="I444" t="str">
            <v>NO PASS</v>
          </cell>
          <cell r="J444" t="str">
            <v>SPR8</v>
          </cell>
          <cell r="K444" t="str">
            <v>716-2</v>
          </cell>
          <cell r="L444">
            <v>4</v>
          </cell>
          <cell r="M444" t="str">
            <v>CH34229751 A25</v>
          </cell>
        </row>
        <row r="445">
          <cell r="A445">
            <v>20230442</v>
          </cell>
          <cell r="B445">
            <v>44949</v>
          </cell>
          <cell r="C445" t="str">
            <v>34359245B</v>
          </cell>
          <cell r="D445" t="str">
            <v>N/A</v>
          </cell>
          <cell r="E445" t="str">
            <v>102,49,50,51,3,8,76,104,12</v>
          </cell>
          <cell r="F445" t="str">
            <v>Javier Bautista</v>
          </cell>
          <cell r="G445">
            <v>44949</v>
          </cell>
          <cell r="H445" t="str">
            <v>Nohemi</v>
          </cell>
          <cell r="I445" t="str">
            <v>NO PASS</v>
          </cell>
          <cell r="J445" t="str">
            <v>SPR8</v>
          </cell>
          <cell r="K445" t="str">
            <v>716-3</v>
          </cell>
          <cell r="L445">
            <v>4</v>
          </cell>
          <cell r="M445" t="str">
            <v>CH34229751 A25</v>
          </cell>
        </row>
        <row r="446">
          <cell r="A446">
            <v>20230443</v>
          </cell>
          <cell r="B446">
            <v>44949</v>
          </cell>
          <cell r="C446" t="str">
            <v>34285576C</v>
          </cell>
          <cell r="D446" t="str">
            <v>N/A</v>
          </cell>
          <cell r="E446" t="str">
            <v>102,48,49,50,51,3,8,76,12</v>
          </cell>
          <cell r="F446" t="str">
            <v>Laura Castillo</v>
          </cell>
          <cell r="G446">
            <v>44949</v>
          </cell>
          <cell r="H446" t="str">
            <v>Nohemi</v>
          </cell>
          <cell r="I446" t="str">
            <v>NO PASS</v>
          </cell>
          <cell r="J446" t="str">
            <v>SPR8</v>
          </cell>
          <cell r="K446" t="str">
            <v>716-2</v>
          </cell>
          <cell r="L446">
            <v>4</v>
          </cell>
          <cell r="M446" t="str">
            <v>CH34229751 A25</v>
          </cell>
        </row>
        <row r="447">
          <cell r="A447">
            <v>20230444</v>
          </cell>
          <cell r="B447">
            <v>44949</v>
          </cell>
          <cell r="C447" t="str">
            <v>34091179B</v>
          </cell>
          <cell r="D447" t="str">
            <v>TBM2220</v>
          </cell>
          <cell r="E447" t="str">
            <v xml:space="preserve">Conforme al rip </v>
          </cell>
          <cell r="F447" t="str">
            <v>Nuevos programas</v>
          </cell>
          <cell r="G447">
            <v>44949</v>
          </cell>
          <cell r="H447" t="str">
            <v xml:space="preserve">Adela </v>
          </cell>
          <cell r="I447" t="str">
            <v>PASS</v>
          </cell>
          <cell r="J447" t="str">
            <v>N/A</v>
          </cell>
          <cell r="K447" t="str">
            <v>N/A</v>
          </cell>
          <cell r="L447">
            <v>120</v>
          </cell>
          <cell r="M447" t="str">
            <v>N/A</v>
          </cell>
        </row>
        <row r="448">
          <cell r="A448">
            <v>20230445</v>
          </cell>
          <cell r="B448">
            <v>44949</v>
          </cell>
          <cell r="C448" t="str">
            <v>34356608B</v>
          </cell>
          <cell r="D448" t="str">
            <v>N/A</v>
          </cell>
          <cell r="E448" t="str">
            <v>3,76,8,49,50,51,102,103,12,104</v>
          </cell>
          <cell r="F448" t="str">
            <v>Javier Bautista</v>
          </cell>
          <cell r="G448">
            <v>44949</v>
          </cell>
          <cell r="H448" t="str">
            <v>Nohemi</v>
          </cell>
          <cell r="I448" t="str">
            <v>NO PASS</v>
          </cell>
          <cell r="J448" t="str">
            <v>U725</v>
          </cell>
          <cell r="K448" t="str">
            <v>716-2</v>
          </cell>
          <cell r="L448">
            <v>4</v>
          </cell>
          <cell r="M448" t="str">
            <v>CH34229751 A25</v>
          </cell>
        </row>
        <row r="449">
          <cell r="A449">
            <v>20230446</v>
          </cell>
          <cell r="B449">
            <v>44949</v>
          </cell>
          <cell r="C449" t="str">
            <v>34327910A</v>
          </cell>
          <cell r="D449" t="str">
            <v>N/A</v>
          </cell>
          <cell r="E449" t="str">
            <v>11,26</v>
          </cell>
          <cell r="F449" t="str">
            <v>Yesenia Venegas</v>
          </cell>
          <cell r="G449">
            <v>44949</v>
          </cell>
          <cell r="H449" t="str">
            <v>Nohemi</v>
          </cell>
          <cell r="I449" t="str">
            <v>PASS</v>
          </cell>
          <cell r="J449" t="str">
            <v>T1XX</v>
          </cell>
          <cell r="K449" t="str">
            <v>701-A</v>
          </cell>
          <cell r="L449">
            <v>4</v>
          </cell>
          <cell r="M449" t="str">
            <v>CH34301418 A08</v>
          </cell>
        </row>
        <row r="450">
          <cell r="A450">
            <v>20230447</v>
          </cell>
          <cell r="B450">
            <v>44949</v>
          </cell>
          <cell r="C450" t="str">
            <v>34193430A</v>
          </cell>
          <cell r="D450" t="str">
            <v>N/A</v>
          </cell>
          <cell r="E450" t="str">
            <v>2,5,7,14</v>
          </cell>
          <cell r="F450" t="str">
            <v>Yesenia Venegas</v>
          </cell>
          <cell r="G450">
            <v>44949</v>
          </cell>
          <cell r="H450" t="str">
            <v>Nohemi</v>
          </cell>
          <cell r="I450" t="str">
            <v>PASS</v>
          </cell>
          <cell r="J450" t="str">
            <v>T1XX</v>
          </cell>
          <cell r="K450" t="str">
            <v>701-A</v>
          </cell>
          <cell r="L450">
            <v>4</v>
          </cell>
          <cell r="M450" t="str">
            <v>CH34175873 A37</v>
          </cell>
        </row>
        <row r="451">
          <cell r="A451">
            <v>20230448</v>
          </cell>
          <cell r="B451">
            <v>44949</v>
          </cell>
          <cell r="C451" t="str">
            <v>34155939ASRG</v>
          </cell>
          <cell r="D451" t="str">
            <v>C302215AM</v>
          </cell>
          <cell r="E451" t="str">
            <v xml:space="preserve">Conforme al rip </v>
          </cell>
          <cell r="F451" t="str">
            <v>Nuevos programas</v>
          </cell>
          <cell r="G451">
            <v>44949</v>
          </cell>
          <cell r="H451" t="str">
            <v xml:space="preserve">Adela </v>
          </cell>
          <cell r="I451" t="str">
            <v>PASS</v>
          </cell>
          <cell r="J451" t="str">
            <v>N/A</v>
          </cell>
          <cell r="K451" t="str">
            <v>N/A</v>
          </cell>
          <cell r="L451">
            <v>626</v>
          </cell>
          <cell r="M451" t="str">
            <v>N/A</v>
          </cell>
        </row>
        <row r="452">
          <cell r="A452">
            <v>20230449</v>
          </cell>
          <cell r="B452">
            <v>44949</v>
          </cell>
          <cell r="C452" t="str">
            <v>A020R620A</v>
          </cell>
          <cell r="D452" t="str">
            <v>N/A</v>
          </cell>
          <cell r="E452" t="str">
            <v>CONCENTRICIDAD</v>
          </cell>
          <cell r="F452" t="str">
            <v>EVELYN ESTUDILLO</v>
          </cell>
          <cell r="G452">
            <v>44949</v>
          </cell>
          <cell r="H452" t="str">
            <v>MAURICIO</v>
          </cell>
          <cell r="I452" t="str">
            <v>PASS</v>
          </cell>
          <cell r="J452" t="str">
            <v>SPR8</v>
          </cell>
          <cell r="K452" t="str">
            <v>720-6</v>
          </cell>
          <cell r="L452">
            <v>12</v>
          </cell>
          <cell r="M452" t="str">
            <v>CONCENTRICIDAD</v>
          </cell>
        </row>
        <row r="453">
          <cell r="A453">
            <v>20230450</v>
          </cell>
          <cell r="B453">
            <v>44949</v>
          </cell>
          <cell r="C453" t="str">
            <v>34309473B</v>
          </cell>
          <cell r="D453" t="str">
            <v>N/A</v>
          </cell>
          <cell r="E453" t="str">
            <v>CONCENTRICIDAD</v>
          </cell>
          <cell r="F453" t="str">
            <v>EVELYN ESTUDILLO</v>
          </cell>
          <cell r="G453">
            <v>44949</v>
          </cell>
          <cell r="H453" t="str">
            <v>MAURICIO</v>
          </cell>
          <cell r="I453" t="str">
            <v>PASS</v>
          </cell>
          <cell r="J453" t="str">
            <v>SPR8</v>
          </cell>
          <cell r="K453" t="str">
            <v>720-4</v>
          </cell>
          <cell r="L453">
            <v>12</v>
          </cell>
          <cell r="M453" t="str">
            <v>CONCENTRICIDAD</v>
          </cell>
        </row>
        <row r="454">
          <cell r="A454">
            <v>20230451</v>
          </cell>
          <cell r="B454">
            <v>44949</v>
          </cell>
          <cell r="C454" t="str">
            <v>34327672C</v>
          </cell>
          <cell r="D454" t="str">
            <v>N/A</v>
          </cell>
          <cell r="E454" t="str">
            <v>CONCENTRICIDAD</v>
          </cell>
          <cell r="F454" t="str">
            <v>EVELYN ESTUDILLO</v>
          </cell>
          <cell r="G454">
            <v>44949</v>
          </cell>
          <cell r="H454" t="str">
            <v>MAURICIO</v>
          </cell>
          <cell r="I454" t="str">
            <v>PASS</v>
          </cell>
          <cell r="J454" t="str">
            <v>SPR8</v>
          </cell>
          <cell r="K454" t="str">
            <v>720-5</v>
          </cell>
          <cell r="L454">
            <v>12</v>
          </cell>
          <cell r="M454" t="str">
            <v>CONCENTRICIDAD</v>
          </cell>
        </row>
        <row r="455">
          <cell r="A455">
            <v>20230452</v>
          </cell>
          <cell r="B455">
            <v>44949</v>
          </cell>
          <cell r="C455" t="str">
            <v>34235231G</v>
          </cell>
          <cell r="D455" t="str">
            <v>N/A</v>
          </cell>
          <cell r="E455" t="str">
            <v>CONCENTRICIDAD</v>
          </cell>
          <cell r="F455" t="str">
            <v>EVELYN ESTUDILLO</v>
          </cell>
          <cell r="G455">
            <v>44949</v>
          </cell>
          <cell r="H455" t="str">
            <v>MAURICIO</v>
          </cell>
          <cell r="I455" t="str">
            <v>PASS</v>
          </cell>
          <cell r="J455" t="str">
            <v>SPR8</v>
          </cell>
          <cell r="K455" t="str">
            <v>720-2</v>
          </cell>
          <cell r="L455">
            <v>12</v>
          </cell>
          <cell r="M455" t="str">
            <v>CONCENTRICIDAD</v>
          </cell>
        </row>
        <row r="456">
          <cell r="A456">
            <v>20230453</v>
          </cell>
          <cell r="B456">
            <v>44949</v>
          </cell>
          <cell r="C456" t="str">
            <v>34324760D</v>
          </cell>
          <cell r="D456" t="str">
            <v>N/A</v>
          </cell>
          <cell r="E456" t="str">
            <v>CONCENTRICIDAD</v>
          </cell>
          <cell r="F456" t="str">
            <v>EVELYN ESTUDILLO</v>
          </cell>
          <cell r="G456">
            <v>44949</v>
          </cell>
          <cell r="H456" t="str">
            <v>MAURICIO</v>
          </cell>
          <cell r="I456" t="str">
            <v>PASS</v>
          </cell>
          <cell r="J456" t="str">
            <v>SPR8</v>
          </cell>
          <cell r="K456" t="str">
            <v>720-1</v>
          </cell>
          <cell r="L456">
            <v>12</v>
          </cell>
          <cell r="M456" t="str">
            <v>CONCENTRICIDAD</v>
          </cell>
        </row>
        <row r="457">
          <cell r="A457">
            <v>20230454</v>
          </cell>
          <cell r="B457">
            <v>44949</v>
          </cell>
          <cell r="C457" t="str">
            <v>34235233G</v>
          </cell>
          <cell r="D457" t="str">
            <v>N/A</v>
          </cell>
          <cell r="E457" t="str">
            <v>CONCENTRICIDAD</v>
          </cell>
          <cell r="F457" t="str">
            <v>EVELYN ESTUDILLO</v>
          </cell>
          <cell r="G457">
            <v>44949</v>
          </cell>
          <cell r="H457" t="str">
            <v>MAURICIO</v>
          </cell>
          <cell r="I457" t="str">
            <v>PASS</v>
          </cell>
          <cell r="J457" t="str">
            <v>SPR8</v>
          </cell>
          <cell r="K457" t="str">
            <v>720-3</v>
          </cell>
          <cell r="L457">
            <v>12</v>
          </cell>
          <cell r="M457" t="str">
            <v>CONCENTRICIDAD</v>
          </cell>
        </row>
        <row r="458">
          <cell r="A458">
            <v>20230455</v>
          </cell>
          <cell r="B458">
            <v>44949</v>
          </cell>
          <cell r="C458" t="str">
            <v>A020R620A</v>
          </cell>
          <cell r="D458" t="str">
            <v>N/A</v>
          </cell>
          <cell r="E458" t="str">
            <v>OVALIDAD</v>
          </cell>
          <cell r="F458" t="str">
            <v>EVELYN ESTUDILLO</v>
          </cell>
          <cell r="G458">
            <v>44949</v>
          </cell>
          <cell r="H458" t="str">
            <v>MAURICIO</v>
          </cell>
          <cell r="I458" t="str">
            <v>PASS</v>
          </cell>
          <cell r="J458" t="str">
            <v>SPR8</v>
          </cell>
          <cell r="K458" t="str">
            <v>720-6</v>
          </cell>
          <cell r="L458">
            <v>12</v>
          </cell>
          <cell r="M458" t="str">
            <v>OVALIDAD</v>
          </cell>
        </row>
        <row r="459">
          <cell r="A459">
            <v>20230456</v>
          </cell>
          <cell r="B459">
            <v>44949</v>
          </cell>
          <cell r="C459" t="str">
            <v>34309473B</v>
          </cell>
          <cell r="D459" t="str">
            <v>N/A</v>
          </cell>
          <cell r="E459" t="str">
            <v>OVALIDAD</v>
          </cell>
          <cell r="F459" t="str">
            <v>EVELYN ESTUDILLO</v>
          </cell>
          <cell r="G459">
            <v>44949</v>
          </cell>
          <cell r="H459" t="str">
            <v>MAURICIO</v>
          </cell>
          <cell r="I459" t="str">
            <v>PASS</v>
          </cell>
          <cell r="J459" t="str">
            <v>SPR8</v>
          </cell>
          <cell r="K459" t="str">
            <v>720-4</v>
          </cell>
          <cell r="L459">
            <v>12</v>
          </cell>
          <cell r="M459" t="str">
            <v>OVALIDAD</v>
          </cell>
        </row>
        <row r="460">
          <cell r="A460">
            <v>20230457</v>
          </cell>
          <cell r="B460">
            <v>44949</v>
          </cell>
          <cell r="C460" t="str">
            <v>34327672C</v>
          </cell>
          <cell r="D460" t="str">
            <v>N/A</v>
          </cell>
          <cell r="E460" t="str">
            <v>OVALIDAD</v>
          </cell>
          <cell r="F460" t="str">
            <v>EVELYN ESTUDILLO</v>
          </cell>
          <cell r="G460">
            <v>44949</v>
          </cell>
          <cell r="H460" t="str">
            <v>MAURICIO</v>
          </cell>
          <cell r="I460" t="str">
            <v>PASS</v>
          </cell>
          <cell r="J460" t="str">
            <v>SPR8</v>
          </cell>
          <cell r="K460" t="str">
            <v>720-5</v>
          </cell>
          <cell r="L460">
            <v>12</v>
          </cell>
          <cell r="M460" t="str">
            <v>OVALIDAD</v>
          </cell>
        </row>
        <row r="461">
          <cell r="A461">
            <v>20230458</v>
          </cell>
          <cell r="B461">
            <v>44949</v>
          </cell>
          <cell r="C461" t="str">
            <v>34235231G</v>
          </cell>
          <cell r="D461" t="str">
            <v>N/A</v>
          </cell>
          <cell r="E461" t="str">
            <v>OVALIDAD</v>
          </cell>
          <cell r="F461" t="str">
            <v>EVELYN ESTUDILLO</v>
          </cell>
          <cell r="G461">
            <v>44949</v>
          </cell>
          <cell r="H461" t="str">
            <v>MAURICIO</v>
          </cell>
          <cell r="I461" t="str">
            <v>PASS</v>
          </cell>
          <cell r="J461" t="str">
            <v>SPR8</v>
          </cell>
          <cell r="K461" t="str">
            <v>720-2</v>
          </cell>
          <cell r="L461">
            <v>12</v>
          </cell>
          <cell r="M461" t="str">
            <v>OVALIDAD</v>
          </cell>
        </row>
        <row r="462">
          <cell r="A462">
            <v>20230459</v>
          </cell>
          <cell r="B462">
            <v>44949</v>
          </cell>
          <cell r="C462" t="str">
            <v>34324760D</v>
          </cell>
          <cell r="D462" t="str">
            <v>N/A</v>
          </cell>
          <cell r="E462" t="str">
            <v>OVALIDAD</v>
          </cell>
          <cell r="F462" t="str">
            <v>EVELYN ESTUDILLO</v>
          </cell>
          <cell r="G462">
            <v>44949</v>
          </cell>
          <cell r="H462" t="str">
            <v>MAURICIO</v>
          </cell>
          <cell r="I462" t="str">
            <v>PASS</v>
          </cell>
          <cell r="J462" t="str">
            <v>SPR8</v>
          </cell>
          <cell r="K462" t="str">
            <v>720-1</v>
          </cell>
          <cell r="L462">
            <v>12</v>
          </cell>
          <cell r="M462" t="str">
            <v>OVALIDAD</v>
          </cell>
        </row>
        <row r="463">
          <cell r="A463">
            <v>20230460</v>
          </cell>
          <cell r="B463">
            <v>44949</v>
          </cell>
          <cell r="C463" t="str">
            <v>34235233G</v>
          </cell>
          <cell r="D463" t="str">
            <v>N/A</v>
          </cell>
          <cell r="E463" t="str">
            <v>OVALIDAD</v>
          </cell>
          <cell r="F463" t="str">
            <v>EVELYN ESTUDILLO</v>
          </cell>
          <cell r="G463">
            <v>44949</v>
          </cell>
          <cell r="H463" t="str">
            <v>MAURICIO</v>
          </cell>
          <cell r="I463" t="str">
            <v>PASS</v>
          </cell>
          <cell r="J463" t="str">
            <v>SPR8</v>
          </cell>
          <cell r="K463" t="str">
            <v>720-3</v>
          </cell>
          <cell r="L463">
            <v>12</v>
          </cell>
          <cell r="M463" t="str">
            <v>OVALIDAD</v>
          </cell>
        </row>
        <row r="464">
          <cell r="A464">
            <v>20230461</v>
          </cell>
          <cell r="B464">
            <v>44949</v>
          </cell>
          <cell r="C464" t="str">
            <v>34346842C</v>
          </cell>
          <cell r="D464" t="str">
            <v>N/A</v>
          </cell>
          <cell r="E464" t="str">
            <v>CONCENTRICIDAD</v>
          </cell>
          <cell r="F464" t="str">
            <v>EVELYN ESTUDILLO</v>
          </cell>
          <cell r="G464">
            <v>44949</v>
          </cell>
          <cell r="H464" t="str">
            <v>LUIS</v>
          </cell>
          <cell r="I464" t="str">
            <v>PASS</v>
          </cell>
          <cell r="J464" t="str">
            <v>SPR8</v>
          </cell>
          <cell r="K464" t="str">
            <v>720-1</v>
          </cell>
          <cell r="L464">
            <v>12</v>
          </cell>
          <cell r="M464" t="str">
            <v>CONCENTRICIDAD</v>
          </cell>
        </row>
        <row r="465">
          <cell r="A465">
            <v>20230462</v>
          </cell>
          <cell r="B465">
            <v>44949</v>
          </cell>
          <cell r="C465" t="str">
            <v>34346842C</v>
          </cell>
          <cell r="D465" t="str">
            <v>N/A</v>
          </cell>
          <cell r="E465" t="str">
            <v>OVALIDAD</v>
          </cell>
          <cell r="F465" t="str">
            <v>EVELYN ESTUDILLO</v>
          </cell>
          <cell r="G465">
            <v>44949</v>
          </cell>
          <cell r="H465" t="str">
            <v>LUIS</v>
          </cell>
          <cell r="I465" t="str">
            <v>PASS</v>
          </cell>
          <cell r="J465" t="str">
            <v>SPR8</v>
          </cell>
          <cell r="K465" t="str">
            <v>720-1</v>
          </cell>
          <cell r="L465">
            <v>12</v>
          </cell>
          <cell r="M465" t="str">
            <v>OVALIDAD</v>
          </cell>
        </row>
        <row r="466">
          <cell r="A466">
            <v>20230463</v>
          </cell>
          <cell r="B466">
            <v>44949</v>
          </cell>
          <cell r="C466" t="str">
            <v>34361270A</v>
          </cell>
          <cell r="D466" t="str">
            <v>N/A</v>
          </cell>
          <cell r="E466" t="str">
            <v>CONCENTRICIDAD</v>
          </cell>
          <cell r="F466" t="str">
            <v>EVELYN ESTUDILLO</v>
          </cell>
          <cell r="G466">
            <v>44949</v>
          </cell>
          <cell r="H466" t="str">
            <v>LUIS</v>
          </cell>
          <cell r="I466" t="str">
            <v>PASS</v>
          </cell>
          <cell r="J466" t="str">
            <v>SPR8</v>
          </cell>
          <cell r="K466" t="str">
            <v>720-4</v>
          </cell>
          <cell r="L466">
            <v>12</v>
          </cell>
          <cell r="M466" t="str">
            <v>CONCENTRICIDAD</v>
          </cell>
        </row>
        <row r="467">
          <cell r="A467">
            <v>20230464</v>
          </cell>
          <cell r="B467">
            <v>44949</v>
          </cell>
          <cell r="C467" t="str">
            <v>34361270A</v>
          </cell>
          <cell r="D467" t="str">
            <v>N/A</v>
          </cell>
          <cell r="E467" t="str">
            <v>OVALIDAD</v>
          </cell>
          <cell r="F467" t="str">
            <v>EVELYN ESTUDILLO</v>
          </cell>
          <cell r="G467">
            <v>44949</v>
          </cell>
          <cell r="H467" t="str">
            <v>LUIS</v>
          </cell>
          <cell r="I467" t="str">
            <v>PASS</v>
          </cell>
          <cell r="J467" t="str">
            <v>SPR8</v>
          </cell>
          <cell r="K467" t="str">
            <v>720-4</v>
          </cell>
          <cell r="L467">
            <v>12</v>
          </cell>
          <cell r="M467" t="str">
            <v>OVALIDAD</v>
          </cell>
        </row>
        <row r="468">
          <cell r="A468">
            <v>20230465</v>
          </cell>
          <cell r="B468">
            <v>44949</v>
          </cell>
          <cell r="C468" t="str">
            <v>34285573C</v>
          </cell>
          <cell r="D468" t="str">
            <v>N/A</v>
          </cell>
          <cell r="E468" t="str">
            <v>CONCENTRICIDAD</v>
          </cell>
          <cell r="F468" t="str">
            <v>Augusto Rdz</v>
          </cell>
          <cell r="G468">
            <v>44949</v>
          </cell>
          <cell r="H468" t="str">
            <v>JOSE</v>
          </cell>
          <cell r="I468" t="str">
            <v>PASS</v>
          </cell>
          <cell r="J468" t="str">
            <v>SPR8</v>
          </cell>
          <cell r="K468" t="str">
            <v>720-2</v>
          </cell>
          <cell r="L468">
            <v>12</v>
          </cell>
          <cell r="M468" t="str">
            <v>CONCENTRICIDAD</v>
          </cell>
        </row>
        <row r="469">
          <cell r="A469">
            <v>20230466</v>
          </cell>
          <cell r="B469">
            <v>44949</v>
          </cell>
          <cell r="C469" t="str">
            <v>34285573C</v>
          </cell>
          <cell r="D469" t="str">
            <v>N/A</v>
          </cell>
          <cell r="E469" t="str">
            <v>OVALIDAD</v>
          </cell>
          <cell r="F469" t="str">
            <v>Augusto Rdz</v>
          </cell>
          <cell r="G469">
            <v>44949</v>
          </cell>
          <cell r="H469" t="str">
            <v>JOSE</v>
          </cell>
          <cell r="I469" t="str">
            <v>PASS</v>
          </cell>
          <cell r="J469" t="str">
            <v>SPR8</v>
          </cell>
          <cell r="K469" t="str">
            <v>720-2</v>
          </cell>
          <cell r="L469">
            <v>12</v>
          </cell>
          <cell r="M469" t="str">
            <v>OVALIDAD</v>
          </cell>
        </row>
        <row r="470">
          <cell r="A470">
            <v>20230467</v>
          </cell>
          <cell r="B470">
            <v>44949</v>
          </cell>
          <cell r="C470" t="str">
            <v>34235233G</v>
          </cell>
          <cell r="D470" t="str">
            <v>N/A</v>
          </cell>
          <cell r="E470" t="str">
            <v>CONCENTRICIDAD</v>
          </cell>
          <cell r="F470" t="str">
            <v>Augusto Rdz</v>
          </cell>
          <cell r="G470">
            <v>44949</v>
          </cell>
          <cell r="H470" t="str">
            <v>JOSE</v>
          </cell>
          <cell r="I470" t="str">
            <v>PASS</v>
          </cell>
          <cell r="J470" t="str">
            <v>SPR8</v>
          </cell>
          <cell r="K470" t="str">
            <v>720-3</v>
          </cell>
          <cell r="L470">
            <v>18</v>
          </cell>
          <cell r="M470" t="str">
            <v>CONCENTRICIDAD</v>
          </cell>
        </row>
        <row r="471">
          <cell r="A471">
            <v>20230468</v>
          </cell>
          <cell r="B471">
            <v>44949</v>
          </cell>
          <cell r="C471" t="str">
            <v>34235233G</v>
          </cell>
          <cell r="D471" t="str">
            <v>N/A</v>
          </cell>
          <cell r="E471" t="str">
            <v>OVALIDAD</v>
          </cell>
          <cell r="F471" t="str">
            <v>Augusto Rdz</v>
          </cell>
          <cell r="G471">
            <v>44949</v>
          </cell>
          <cell r="H471" t="str">
            <v>JOSE</v>
          </cell>
          <cell r="I471" t="str">
            <v>PASS</v>
          </cell>
          <cell r="J471" t="str">
            <v>SPR8</v>
          </cell>
          <cell r="K471" t="str">
            <v>720-3</v>
          </cell>
          <cell r="L471">
            <v>18</v>
          </cell>
          <cell r="M471" t="str">
            <v>OVALIDAD</v>
          </cell>
        </row>
        <row r="472">
          <cell r="A472">
            <v>20230469</v>
          </cell>
          <cell r="B472">
            <v>44949</v>
          </cell>
          <cell r="C472" t="str">
            <v>34235231G</v>
          </cell>
          <cell r="D472" t="str">
            <v>N/A</v>
          </cell>
          <cell r="E472" t="str">
            <v>CONCENTRICIDAD</v>
          </cell>
          <cell r="F472" t="str">
            <v>Augusto Rdz</v>
          </cell>
          <cell r="G472">
            <v>44949</v>
          </cell>
          <cell r="H472" t="str">
            <v>JOSE</v>
          </cell>
          <cell r="I472" t="str">
            <v>PASS</v>
          </cell>
          <cell r="J472" t="str">
            <v>SPR8</v>
          </cell>
          <cell r="K472" t="str">
            <v>720-5</v>
          </cell>
          <cell r="L472">
            <v>12</v>
          </cell>
          <cell r="M472" t="str">
            <v>CONCENTRICIDAD</v>
          </cell>
        </row>
        <row r="473">
          <cell r="A473">
            <v>20230470</v>
          </cell>
          <cell r="B473">
            <v>44949</v>
          </cell>
          <cell r="C473" t="str">
            <v>34235231G</v>
          </cell>
          <cell r="D473" t="str">
            <v>N/A</v>
          </cell>
          <cell r="E473" t="str">
            <v>OVALIDAD</v>
          </cell>
          <cell r="F473" t="str">
            <v>Augusto Rdz</v>
          </cell>
          <cell r="G473">
            <v>44949</v>
          </cell>
          <cell r="H473" t="str">
            <v>JOSE</v>
          </cell>
          <cell r="I473" t="str">
            <v>PASS</v>
          </cell>
          <cell r="J473" t="str">
            <v>SPR8</v>
          </cell>
          <cell r="K473" t="str">
            <v>720-5</v>
          </cell>
          <cell r="L473">
            <v>12</v>
          </cell>
          <cell r="M473" t="str">
            <v>OVALIDAD</v>
          </cell>
        </row>
        <row r="474">
          <cell r="A474">
            <v>20230471</v>
          </cell>
          <cell r="B474">
            <v>44949</v>
          </cell>
          <cell r="C474" t="str">
            <v>A020R619B</v>
          </cell>
          <cell r="D474" t="str">
            <v>N/A</v>
          </cell>
          <cell r="E474" t="str">
            <v>CONCENTRICIDAD</v>
          </cell>
          <cell r="F474" t="str">
            <v>Augusto Rdz</v>
          </cell>
          <cell r="G474">
            <v>44949</v>
          </cell>
          <cell r="H474" t="str">
            <v>JOSE</v>
          </cell>
          <cell r="I474" t="str">
            <v>PASS</v>
          </cell>
          <cell r="J474" t="str">
            <v>SPR8</v>
          </cell>
          <cell r="K474" t="str">
            <v>720-6</v>
          </cell>
          <cell r="L474">
            <v>12</v>
          </cell>
          <cell r="M474" t="str">
            <v>CONCENTRICIDAD</v>
          </cell>
        </row>
        <row r="475">
          <cell r="A475">
            <v>20230472</v>
          </cell>
          <cell r="B475">
            <v>44949</v>
          </cell>
          <cell r="C475" t="str">
            <v>A020R619B</v>
          </cell>
          <cell r="D475" t="str">
            <v>N/A</v>
          </cell>
          <cell r="E475" t="str">
            <v>OVALIDAD</v>
          </cell>
          <cell r="F475" t="str">
            <v>Augusto Rdz</v>
          </cell>
          <cell r="G475">
            <v>44949</v>
          </cell>
          <cell r="H475" t="str">
            <v>JOSE</v>
          </cell>
          <cell r="I475" t="str">
            <v>PASS</v>
          </cell>
          <cell r="J475" t="str">
            <v>SPR8</v>
          </cell>
          <cell r="K475" t="str">
            <v>720-6</v>
          </cell>
          <cell r="L475">
            <v>12</v>
          </cell>
          <cell r="M475" t="str">
            <v>OVALIDAD</v>
          </cell>
        </row>
        <row r="476">
          <cell r="A476">
            <v>20230473</v>
          </cell>
          <cell r="B476">
            <v>44950</v>
          </cell>
          <cell r="C476" t="str">
            <v>34100151D</v>
          </cell>
          <cell r="D476" t="str">
            <v>N/A</v>
          </cell>
          <cell r="E476" t="str">
            <v>366 363 16</v>
          </cell>
          <cell r="F476" t="str">
            <v>JOSE SANCHEZ</v>
          </cell>
          <cell r="G476">
            <v>44950</v>
          </cell>
          <cell r="H476" t="str">
            <v>MAURICIO</v>
          </cell>
          <cell r="I476" t="str">
            <v>PASS</v>
          </cell>
          <cell r="J476" t="str">
            <v>NISSAN</v>
          </cell>
          <cell r="K476" t="str">
            <v>N/A</v>
          </cell>
          <cell r="L476">
            <v>6</v>
          </cell>
          <cell r="M476" t="str">
            <v>CH34180551 A14</v>
          </cell>
        </row>
        <row r="477">
          <cell r="A477">
            <v>20230474</v>
          </cell>
          <cell r="B477">
            <v>44950</v>
          </cell>
          <cell r="C477" t="str">
            <v>34149989C</v>
          </cell>
          <cell r="D477" t="str">
            <v>N/A</v>
          </cell>
          <cell r="E477" t="str">
            <v>366 363 16</v>
          </cell>
          <cell r="F477" t="str">
            <v>JOSE SANCHEZ</v>
          </cell>
          <cell r="G477">
            <v>44950</v>
          </cell>
          <cell r="H477" t="str">
            <v>MAURICIO</v>
          </cell>
          <cell r="I477" t="str">
            <v>PASS</v>
          </cell>
          <cell r="J477" t="str">
            <v>NISSAN</v>
          </cell>
          <cell r="K477" t="str">
            <v>N/A</v>
          </cell>
          <cell r="L477">
            <v>6</v>
          </cell>
          <cell r="M477" t="str">
            <v>CH34180551 A14</v>
          </cell>
        </row>
        <row r="478">
          <cell r="A478">
            <v>20230475</v>
          </cell>
          <cell r="B478">
            <v>44950</v>
          </cell>
          <cell r="C478" t="str">
            <v>A024V115A</v>
          </cell>
          <cell r="D478" t="str">
            <v>N/A</v>
          </cell>
          <cell r="E478" t="str">
            <v>102,48,49,50,51,12,3,8,76,103</v>
          </cell>
          <cell r="F478" t="str">
            <v>Yesenia Venegas</v>
          </cell>
          <cell r="G478">
            <v>44950</v>
          </cell>
          <cell r="H478" t="str">
            <v>Nohemi</v>
          </cell>
          <cell r="I478" t="str">
            <v>NO PASS</v>
          </cell>
          <cell r="J478" t="str">
            <v>JL MCA</v>
          </cell>
          <cell r="K478" t="str">
            <v>716-3</v>
          </cell>
          <cell r="L478">
            <v>4</v>
          </cell>
          <cell r="M478" t="str">
            <v>A0033G4854 A-B</v>
          </cell>
        </row>
        <row r="479">
          <cell r="A479">
            <v>20230476</v>
          </cell>
          <cell r="B479">
            <v>44950</v>
          </cell>
          <cell r="C479" t="str">
            <v>34312445B</v>
          </cell>
          <cell r="D479" t="str">
            <v>N/A</v>
          </cell>
          <cell r="E479" t="str">
            <v>46,51,52,58</v>
          </cell>
          <cell r="F479" t="str">
            <v>Yesenia Venegas</v>
          </cell>
          <cell r="G479">
            <v>44950</v>
          </cell>
          <cell r="H479" t="str">
            <v>Nohemi</v>
          </cell>
          <cell r="I479" t="str">
            <v>PASS</v>
          </cell>
          <cell r="J479" t="str">
            <v>T1XX</v>
          </cell>
          <cell r="K479" t="str">
            <v>711-B</v>
          </cell>
          <cell r="L479">
            <v>2</v>
          </cell>
          <cell r="M479" t="str">
            <v>CH34246232 A20</v>
          </cell>
        </row>
        <row r="480">
          <cell r="A480">
            <v>20230477</v>
          </cell>
          <cell r="B480">
            <v>44950</v>
          </cell>
          <cell r="C480" t="str">
            <v>34364768A</v>
          </cell>
          <cell r="D480" t="str">
            <v>N/A</v>
          </cell>
          <cell r="E480" t="str">
            <v>15,17,7,6</v>
          </cell>
          <cell r="F480" t="str">
            <v>Laura Castillo</v>
          </cell>
          <cell r="G480">
            <v>44950</v>
          </cell>
          <cell r="H480" t="str">
            <v>Nohemi</v>
          </cell>
          <cell r="I480" t="str">
            <v>PASS</v>
          </cell>
          <cell r="J480" t="str">
            <v>TESLA</v>
          </cell>
          <cell r="K480" t="str">
            <v>715-1</v>
          </cell>
          <cell r="L480">
            <v>4</v>
          </cell>
          <cell r="M480" t="str">
            <v>A0033G4801-C</v>
          </cell>
        </row>
        <row r="481">
          <cell r="A481">
            <v>20230478</v>
          </cell>
          <cell r="B481">
            <v>44950</v>
          </cell>
          <cell r="C481" t="str">
            <v>34124529CBB</v>
          </cell>
          <cell r="D481">
            <v>1002011823</v>
          </cell>
          <cell r="E481" t="str">
            <v xml:space="preserve">Conforme al rip </v>
          </cell>
          <cell r="F481" t="str">
            <v>Nuevos programas</v>
          </cell>
          <cell r="G481">
            <v>44950</v>
          </cell>
          <cell r="H481" t="str">
            <v xml:space="preserve">Adela </v>
          </cell>
          <cell r="I481" t="str">
            <v>NO PASS</v>
          </cell>
          <cell r="J481" t="str">
            <v>N/A</v>
          </cell>
          <cell r="K481" t="str">
            <v>N/A</v>
          </cell>
          <cell r="L481">
            <v>156</v>
          </cell>
          <cell r="M481" t="str">
            <v>N/A</v>
          </cell>
        </row>
        <row r="482">
          <cell r="A482">
            <v>20230479</v>
          </cell>
          <cell r="B482">
            <v>44950</v>
          </cell>
          <cell r="C482" t="str">
            <v>A026P439A</v>
          </cell>
          <cell r="D482" t="str">
            <v>N/A</v>
          </cell>
          <cell r="E482" t="str">
            <v>46 52</v>
          </cell>
          <cell r="F482" t="str">
            <v>LILIANA VARELA</v>
          </cell>
          <cell r="G482">
            <v>44950</v>
          </cell>
          <cell r="H482" t="str">
            <v>MAURICIO</v>
          </cell>
          <cell r="I482" t="str">
            <v>NO PASS</v>
          </cell>
          <cell r="J482" t="str">
            <v>N/A</v>
          </cell>
          <cell r="K482" t="str">
            <v>701-B</v>
          </cell>
          <cell r="L482">
            <v>6</v>
          </cell>
          <cell r="M482" t="str">
            <v>A0036F1994A</v>
          </cell>
        </row>
        <row r="483">
          <cell r="A483">
            <v>20230480</v>
          </cell>
          <cell r="B483">
            <v>44950</v>
          </cell>
          <cell r="C483" t="str">
            <v>A026P437A</v>
          </cell>
          <cell r="D483" t="str">
            <v>N/A</v>
          </cell>
          <cell r="E483" t="str">
            <v>46 52</v>
          </cell>
          <cell r="F483" t="str">
            <v>LILIANA VARELA</v>
          </cell>
          <cell r="G483">
            <v>44950</v>
          </cell>
          <cell r="H483" t="str">
            <v>MAURICIO</v>
          </cell>
          <cell r="I483" t="str">
            <v>NO PASS</v>
          </cell>
          <cell r="J483" t="str">
            <v>N/A</v>
          </cell>
          <cell r="K483" t="str">
            <v>701-B</v>
          </cell>
          <cell r="L483">
            <v>6</v>
          </cell>
          <cell r="M483" t="str">
            <v>A0036F1994A</v>
          </cell>
        </row>
        <row r="484">
          <cell r="A484">
            <v>20230481</v>
          </cell>
          <cell r="B484">
            <v>44950</v>
          </cell>
          <cell r="C484" t="str">
            <v>A020R621B</v>
          </cell>
          <cell r="D484" t="str">
            <v>N/A</v>
          </cell>
          <cell r="E484" t="str">
            <v>CONCENTRICIDAD</v>
          </cell>
          <cell r="F484" t="str">
            <v>EVELYN ESTUDILLO</v>
          </cell>
          <cell r="G484">
            <v>44950</v>
          </cell>
          <cell r="H484" t="str">
            <v>MAURICIO</v>
          </cell>
          <cell r="I484" t="str">
            <v>PASS</v>
          </cell>
          <cell r="J484" t="str">
            <v>SPR8</v>
          </cell>
          <cell r="K484" t="str">
            <v>720-6</v>
          </cell>
          <cell r="L484">
            <v>12</v>
          </cell>
          <cell r="M484" t="str">
            <v>CONCENTRICIDAD</v>
          </cell>
        </row>
        <row r="485">
          <cell r="A485">
            <v>20230482</v>
          </cell>
          <cell r="B485">
            <v>44950</v>
          </cell>
          <cell r="C485" t="str">
            <v>34235232G</v>
          </cell>
          <cell r="D485" t="str">
            <v>N/A</v>
          </cell>
          <cell r="E485" t="str">
            <v>CONCENTRICIDAD</v>
          </cell>
          <cell r="F485" t="str">
            <v>EVELYN ESTUDILLO</v>
          </cell>
          <cell r="G485">
            <v>44950</v>
          </cell>
          <cell r="H485" t="str">
            <v>MAURICIO</v>
          </cell>
          <cell r="I485" t="str">
            <v>PASS</v>
          </cell>
          <cell r="J485" t="str">
            <v>SPR8</v>
          </cell>
          <cell r="K485" t="str">
            <v>720-3</v>
          </cell>
          <cell r="L485">
            <v>12</v>
          </cell>
          <cell r="M485" t="str">
            <v>CONCENTRICIDAD</v>
          </cell>
        </row>
        <row r="486">
          <cell r="A486">
            <v>20230483</v>
          </cell>
          <cell r="B486">
            <v>44950</v>
          </cell>
          <cell r="C486" t="str">
            <v>34361270A</v>
          </cell>
          <cell r="D486" t="str">
            <v>N/A</v>
          </cell>
          <cell r="E486" t="str">
            <v>CONCENTRICIDAD</v>
          </cell>
          <cell r="F486" t="str">
            <v>EVELYN ESTUDILLO</v>
          </cell>
          <cell r="G486">
            <v>44950</v>
          </cell>
          <cell r="H486" t="str">
            <v>MAURICIO</v>
          </cell>
          <cell r="I486" t="str">
            <v>PASS</v>
          </cell>
          <cell r="J486" t="str">
            <v>SPR8</v>
          </cell>
          <cell r="K486" t="str">
            <v>720-4</v>
          </cell>
          <cell r="L486">
            <v>12</v>
          </cell>
          <cell r="M486" t="str">
            <v>CONCENTRICIDAD</v>
          </cell>
        </row>
        <row r="487">
          <cell r="A487">
            <v>20230484</v>
          </cell>
          <cell r="B487">
            <v>44950</v>
          </cell>
          <cell r="C487" t="str">
            <v>34346841E</v>
          </cell>
          <cell r="D487" t="str">
            <v>N/A</v>
          </cell>
          <cell r="E487" t="str">
            <v>CONCENTRICIDAD</v>
          </cell>
          <cell r="F487" t="str">
            <v>EVELYN ESTUDILLO</v>
          </cell>
          <cell r="G487">
            <v>44950</v>
          </cell>
          <cell r="H487" t="str">
            <v>MAURICIO</v>
          </cell>
          <cell r="I487" t="str">
            <v>PASS</v>
          </cell>
          <cell r="J487" t="str">
            <v>SPR8</v>
          </cell>
          <cell r="K487" t="str">
            <v>720-1</v>
          </cell>
          <cell r="L487">
            <v>12</v>
          </cell>
          <cell r="M487" t="str">
            <v>CONCENTRICIDAD</v>
          </cell>
        </row>
        <row r="488">
          <cell r="A488">
            <v>20230485</v>
          </cell>
          <cell r="B488">
            <v>44950</v>
          </cell>
          <cell r="C488" t="str">
            <v>34296442C</v>
          </cell>
          <cell r="D488" t="str">
            <v>N/A</v>
          </cell>
          <cell r="E488" t="str">
            <v>CONCENTRICIDAD</v>
          </cell>
          <cell r="F488" t="str">
            <v>EVELYN ESTUDILLO</v>
          </cell>
          <cell r="G488">
            <v>44950</v>
          </cell>
          <cell r="H488" t="str">
            <v>MAURICIO</v>
          </cell>
          <cell r="I488" t="str">
            <v>PASS</v>
          </cell>
          <cell r="J488" t="str">
            <v>SPR8</v>
          </cell>
          <cell r="K488" t="str">
            <v>720-2</v>
          </cell>
          <cell r="L488">
            <v>12</v>
          </cell>
          <cell r="M488" t="str">
            <v>CONCENTRICIDAD</v>
          </cell>
        </row>
        <row r="489">
          <cell r="A489">
            <v>20230486</v>
          </cell>
          <cell r="B489">
            <v>44950</v>
          </cell>
          <cell r="C489" t="str">
            <v>34235234G</v>
          </cell>
          <cell r="D489" t="str">
            <v>N/A</v>
          </cell>
          <cell r="E489" t="str">
            <v>CONCENTRICIDAD</v>
          </cell>
          <cell r="F489" t="str">
            <v>EVELYN ESTUDILLO</v>
          </cell>
          <cell r="G489">
            <v>44950</v>
          </cell>
          <cell r="H489" t="str">
            <v>MAURICIO</v>
          </cell>
          <cell r="I489" t="str">
            <v>PASS</v>
          </cell>
          <cell r="J489" t="str">
            <v>SPR8</v>
          </cell>
          <cell r="K489" t="str">
            <v>720-5</v>
          </cell>
          <cell r="L489">
            <v>12</v>
          </cell>
          <cell r="M489" t="str">
            <v>CONCENTRICIDAD</v>
          </cell>
        </row>
        <row r="490">
          <cell r="A490">
            <v>20230487</v>
          </cell>
          <cell r="B490">
            <v>44950</v>
          </cell>
          <cell r="C490" t="str">
            <v>A020R621B</v>
          </cell>
          <cell r="D490" t="str">
            <v>N/A</v>
          </cell>
          <cell r="E490" t="str">
            <v>OVALIDAD</v>
          </cell>
          <cell r="F490" t="str">
            <v>EVELYN ESTUDILLO</v>
          </cell>
          <cell r="G490">
            <v>44950</v>
          </cell>
          <cell r="H490" t="str">
            <v>MAURICIO</v>
          </cell>
          <cell r="I490" t="str">
            <v>PASS</v>
          </cell>
          <cell r="J490" t="str">
            <v>SPR8</v>
          </cell>
          <cell r="K490" t="str">
            <v>720-6</v>
          </cell>
          <cell r="L490">
            <v>12</v>
          </cell>
          <cell r="M490" t="str">
            <v>OVALIDAD</v>
          </cell>
        </row>
        <row r="491">
          <cell r="A491">
            <v>20230488</v>
          </cell>
          <cell r="B491">
            <v>44950</v>
          </cell>
          <cell r="C491" t="str">
            <v>34235232G</v>
          </cell>
          <cell r="D491" t="str">
            <v>N/A</v>
          </cell>
          <cell r="E491" t="str">
            <v>OVALIDAD</v>
          </cell>
          <cell r="F491" t="str">
            <v>EVELYN ESTUDILLO</v>
          </cell>
          <cell r="G491">
            <v>44950</v>
          </cell>
          <cell r="H491" t="str">
            <v>MAURICIO</v>
          </cell>
          <cell r="I491" t="str">
            <v>PASS</v>
          </cell>
          <cell r="J491" t="str">
            <v>SPR8</v>
          </cell>
          <cell r="K491" t="str">
            <v>720-3</v>
          </cell>
          <cell r="L491">
            <v>12</v>
          </cell>
          <cell r="M491" t="str">
            <v>OVALIDAD</v>
          </cell>
        </row>
        <row r="492">
          <cell r="A492">
            <v>20230489</v>
          </cell>
          <cell r="B492">
            <v>44950</v>
          </cell>
          <cell r="C492" t="str">
            <v>34361270A</v>
          </cell>
          <cell r="D492" t="str">
            <v>N/A</v>
          </cell>
          <cell r="E492" t="str">
            <v>OVALIDAD</v>
          </cell>
          <cell r="F492" t="str">
            <v>EVELYN ESTUDILLO</v>
          </cell>
          <cell r="G492">
            <v>44950</v>
          </cell>
          <cell r="H492" t="str">
            <v>MAURICIO</v>
          </cell>
          <cell r="I492" t="str">
            <v>PASS</v>
          </cell>
          <cell r="J492" t="str">
            <v>SPR8</v>
          </cell>
          <cell r="K492" t="str">
            <v>720-4</v>
          </cell>
          <cell r="L492">
            <v>12</v>
          </cell>
          <cell r="M492" t="str">
            <v>OVALIDAD</v>
          </cell>
        </row>
        <row r="493">
          <cell r="A493">
            <v>20230490</v>
          </cell>
          <cell r="B493">
            <v>44950</v>
          </cell>
          <cell r="C493" t="str">
            <v>34346841E</v>
          </cell>
          <cell r="D493" t="str">
            <v>N/A</v>
          </cell>
          <cell r="E493" t="str">
            <v>OVALIDAD</v>
          </cell>
          <cell r="F493" t="str">
            <v>EVELYN ESTUDILLO</v>
          </cell>
          <cell r="G493">
            <v>44950</v>
          </cell>
          <cell r="H493" t="str">
            <v>MAURICIO</v>
          </cell>
          <cell r="I493" t="str">
            <v>PASS</v>
          </cell>
          <cell r="J493" t="str">
            <v>SPR8</v>
          </cell>
          <cell r="K493" t="str">
            <v>720-1</v>
          </cell>
          <cell r="L493">
            <v>12</v>
          </cell>
          <cell r="M493" t="str">
            <v>OVALIDAD</v>
          </cell>
        </row>
        <row r="494">
          <cell r="A494">
            <v>20230491</v>
          </cell>
          <cell r="B494">
            <v>44950</v>
          </cell>
          <cell r="C494" t="str">
            <v>34296442C</v>
          </cell>
          <cell r="D494" t="str">
            <v>N/A</v>
          </cell>
          <cell r="E494" t="str">
            <v>OVALIDAD</v>
          </cell>
          <cell r="F494" t="str">
            <v>EVELYN ESTUDILLO</v>
          </cell>
          <cell r="G494">
            <v>44950</v>
          </cell>
          <cell r="H494" t="str">
            <v>MAURICIO</v>
          </cell>
          <cell r="I494" t="str">
            <v>PASS</v>
          </cell>
          <cell r="J494" t="str">
            <v>SPR8</v>
          </cell>
          <cell r="K494" t="str">
            <v>720-2</v>
          </cell>
          <cell r="L494">
            <v>12</v>
          </cell>
          <cell r="M494" t="str">
            <v>OVALIDAD</v>
          </cell>
        </row>
        <row r="495">
          <cell r="A495">
            <v>20230492</v>
          </cell>
          <cell r="B495">
            <v>44950</v>
          </cell>
          <cell r="C495" t="str">
            <v>34235234G</v>
          </cell>
          <cell r="D495" t="str">
            <v>N/A</v>
          </cell>
          <cell r="E495" t="str">
            <v>OVALIDAD</v>
          </cell>
          <cell r="F495" t="str">
            <v>EVELYN ESTUDILLO</v>
          </cell>
          <cell r="G495">
            <v>44950</v>
          </cell>
          <cell r="H495" t="str">
            <v>MAURICIO</v>
          </cell>
          <cell r="I495" t="str">
            <v>PASS</v>
          </cell>
          <cell r="J495" t="str">
            <v>SPR8</v>
          </cell>
          <cell r="K495" t="str">
            <v>720-5</v>
          </cell>
          <cell r="L495">
            <v>12</v>
          </cell>
          <cell r="M495" t="str">
            <v>OVALIDAD</v>
          </cell>
        </row>
        <row r="496">
          <cell r="A496">
            <v>20230493</v>
          </cell>
          <cell r="B496">
            <v>44950</v>
          </cell>
          <cell r="C496" t="str">
            <v>34257332A</v>
          </cell>
          <cell r="D496" t="str">
            <v>N/A</v>
          </cell>
          <cell r="E496" t="str">
            <v>16,17,19,15</v>
          </cell>
          <cell r="F496" t="str">
            <v>Javier Bautista</v>
          </cell>
          <cell r="G496">
            <v>44950</v>
          </cell>
          <cell r="H496" t="str">
            <v>Nohemi</v>
          </cell>
          <cell r="I496" t="str">
            <v>NO PASS</v>
          </cell>
          <cell r="J496" t="str">
            <v>CHRYSLER</v>
          </cell>
          <cell r="K496" t="str">
            <v>720-3</v>
          </cell>
          <cell r="L496">
            <v>4</v>
          </cell>
          <cell r="M496" t="str">
            <v>CH34259298 A06</v>
          </cell>
        </row>
        <row r="497">
          <cell r="A497">
            <v>20230494</v>
          </cell>
          <cell r="B497">
            <v>44950</v>
          </cell>
          <cell r="C497" t="str">
            <v>34257329A</v>
          </cell>
          <cell r="D497" t="str">
            <v>N/A</v>
          </cell>
          <cell r="E497" t="str">
            <v>16,17,19,15</v>
          </cell>
          <cell r="F497" t="str">
            <v>Javier Bautista</v>
          </cell>
          <cell r="G497">
            <v>44950</v>
          </cell>
          <cell r="H497" t="str">
            <v>Nohemi</v>
          </cell>
          <cell r="I497" t="str">
            <v>NO PASS</v>
          </cell>
          <cell r="J497" t="str">
            <v>CHRYSLER</v>
          </cell>
          <cell r="K497" t="str">
            <v>720-3</v>
          </cell>
          <cell r="L497">
            <v>4</v>
          </cell>
          <cell r="M497" t="str">
            <v>CH34259297 A15</v>
          </cell>
        </row>
        <row r="498">
          <cell r="A498">
            <v>20230495</v>
          </cell>
          <cell r="B498">
            <v>44950</v>
          </cell>
          <cell r="C498" t="str">
            <v>A023P565B</v>
          </cell>
          <cell r="D498" t="str">
            <v>N/A</v>
          </cell>
          <cell r="E498" t="str">
            <v>7,8,9,10,11,Z,17,18,19</v>
          </cell>
          <cell r="F498" t="str">
            <v>Javier Bautista</v>
          </cell>
          <cell r="G498">
            <v>44950</v>
          </cell>
          <cell r="H498" t="str">
            <v>Nohemi</v>
          </cell>
          <cell r="I498" t="str">
            <v>NO PASS</v>
          </cell>
          <cell r="J498" t="str">
            <v>CHRYSLER</v>
          </cell>
          <cell r="K498" t="str">
            <v>720-3</v>
          </cell>
          <cell r="L498">
            <v>3</v>
          </cell>
          <cell r="M498" t="str">
            <v>A0054G8117A-C</v>
          </cell>
        </row>
        <row r="499">
          <cell r="A499">
            <v>20230496</v>
          </cell>
          <cell r="B499">
            <v>44950</v>
          </cell>
          <cell r="C499" t="str">
            <v>A023P569B</v>
          </cell>
          <cell r="D499" t="str">
            <v>N/A</v>
          </cell>
          <cell r="E499" t="str">
            <v>10,11,8,9,16,12,18,19,20</v>
          </cell>
          <cell r="F499" t="str">
            <v>Javier Bautista</v>
          </cell>
          <cell r="G499">
            <v>44950</v>
          </cell>
          <cell r="H499" t="str">
            <v>Nohemi</v>
          </cell>
          <cell r="I499" t="str">
            <v>NO PASS</v>
          </cell>
          <cell r="J499" t="str">
            <v>CHRYSLER</v>
          </cell>
          <cell r="K499" t="str">
            <v>720-3</v>
          </cell>
          <cell r="L499">
            <v>3</v>
          </cell>
          <cell r="M499" t="str">
            <v>A0034E4937A G</v>
          </cell>
        </row>
        <row r="500">
          <cell r="A500">
            <v>20230497</v>
          </cell>
          <cell r="B500">
            <v>44950</v>
          </cell>
          <cell r="C500" t="str">
            <v>W505286S442XD</v>
          </cell>
          <cell r="D500" t="str">
            <v>N/A</v>
          </cell>
          <cell r="E500" t="str">
            <v>Marcadas en el plano</v>
          </cell>
          <cell r="F500" t="str">
            <v>Rogelio Del Angel</v>
          </cell>
          <cell r="G500">
            <v>44950</v>
          </cell>
          <cell r="H500" t="str">
            <v xml:space="preserve">Adela </v>
          </cell>
          <cell r="I500" t="str">
            <v>PASS</v>
          </cell>
          <cell r="J500" t="str">
            <v>N/A</v>
          </cell>
          <cell r="K500" t="str">
            <v>N/A</v>
          </cell>
          <cell r="L500">
            <v>4</v>
          </cell>
          <cell r="M500" t="str">
            <v>N/A</v>
          </cell>
        </row>
        <row r="501">
          <cell r="A501">
            <v>20230498</v>
          </cell>
          <cell r="B501">
            <v>44950</v>
          </cell>
          <cell r="C501" t="str">
            <v>A024V113A</v>
          </cell>
          <cell r="D501" t="str">
            <v>N/A</v>
          </cell>
          <cell r="E501" t="str">
            <v>94,52,53,54,69,55</v>
          </cell>
          <cell r="F501" t="str">
            <v>Laura Castillo</v>
          </cell>
          <cell r="G501">
            <v>44950</v>
          </cell>
          <cell r="H501" t="str">
            <v>Nohemi</v>
          </cell>
          <cell r="I501" t="str">
            <v>NO PASS</v>
          </cell>
          <cell r="J501" t="str">
            <v>JL MCA</v>
          </cell>
          <cell r="K501" t="str">
            <v>716-1</v>
          </cell>
          <cell r="L501">
            <v>4</v>
          </cell>
          <cell r="M501" t="str">
            <v>A0033G4820A C</v>
          </cell>
        </row>
        <row r="502">
          <cell r="A502">
            <v>20230499</v>
          </cell>
          <cell r="B502">
            <v>44950</v>
          </cell>
          <cell r="C502" t="str">
            <v>34313145B</v>
          </cell>
          <cell r="D502" t="str">
            <v>N/A</v>
          </cell>
          <cell r="E502" t="str">
            <v>37,14</v>
          </cell>
          <cell r="F502" t="str">
            <v>Yesenia Venegas</v>
          </cell>
          <cell r="G502">
            <v>44950</v>
          </cell>
          <cell r="H502" t="str">
            <v>Nohemi</v>
          </cell>
          <cell r="I502" t="str">
            <v>PASS</v>
          </cell>
          <cell r="J502" t="str">
            <v>U55X</v>
          </cell>
          <cell r="K502" t="str">
            <v>713-A</v>
          </cell>
          <cell r="L502">
            <v>4</v>
          </cell>
          <cell r="M502" t="str">
            <v>A0034G1431A B</v>
          </cell>
        </row>
        <row r="503">
          <cell r="A503">
            <v>20230500</v>
          </cell>
          <cell r="B503">
            <v>44950</v>
          </cell>
          <cell r="C503" t="str">
            <v>34345914A</v>
          </cell>
          <cell r="D503" t="str">
            <v>N/A</v>
          </cell>
          <cell r="E503" t="str">
            <v>11,9,13,4</v>
          </cell>
          <cell r="F503" t="str">
            <v>Yesenia Venegas</v>
          </cell>
          <cell r="G503">
            <v>44950</v>
          </cell>
          <cell r="H503" t="str">
            <v>Nohemi</v>
          </cell>
          <cell r="I503" t="str">
            <v>PASS</v>
          </cell>
          <cell r="J503" t="str">
            <v>U55X</v>
          </cell>
          <cell r="K503" t="str">
            <v>713-A</v>
          </cell>
          <cell r="L503">
            <v>4</v>
          </cell>
          <cell r="M503" t="str">
            <v>A0033P1303A</v>
          </cell>
        </row>
        <row r="504">
          <cell r="A504">
            <v>20230501</v>
          </cell>
          <cell r="B504">
            <v>44950</v>
          </cell>
          <cell r="C504" t="str">
            <v>34186256C</v>
          </cell>
          <cell r="D504" t="str">
            <v>01623</v>
          </cell>
          <cell r="E504" t="str">
            <v>91 92 47</v>
          </cell>
          <cell r="F504" t="str">
            <v>DANY RAMIREZ</v>
          </cell>
          <cell r="G504">
            <v>44950</v>
          </cell>
          <cell r="H504" t="str">
            <v>MAURICIO</v>
          </cell>
          <cell r="I504" t="str">
            <v>NO PASS</v>
          </cell>
          <cell r="J504" t="str">
            <v>SPR4</v>
          </cell>
          <cell r="K504" t="str">
            <v>VOESTALPINE</v>
          </cell>
          <cell r="L504">
            <v>3</v>
          </cell>
          <cell r="M504" t="str">
            <v>PLANO MARCADO</v>
          </cell>
        </row>
        <row r="505">
          <cell r="A505">
            <v>20230502</v>
          </cell>
          <cell r="B505">
            <v>44950</v>
          </cell>
          <cell r="C505" t="str">
            <v>34235231G</v>
          </cell>
          <cell r="D505" t="str">
            <v>N/A</v>
          </cell>
          <cell r="E505" t="str">
            <v>CONCENTRICIDAD</v>
          </cell>
          <cell r="F505" t="str">
            <v>EVELYN ESTUDILLO</v>
          </cell>
          <cell r="G505">
            <v>44950</v>
          </cell>
          <cell r="H505" t="str">
            <v>Luis</v>
          </cell>
          <cell r="I505" t="str">
            <v>PASS</v>
          </cell>
          <cell r="J505" t="str">
            <v>SPR8</v>
          </cell>
          <cell r="K505" t="str">
            <v>720-3</v>
          </cell>
          <cell r="L505">
            <v>12</v>
          </cell>
          <cell r="M505" t="str">
            <v>Validacion de Collet</v>
          </cell>
        </row>
        <row r="506">
          <cell r="A506">
            <v>20230503</v>
          </cell>
          <cell r="B506">
            <v>44950</v>
          </cell>
          <cell r="C506" t="str">
            <v>34235231G</v>
          </cell>
          <cell r="D506" t="str">
            <v>N/A</v>
          </cell>
          <cell r="E506" t="str">
            <v>CONCENTRICIDAD</v>
          </cell>
          <cell r="F506" t="str">
            <v>EVELYN ESTUDILLO</v>
          </cell>
          <cell r="G506">
            <v>44950</v>
          </cell>
          <cell r="H506" t="str">
            <v>Luis</v>
          </cell>
          <cell r="I506" t="str">
            <v>PASS</v>
          </cell>
          <cell r="J506" t="str">
            <v>SPR8</v>
          </cell>
          <cell r="K506" t="str">
            <v>720-3</v>
          </cell>
          <cell r="L506">
            <v>12</v>
          </cell>
          <cell r="M506" t="str">
            <v>2nd Turno</v>
          </cell>
        </row>
        <row r="507">
          <cell r="A507">
            <v>20230504</v>
          </cell>
          <cell r="B507">
            <v>44950</v>
          </cell>
          <cell r="C507" t="str">
            <v>A020R622B</v>
          </cell>
          <cell r="D507" t="str">
            <v>N/A</v>
          </cell>
          <cell r="E507" t="str">
            <v>CONCENTRICIDAD</v>
          </cell>
          <cell r="F507" t="str">
            <v>EVELYN ESTUDILLO</v>
          </cell>
          <cell r="G507">
            <v>44950</v>
          </cell>
          <cell r="H507" t="str">
            <v>Luis</v>
          </cell>
          <cell r="I507" t="str">
            <v>PASS</v>
          </cell>
          <cell r="J507" t="str">
            <v>SPR8</v>
          </cell>
          <cell r="K507" t="str">
            <v>720-6</v>
          </cell>
          <cell r="L507">
            <v>12</v>
          </cell>
          <cell r="M507" t="str">
            <v>2nd Turno</v>
          </cell>
        </row>
        <row r="508">
          <cell r="A508">
            <v>20230505</v>
          </cell>
          <cell r="B508">
            <v>44950</v>
          </cell>
          <cell r="C508" t="str">
            <v>34235231G</v>
          </cell>
          <cell r="D508" t="str">
            <v>N/A</v>
          </cell>
          <cell r="E508" t="str">
            <v>OVALIDAD</v>
          </cell>
          <cell r="F508" t="str">
            <v>EVELYN ESTUDILLO</v>
          </cell>
          <cell r="G508">
            <v>44950</v>
          </cell>
          <cell r="H508" t="str">
            <v>Luis</v>
          </cell>
          <cell r="I508" t="str">
            <v>NO PASS</v>
          </cell>
          <cell r="J508" t="str">
            <v>SPR8</v>
          </cell>
          <cell r="K508" t="str">
            <v>720-3</v>
          </cell>
          <cell r="L508">
            <v>12</v>
          </cell>
          <cell r="M508" t="str">
            <v>Validacion de Collet</v>
          </cell>
        </row>
        <row r="509">
          <cell r="A509">
            <v>20230506</v>
          </cell>
          <cell r="B509">
            <v>44950</v>
          </cell>
          <cell r="C509" t="str">
            <v>34235231G</v>
          </cell>
          <cell r="D509" t="str">
            <v>N/A</v>
          </cell>
          <cell r="E509" t="str">
            <v>OVALIDAD</v>
          </cell>
          <cell r="F509" t="str">
            <v>EVELYN ESTUDILLO</v>
          </cell>
          <cell r="G509">
            <v>44950</v>
          </cell>
          <cell r="H509" t="str">
            <v>Luis</v>
          </cell>
          <cell r="I509" t="str">
            <v>NO PASS</v>
          </cell>
          <cell r="J509" t="str">
            <v>SPR8</v>
          </cell>
          <cell r="K509" t="str">
            <v>720-3</v>
          </cell>
          <cell r="L509">
            <v>12</v>
          </cell>
          <cell r="M509" t="str">
            <v>2nd Turno</v>
          </cell>
        </row>
        <row r="510">
          <cell r="A510">
            <v>20230507</v>
          </cell>
          <cell r="B510">
            <v>44950</v>
          </cell>
          <cell r="C510" t="str">
            <v>A020R622B</v>
          </cell>
          <cell r="D510" t="str">
            <v>N/A</v>
          </cell>
          <cell r="E510" t="str">
            <v>OVALIDAD</v>
          </cell>
          <cell r="F510" t="str">
            <v>EVELYN ESTUDILLO</v>
          </cell>
          <cell r="G510">
            <v>44950</v>
          </cell>
          <cell r="H510" t="str">
            <v>Luis</v>
          </cell>
          <cell r="I510" t="str">
            <v>NO PASS</v>
          </cell>
          <cell r="J510" t="str">
            <v>SPR8</v>
          </cell>
          <cell r="K510" t="str">
            <v>720-6</v>
          </cell>
          <cell r="L510">
            <v>12</v>
          </cell>
          <cell r="M510" t="str">
            <v>2nd Turno</v>
          </cell>
        </row>
        <row r="511">
          <cell r="A511">
            <v>20230508</v>
          </cell>
          <cell r="B511">
            <v>44950</v>
          </cell>
          <cell r="C511" t="str">
            <v>34296438C</v>
          </cell>
          <cell r="D511" t="str">
            <v>N/A</v>
          </cell>
          <cell r="E511" t="str">
            <v>CONCENTRICIDAD</v>
          </cell>
          <cell r="F511" t="str">
            <v>Augusto Rdz</v>
          </cell>
          <cell r="G511">
            <v>44950</v>
          </cell>
          <cell r="H511" t="str">
            <v>JOSE</v>
          </cell>
          <cell r="I511" t="str">
            <v>PASS</v>
          </cell>
          <cell r="J511" t="str">
            <v>SPR8</v>
          </cell>
          <cell r="K511" t="str">
            <v>720-1</v>
          </cell>
          <cell r="L511">
            <v>12</v>
          </cell>
          <cell r="M511" t="str">
            <v>CONCENTRICIDAD</v>
          </cell>
        </row>
        <row r="512">
          <cell r="A512">
            <v>20230509</v>
          </cell>
          <cell r="B512">
            <v>44950</v>
          </cell>
          <cell r="C512" t="str">
            <v>34296438C</v>
          </cell>
          <cell r="D512" t="str">
            <v>N/A</v>
          </cell>
          <cell r="E512" t="str">
            <v>OVALIDAD</v>
          </cell>
          <cell r="F512" t="str">
            <v>Augusto Rdz</v>
          </cell>
          <cell r="G512">
            <v>44950</v>
          </cell>
          <cell r="H512" t="str">
            <v>JOSE</v>
          </cell>
          <cell r="I512" t="str">
            <v>PASS</v>
          </cell>
          <cell r="J512" t="str">
            <v>SPR8</v>
          </cell>
          <cell r="K512" t="str">
            <v>720-1</v>
          </cell>
          <cell r="L512">
            <v>12</v>
          </cell>
          <cell r="M512" t="str">
            <v>OVALIDAD</v>
          </cell>
        </row>
        <row r="513">
          <cell r="A513">
            <v>20230510</v>
          </cell>
          <cell r="B513">
            <v>44950</v>
          </cell>
          <cell r="C513" t="str">
            <v>34301470D</v>
          </cell>
          <cell r="D513" t="str">
            <v>N/A</v>
          </cell>
          <cell r="E513" t="str">
            <v>CONCENTRICIDAD</v>
          </cell>
          <cell r="F513" t="str">
            <v>Augusto Rdz</v>
          </cell>
          <cell r="G513">
            <v>44950</v>
          </cell>
          <cell r="H513" t="str">
            <v>JOSE</v>
          </cell>
          <cell r="I513" t="str">
            <v>PASS</v>
          </cell>
          <cell r="J513" t="str">
            <v>SPR8</v>
          </cell>
          <cell r="K513" t="str">
            <v>720-2</v>
          </cell>
          <cell r="L513">
            <v>12</v>
          </cell>
          <cell r="M513" t="str">
            <v>CONCENTRICIDAD</v>
          </cell>
        </row>
        <row r="514">
          <cell r="A514">
            <v>20230511</v>
          </cell>
          <cell r="B514">
            <v>44950</v>
          </cell>
          <cell r="C514" t="str">
            <v>34301470D</v>
          </cell>
          <cell r="D514" t="str">
            <v>N/A</v>
          </cell>
          <cell r="E514" t="str">
            <v>OVALIDAD</v>
          </cell>
          <cell r="F514" t="str">
            <v>Augusto Rdz</v>
          </cell>
          <cell r="G514">
            <v>44950</v>
          </cell>
          <cell r="H514" t="str">
            <v>JOSE</v>
          </cell>
          <cell r="I514" t="str">
            <v>PASS</v>
          </cell>
          <cell r="J514" t="str">
            <v>SPR8</v>
          </cell>
          <cell r="K514" t="str">
            <v>720-2</v>
          </cell>
          <cell r="L514">
            <v>12</v>
          </cell>
          <cell r="M514" t="str">
            <v>OVALIDAD</v>
          </cell>
        </row>
        <row r="515">
          <cell r="A515">
            <v>20230512</v>
          </cell>
          <cell r="B515">
            <v>44950</v>
          </cell>
          <cell r="C515" t="str">
            <v>34309474B</v>
          </cell>
          <cell r="D515" t="str">
            <v>N/A</v>
          </cell>
          <cell r="E515" t="str">
            <v>CONCENTRICIDAD</v>
          </cell>
          <cell r="F515" t="str">
            <v>Augusto Rdz</v>
          </cell>
          <cell r="G515">
            <v>44950</v>
          </cell>
          <cell r="H515" t="str">
            <v>JOSE</v>
          </cell>
          <cell r="I515" t="str">
            <v>PASS</v>
          </cell>
          <cell r="J515" t="str">
            <v>SPR8</v>
          </cell>
          <cell r="K515" t="str">
            <v>720-4</v>
          </cell>
          <cell r="L515">
            <v>12</v>
          </cell>
          <cell r="M515" t="str">
            <v>CONCENTRICIDAD</v>
          </cell>
        </row>
        <row r="516">
          <cell r="A516">
            <v>20230513</v>
          </cell>
          <cell r="B516">
            <v>44950</v>
          </cell>
          <cell r="C516" t="str">
            <v>34309474B</v>
          </cell>
          <cell r="D516" t="str">
            <v>N/A</v>
          </cell>
          <cell r="E516" t="str">
            <v>OVALIDAD</v>
          </cell>
          <cell r="F516" t="str">
            <v>Augusto Rdz</v>
          </cell>
          <cell r="G516">
            <v>44950</v>
          </cell>
          <cell r="H516" t="str">
            <v>JOSE</v>
          </cell>
          <cell r="I516" t="str">
            <v>PASS</v>
          </cell>
          <cell r="J516" t="str">
            <v>SPR8</v>
          </cell>
          <cell r="K516" t="str">
            <v>720-4</v>
          </cell>
          <cell r="L516">
            <v>12</v>
          </cell>
          <cell r="M516" t="str">
            <v>OVALIDAD</v>
          </cell>
        </row>
        <row r="517">
          <cell r="A517">
            <v>20230514</v>
          </cell>
          <cell r="B517">
            <v>44950</v>
          </cell>
          <cell r="C517" t="str">
            <v>34235234G</v>
          </cell>
          <cell r="D517" t="str">
            <v>N/A</v>
          </cell>
          <cell r="E517" t="str">
            <v>CONCENTRICIDAD</v>
          </cell>
          <cell r="F517" t="str">
            <v>Augusto Rdz</v>
          </cell>
          <cell r="G517">
            <v>44950</v>
          </cell>
          <cell r="H517" t="str">
            <v>JOSE</v>
          </cell>
          <cell r="I517" t="str">
            <v>PASS</v>
          </cell>
          <cell r="J517" t="str">
            <v>SPR8</v>
          </cell>
          <cell r="K517" t="str">
            <v>720-5</v>
          </cell>
          <cell r="L517">
            <v>12</v>
          </cell>
          <cell r="M517" t="str">
            <v>CONCENTRICIDAD</v>
          </cell>
        </row>
        <row r="518">
          <cell r="A518">
            <v>20230515</v>
          </cell>
          <cell r="B518">
            <v>44950</v>
          </cell>
          <cell r="C518" t="str">
            <v>34235234G</v>
          </cell>
          <cell r="D518" t="str">
            <v>N/A</v>
          </cell>
          <cell r="E518" t="str">
            <v>OVALIDAD</v>
          </cell>
          <cell r="F518" t="str">
            <v>Augusto Rdz</v>
          </cell>
          <cell r="G518">
            <v>44950</v>
          </cell>
          <cell r="H518" t="str">
            <v>JOSE</v>
          </cell>
          <cell r="I518" t="str">
            <v>PASS</v>
          </cell>
          <cell r="J518" t="str">
            <v>SPR8</v>
          </cell>
          <cell r="K518" t="str">
            <v>720-5</v>
          </cell>
          <cell r="L518">
            <v>12</v>
          </cell>
          <cell r="M518" t="str">
            <v>OVALIDAD</v>
          </cell>
        </row>
        <row r="519">
          <cell r="A519">
            <v>20230516</v>
          </cell>
          <cell r="B519">
            <v>44950</v>
          </cell>
          <cell r="C519" t="str">
            <v>34235231G</v>
          </cell>
          <cell r="D519" t="str">
            <v>N/A</v>
          </cell>
          <cell r="E519" t="str">
            <v>CONCENTRICIDAD</v>
          </cell>
          <cell r="F519" t="str">
            <v>Augusto Rdz</v>
          </cell>
          <cell r="G519">
            <v>44950</v>
          </cell>
          <cell r="H519" t="str">
            <v>JOSE</v>
          </cell>
          <cell r="I519" t="str">
            <v>PASS</v>
          </cell>
          <cell r="J519" t="str">
            <v>SPR8</v>
          </cell>
          <cell r="K519" t="str">
            <v>720-3</v>
          </cell>
          <cell r="L519">
            <v>6</v>
          </cell>
          <cell r="M519" t="str">
            <v>CONCENTRICIDAD</v>
          </cell>
        </row>
        <row r="520">
          <cell r="A520">
            <v>20230517</v>
          </cell>
          <cell r="B520">
            <v>44950</v>
          </cell>
          <cell r="C520" t="str">
            <v>34235231G</v>
          </cell>
          <cell r="D520" t="str">
            <v>N/A</v>
          </cell>
          <cell r="E520" t="str">
            <v>OVALIDAD</v>
          </cell>
          <cell r="F520" t="str">
            <v>Augusto Rdz</v>
          </cell>
          <cell r="G520">
            <v>44950</v>
          </cell>
          <cell r="H520" t="str">
            <v>JOSE</v>
          </cell>
          <cell r="I520" t="str">
            <v>PASS</v>
          </cell>
          <cell r="J520" t="str">
            <v>SPR8</v>
          </cell>
          <cell r="K520" t="str">
            <v>720-3</v>
          </cell>
          <cell r="L520">
            <v>6</v>
          </cell>
          <cell r="M520" t="str">
            <v>OVALIDAD</v>
          </cell>
        </row>
        <row r="521">
          <cell r="A521">
            <v>20230518</v>
          </cell>
          <cell r="B521">
            <v>44951</v>
          </cell>
          <cell r="C521" t="str">
            <v>34270765A</v>
          </cell>
          <cell r="D521" t="str">
            <v>N/A</v>
          </cell>
          <cell r="E521" t="str">
            <v>28,44,29,31</v>
          </cell>
          <cell r="F521" t="str">
            <v>Yesenia Venegas</v>
          </cell>
          <cell r="G521">
            <v>44951</v>
          </cell>
          <cell r="H521" t="str">
            <v>Nohemi</v>
          </cell>
          <cell r="I521" t="str">
            <v>NO PASS</v>
          </cell>
          <cell r="J521" t="str">
            <v>SPR4</v>
          </cell>
          <cell r="K521" t="str">
            <v>702-9</v>
          </cell>
          <cell r="L521">
            <v>6</v>
          </cell>
          <cell r="M521" t="str">
            <v>CH34270688 A10</v>
          </cell>
        </row>
        <row r="522">
          <cell r="A522">
            <v>20230519</v>
          </cell>
          <cell r="B522">
            <v>44951</v>
          </cell>
          <cell r="C522" t="str">
            <v>34294629AGBL</v>
          </cell>
          <cell r="D522" t="str">
            <v>3S27460400</v>
          </cell>
          <cell r="E522" t="str">
            <v xml:space="preserve">Conforme al rip </v>
          </cell>
          <cell r="F522" t="str">
            <v>Nuevos programas</v>
          </cell>
          <cell r="G522">
            <v>44951</v>
          </cell>
          <cell r="H522" t="str">
            <v xml:space="preserve">Adela </v>
          </cell>
          <cell r="I522"/>
          <cell r="J522" t="str">
            <v>N/A</v>
          </cell>
          <cell r="K522" t="str">
            <v>N/A</v>
          </cell>
          <cell r="L522">
            <v>300</v>
          </cell>
          <cell r="M522" t="str">
            <v>N/A</v>
          </cell>
        </row>
        <row r="523">
          <cell r="A523">
            <v>20230520</v>
          </cell>
          <cell r="B523">
            <v>44951</v>
          </cell>
          <cell r="C523" t="str">
            <v>34294628AGBL</v>
          </cell>
          <cell r="D523" t="str">
            <v>3S27460400</v>
          </cell>
          <cell r="E523" t="str">
            <v xml:space="preserve">Conforme al rip </v>
          </cell>
          <cell r="F523" t="str">
            <v>Nuevos programas</v>
          </cell>
          <cell r="G523">
            <v>44951</v>
          </cell>
          <cell r="H523" t="str">
            <v xml:space="preserve">Adela </v>
          </cell>
          <cell r="I523"/>
          <cell r="J523" t="str">
            <v>N/A</v>
          </cell>
          <cell r="K523" t="str">
            <v>N/A</v>
          </cell>
          <cell r="L523">
            <v>300</v>
          </cell>
          <cell r="M523" t="str">
            <v>N/A</v>
          </cell>
        </row>
        <row r="524">
          <cell r="A524">
            <v>20230521</v>
          </cell>
          <cell r="B524">
            <v>44951</v>
          </cell>
          <cell r="C524" t="str">
            <v>GAGE</v>
          </cell>
          <cell r="D524" t="str">
            <v>N/A</v>
          </cell>
          <cell r="E524" t="str">
            <v>HRC &amp; DIAMETRO</v>
          </cell>
          <cell r="F524" t="str">
            <v>MANUEL ITUARTE</v>
          </cell>
          <cell r="G524">
            <v>44951</v>
          </cell>
          <cell r="H524" t="str">
            <v>MAURICIO</v>
          </cell>
          <cell r="I524" t="str">
            <v>NO PASS</v>
          </cell>
          <cell r="J524" t="str">
            <v>N/A</v>
          </cell>
          <cell r="K524" t="str">
            <v>N/A</v>
          </cell>
          <cell r="L524">
            <v>8</v>
          </cell>
          <cell r="M524" t="str">
            <v>PLANO MARCADO</v>
          </cell>
        </row>
        <row r="525">
          <cell r="A525">
            <v>20230522</v>
          </cell>
          <cell r="B525">
            <v>44951</v>
          </cell>
          <cell r="C525" t="str">
            <v>34321558A</v>
          </cell>
          <cell r="D525" t="str">
            <v>054182</v>
          </cell>
          <cell r="E525">
            <v>6</v>
          </cell>
          <cell r="F525" t="str">
            <v>Maria Sustaita</v>
          </cell>
          <cell r="G525">
            <v>44951</v>
          </cell>
          <cell r="H525" t="str">
            <v>Nohemi</v>
          </cell>
          <cell r="I525" t="str">
            <v>PASS</v>
          </cell>
          <cell r="J525" t="str">
            <v>N/A</v>
          </cell>
          <cell r="K525" t="str">
            <v>N/A</v>
          </cell>
          <cell r="L525">
            <v>5</v>
          </cell>
          <cell r="M525" t="str">
            <v>CH34322049 A00</v>
          </cell>
        </row>
        <row r="526">
          <cell r="A526">
            <v>20230523</v>
          </cell>
          <cell r="B526">
            <v>44951</v>
          </cell>
          <cell r="C526" t="str">
            <v>34325448A</v>
          </cell>
          <cell r="D526" t="str">
            <v>N/A</v>
          </cell>
          <cell r="E526" t="str">
            <v>26 22 25 26</v>
          </cell>
          <cell r="F526" t="str">
            <v>Yesenia Venegas</v>
          </cell>
          <cell r="G526">
            <v>44951</v>
          </cell>
          <cell r="H526" t="str">
            <v>MAURICIO</v>
          </cell>
          <cell r="I526" t="str">
            <v>PASS</v>
          </cell>
          <cell r="J526" t="str">
            <v>U-55X</v>
          </cell>
          <cell r="K526" t="str">
            <v>713-B</v>
          </cell>
          <cell r="L526">
            <v>2</v>
          </cell>
          <cell r="M526" t="str">
            <v>A0034F4234A</v>
          </cell>
        </row>
        <row r="527">
          <cell r="A527">
            <v>20230524</v>
          </cell>
          <cell r="B527">
            <v>44951</v>
          </cell>
          <cell r="C527" t="str">
            <v>34327673B</v>
          </cell>
          <cell r="D527" t="str">
            <v>N/A</v>
          </cell>
          <cell r="E527" t="str">
            <v>CONCENTRICIDAD</v>
          </cell>
          <cell r="F527" t="str">
            <v>EVELYN ESTUDILLO</v>
          </cell>
          <cell r="G527">
            <v>44951</v>
          </cell>
          <cell r="H527" t="str">
            <v>MAURICIO</v>
          </cell>
          <cell r="I527" t="str">
            <v>PASS</v>
          </cell>
          <cell r="J527" t="str">
            <v>SPR8</v>
          </cell>
          <cell r="K527" t="str">
            <v>720-5</v>
          </cell>
          <cell r="L527">
            <v>12</v>
          </cell>
          <cell r="M527" t="str">
            <v>CONCENTRICIDAD</v>
          </cell>
        </row>
        <row r="528">
          <cell r="A528">
            <v>20230525</v>
          </cell>
          <cell r="B528">
            <v>44951</v>
          </cell>
          <cell r="C528" t="str">
            <v>34324759E</v>
          </cell>
          <cell r="D528" t="str">
            <v>N/A</v>
          </cell>
          <cell r="E528" t="str">
            <v>CONCENTRICIDAD</v>
          </cell>
          <cell r="F528" t="str">
            <v>EVELYN ESTUDILLO</v>
          </cell>
          <cell r="G528">
            <v>44951</v>
          </cell>
          <cell r="H528" t="str">
            <v>MAURICIO</v>
          </cell>
          <cell r="I528" t="str">
            <v>PASS</v>
          </cell>
          <cell r="J528" t="str">
            <v>SPR8</v>
          </cell>
          <cell r="K528" t="str">
            <v>720-1</v>
          </cell>
          <cell r="L528">
            <v>12</v>
          </cell>
          <cell r="M528" t="str">
            <v>CONCENTRICIDAD</v>
          </cell>
        </row>
        <row r="529">
          <cell r="A529">
            <v>20230526</v>
          </cell>
          <cell r="B529">
            <v>44951</v>
          </cell>
          <cell r="C529" t="str">
            <v>34361270A</v>
          </cell>
          <cell r="D529" t="str">
            <v>N/A</v>
          </cell>
          <cell r="E529" t="str">
            <v>CONCENTRICIDAD</v>
          </cell>
          <cell r="F529" t="str">
            <v>EVELYN ESTUDILLO</v>
          </cell>
          <cell r="G529">
            <v>44951</v>
          </cell>
          <cell r="H529" t="str">
            <v>MAURICIO</v>
          </cell>
          <cell r="I529" t="str">
            <v>PASS</v>
          </cell>
          <cell r="J529" t="str">
            <v>SPR8</v>
          </cell>
          <cell r="K529" t="str">
            <v>720-4</v>
          </cell>
          <cell r="L529">
            <v>12</v>
          </cell>
          <cell r="M529" t="str">
            <v>CONCENTRICIDAD</v>
          </cell>
        </row>
        <row r="530">
          <cell r="A530">
            <v>20230527</v>
          </cell>
          <cell r="B530">
            <v>44951</v>
          </cell>
          <cell r="C530" t="str">
            <v>34235234G</v>
          </cell>
          <cell r="D530" t="str">
            <v>N/A</v>
          </cell>
          <cell r="E530" t="str">
            <v>CONCENTRICIDAD</v>
          </cell>
          <cell r="F530" t="str">
            <v>EVELYN ESTUDILLO</v>
          </cell>
          <cell r="G530">
            <v>44951</v>
          </cell>
          <cell r="H530" t="str">
            <v>MAURICIO</v>
          </cell>
          <cell r="I530" t="str">
            <v>PASS</v>
          </cell>
          <cell r="J530" t="str">
            <v>SPR8</v>
          </cell>
          <cell r="K530" t="str">
            <v>720-2</v>
          </cell>
          <cell r="L530">
            <v>12</v>
          </cell>
          <cell r="M530" t="str">
            <v>CONCENTRICIDAD</v>
          </cell>
        </row>
        <row r="531">
          <cell r="A531">
            <v>20230528</v>
          </cell>
          <cell r="B531">
            <v>44951</v>
          </cell>
          <cell r="C531" t="str">
            <v>34362794B</v>
          </cell>
          <cell r="D531" t="str">
            <v>N/A</v>
          </cell>
          <cell r="E531" t="str">
            <v xml:space="preserve"> DLN CONCENTRICIDAD</v>
          </cell>
          <cell r="F531" t="str">
            <v>EVELYN ESTUDILLO</v>
          </cell>
          <cell r="G531">
            <v>44951</v>
          </cell>
          <cell r="H531" t="str">
            <v>MAURICIO</v>
          </cell>
          <cell r="I531" t="str">
            <v>PASS</v>
          </cell>
          <cell r="J531" t="str">
            <v>SPR8</v>
          </cell>
          <cell r="K531" t="str">
            <v>720-5</v>
          </cell>
          <cell r="L531">
            <v>12</v>
          </cell>
          <cell r="M531" t="str">
            <v xml:space="preserve"> DLN CONCENTRICIDAD</v>
          </cell>
        </row>
        <row r="532">
          <cell r="A532">
            <v>20230529</v>
          </cell>
          <cell r="B532">
            <v>44951</v>
          </cell>
          <cell r="C532" t="str">
            <v>34327673B</v>
          </cell>
          <cell r="D532" t="str">
            <v>N/A</v>
          </cell>
          <cell r="E532" t="str">
            <v>OVALIDAD</v>
          </cell>
          <cell r="F532" t="str">
            <v>EVELYN ESTUDILLO</v>
          </cell>
          <cell r="G532">
            <v>44951</v>
          </cell>
          <cell r="H532" t="str">
            <v>MAURICIO</v>
          </cell>
          <cell r="I532" t="str">
            <v>PASS</v>
          </cell>
          <cell r="J532" t="str">
            <v>SPR8</v>
          </cell>
          <cell r="K532" t="str">
            <v>720-5</v>
          </cell>
          <cell r="L532">
            <v>12</v>
          </cell>
          <cell r="M532" t="str">
            <v>OVALIDAD</v>
          </cell>
        </row>
        <row r="533">
          <cell r="A533">
            <v>20230530</v>
          </cell>
          <cell r="B533">
            <v>44951</v>
          </cell>
          <cell r="C533" t="str">
            <v>34324759E</v>
          </cell>
          <cell r="D533" t="str">
            <v>N/A</v>
          </cell>
          <cell r="E533" t="str">
            <v>OVALIDAD</v>
          </cell>
          <cell r="F533" t="str">
            <v>EVELYN ESTUDILLO</v>
          </cell>
          <cell r="G533">
            <v>44951</v>
          </cell>
          <cell r="H533" t="str">
            <v>MAURICIO</v>
          </cell>
          <cell r="I533" t="str">
            <v>PASS</v>
          </cell>
          <cell r="J533" t="str">
            <v>SPR8</v>
          </cell>
          <cell r="K533" t="str">
            <v>720-1</v>
          </cell>
          <cell r="L533">
            <v>12</v>
          </cell>
          <cell r="M533" t="str">
            <v>OVALIDAD</v>
          </cell>
        </row>
        <row r="534">
          <cell r="A534">
            <v>20230531</v>
          </cell>
          <cell r="B534">
            <v>44951</v>
          </cell>
          <cell r="C534" t="str">
            <v>34361270A</v>
          </cell>
          <cell r="D534" t="str">
            <v>N/A</v>
          </cell>
          <cell r="E534" t="str">
            <v>OVALIDAD</v>
          </cell>
          <cell r="F534" t="str">
            <v>EVELYN ESTUDILLO</v>
          </cell>
          <cell r="G534">
            <v>44951</v>
          </cell>
          <cell r="H534" t="str">
            <v>MAURICIO</v>
          </cell>
          <cell r="I534" t="str">
            <v>PASS</v>
          </cell>
          <cell r="J534" t="str">
            <v>SPR8</v>
          </cell>
          <cell r="K534" t="str">
            <v>720-4</v>
          </cell>
          <cell r="L534">
            <v>12</v>
          </cell>
          <cell r="M534" t="str">
            <v>OVALIDAD</v>
          </cell>
        </row>
        <row r="535">
          <cell r="A535">
            <v>20230532</v>
          </cell>
          <cell r="B535">
            <v>44951</v>
          </cell>
          <cell r="C535" t="str">
            <v>34235234G</v>
          </cell>
          <cell r="D535" t="str">
            <v>N/A</v>
          </cell>
          <cell r="E535" t="str">
            <v>OVALIDAD</v>
          </cell>
          <cell r="F535" t="str">
            <v>EVELYN ESTUDILLO</v>
          </cell>
          <cell r="G535">
            <v>44951</v>
          </cell>
          <cell r="H535" t="str">
            <v>MAURICIO</v>
          </cell>
          <cell r="I535" t="str">
            <v>PASS</v>
          </cell>
          <cell r="J535" t="str">
            <v>SPR8</v>
          </cell>
          <cell r="K535" t="str">
            <v>720-2</v>
          </cell>
          <cell r="L535">
            <v>12</v>
          </cell>
          <cell r="M535" t="str">
            <v>OVALIDAD</v>
          </cell>
        </row>
        <row r="536">
          <cell r="A536">
            <v>20230533</v>
          </cell>
          <cell r="B536">
            <v>44951</v>
          </cell>
          <cell r="C536" t="str">
            <v>34362794B</v>
          </cell>
          <cell r="D536" t="str">
            <v>N/A</v>
          </cell>
          <cell r="E536" t="str">
            <v xml:space="preserve"> DLN OVALIDAD</v>
          </cell>
          <cell r="F536" t="str">
            <v>EVELYN ESTUDILLO</v>
          </cell>
          <cell r="G536">
            <v>44951</v>
          </cell>
          <cell r="H536" t="str">
            <v>MAURICIO</v>
          </cell>
          <cell r="I536" t="str">
            <v>PASS</v>
          </cell>
          <cell r="J536" t="str">
            <v>SPR8</v>
          </cell>
          <cell r="K536" t="str">
            <v>720-5</v>
          </cell>
          <cell r="L536">
            <v>12</v>
          </cell>
          <cell r="M536" t="str">
            <v xml:space="preserve"> DLN OVALIDAD</v>
          </cell>
        </row>
        <row r="537">
          <cell r="A537">
            <v>20230534</v>
          </cell>
          <cell r="B537">
            <v>44951</v>
          </cell>
          <cell r="C537" t="str">
            <v>A020R622B</v>
          </cell>
          <cell r="D537" t="str">
            <v>N/A</v>
          </cell>
          <cell r="E537" t="str">
            <v>CONCENTRICIDAD</v>
          </cell>
          <cell r="F537" t="str">
            <v>EVELYN ESTUDILLO</v>
          </cell>
          <cell r="G537">
            <v>44951</v>
          </cell>
          <cell r="H537" t="str">
            <v>MAURICIO</v>
          </cell>
          <cell r="I537" t="str">
            <v>PASS</v>
          </cell>
          <cell r="J537" t="str">
            <v>SPR8</v>
          </cell>
          <cell r="K537" t="str">
            <v>720-6</v>
          </cell>
          <cell r="L537">
            <v>12</v>
          </cell>
          <cell r="M537" t="str">
            <v>CONCENTRICIDAD</v>
          </cell>
        </row>
        <row r="538">
          <cell r="A538">
            <v>20230535</v>
          </cell>
          <cell r="B538">
            <v>44951</v>
          </cell>
          <cell r="C538" t="str">
            <v>A020R622B</v>
          </cell>
          <cell r="D538" t="str">
            <v>N/A</v>
          </cell>
          <cell r="E538" t="str">
            <v>OVALIDAD</v>
          </cell>
          <cell r="F538" t="str">
            <v>EVELYN ESTUDILLO</v>
          </cell>
          <cell r="G538">
            <v>44951</v>
          </cell>
          <cell r="H538" t="str">
            <v>MAURICIO</v>
          </cell>
          <cell r="I538" t="str">
            <v>PASS</v>
          </cell>
          <cell r="J538" t="str">
            <v>SPR8</v>
          </cell>
          <cell r="K538" t="str">
            <v>720-6</v>
          </cell>
          <cell r="L538">
            <v>12</v>
          </cell>
          <cell r="M538" t="str">
            <v>OVALIDAD</v>
          </cell>
        </row>
        <row r="539">
          <cell r="A539">
            <v>20230536</v>
          </cell>
          <cell r="B539">
            <v>44951</v>
          </cell>
          <cell r="C539" t="str">
            <v>34235232G</v>
          </cell>
          <cell r="D539" t="str">
            <v>N/A</v>
          </cell>
          <cell r="E539" t="str">
            <v>CONCENTRICIDAD</v>
          </cell>
          <cell r="F539" t="str">
            <v>EVELYN ESTUDILLO</v>
          </cell>
          <cell r="G539">
            <v>44951</v>
          </cell>
          <cell r="H539" t="str">
            <v>Luis</v>
          </cell>
          <cell r="I539" t="str">
            <v>PASS</v>
          </cell>
          <cell r="J539" t="str">
            <v>SPR8</v>
          </cell>
          <cell r="K539" t="str">
            <v>720-2</v>
          </cell>
          <cell r="L539">
            <v>6</v>
          </cell>
          <cell r="M539" t="str">
            <v>CONCENTRICIDAD</v>
          </cell>
        </row>
        <row r="540">
          <cell r="A540">
            <v>20230537</v>
          </cell>
          <cell r="B540">
            <v>44951</v>
          </cell>
          <cell r="C540" t="str">
            <v>34235232G</v>
          </cell>
          <cell r="D540" t="str">
            <v>N/A</v>
          </cell>
          <cell r="E540" t="str">
            <v>OVALIDAD</v>
          </cell>
          <cell r="F540" t="str">
            <v>EVELYN ESTUDILLO</v>
          </cell>
          <cell r="G540">
            <v>44951</v>
          </cell>
          <cell r="H540" t="str">
            <v>Luis</v>
          </cell>
          <cell r="I540" t="str">
            <v>PASS</v>
          </cell>
          <cell r="J540" t="str">
            <v>SPR8</v>
          </cell>
          <cell r="K540" t="str">
            <v>720-2</v>
          </cell>
          <cell r="L540">
            <v>6</v>
          </cell>
          <cell r="M540" t="str">
            <v>OVALIDAD</v>
          </cell>
        </row>
        <row r="541">
          <cell r="A541">
            <v>20230538</v>
          </cell>
          <cell r="B541">
            <v>44951</v>
          </cell>
          <cell r="C541" t="str">
            <v>34235232G</v>
          </cell>
          <cell r="D541" t="str">
            <v>N/A</v>
          </cell>
          <cell r="E541" t="str">
            <v>CONCENTRICIDAD</v>
          </cell>
          <cell r="F541" t="str">
            <v>Augusto Rdz</v>
          </cell>
          <cell r="G541">
            <v>44951</v>
          </cell>
          <cell r="H541" t="str">
            <v>Carlos</v>
          </cell>
          <cell r="I541" t="str">
            <v>PASS</v>
          </cell>
          <cell r="J541" t="str">
            <v>SPR8</v>
          </cell>
          <cell r="K541" t="str">
            <v>720-2</v>
          </cell>
          <cell r="L541">
            <v>12</v>
          </cell>
          <cell r="M541" t="str">
            <v>CONCENTRICIDAD</v>
          </cell>
        </row>
        <row r="542">
          <cell r="A542">
            <v>20230539</v>
          </cell>
          <cell r="B542">
            <v>44951</v>
          </cell>
          <cell r="C542" t="str">
            <v>34235232G</v>
          </cell>
          <cell r="D542" t="str">
            <v>N/A</v>
          </cell>
          <cell r="E542" t="str">
            <v>OVALIDAD</v>
          </cell>
          <cell r="F542" t="str">
            <v>Augusto Rdz</v>
          </cell>
          <cell r="G542">
            <v>44951</v>
          </cell>
          <cell r="H542" t="str">
            <v>Carlos</v>
          </cell>
          <cell r="I542" t="str">
            <v>PASS</v>
          </cell>
          <cell r="J542" t="str">
            <v>SPR8</v>
          </cell>
          <cell r="K542" t="str">
            <v>720-2</v>
          </cell>
          <cell r="L542">
            <v>12</v>
          </cell>
          <cell r="M542" t="str">
            <v>OVALIDAD</v>
          </cell>
        </row>
        <row r="543">
          <cell r="A543">
            <v>20230540</v>
          </cell>
          <cell r="B543">
            <v>44951</v>
          </cell>
          <cell r="C543" t="str">
            <v>34324759E</v>
          </cell>
          <cell r="D543" t="str">
            <v>N/A</v>
          </cell>
          <cell r="E543" t="str">
            <v>CONCENTRICIDAD</v>
          </cell>
          <cell r="F543" t="str">
            <v>Augusto Rdz</v>
          </cell>
          <cell r="G543">
            <v>44951</v>
          </cell>
          <cell r="H543" t="str">
            <v>Carlos</v>
          </cell>
          <cell r="I543" t="str">
            <v>PASS</v>
          </cell>
          <cell r="J543" t="str">
            <v>SPR8</v>
          </cell>
          <cell r="K543" t="str">
            <v>720-1</v>
          </cell>
          <cell r="L543">
            <v>12</v>
          </cell>
          <cell r="M543" t="str">
            <v>CONCENTRICIDAD</v>
          </cell>
        </row>
        <row r="544">
          <cell r="A544">
            <v>20230541</v>
          </cell>
          <cell r="B544">
            <v>44951</v>
          </cell>
          <cell r="C544" t="str">
            <v>34324759E</v>
          </cell>
          <cell r="D544" t="str">
            <v>N/A</v>
          </cell>
          <cell r="E544" t="str">
            <v>OVALIDAD</v>
          </cell>
          <cell r="F544" t="str">
            <v>Augusto Rdz</v>
          </cell>
          <cell r="G544">
            <v>44951</v>
          </cell>
          <cell r="H544" t="str">
            <v>Carlos</v>
          </cell>
          <cell r="I544" t="str">
            <v>PASS</v>
          </cell>
          <cell r="J544" t="str">
            <v>SPR8</v>
          </cell>
          <cell r="K544" t="str">
            <v>720-1</v>
          </cell>
          <cell r="L544">
            <v>12</v>
          </cell>
          <cell r="M544" t="str">
            <v>OVALIDAD</v>
          </cell>
        </row>
        <row r="545">
          <cell r="A545">
            <v>20230542</v>
          </cell>
          <cell r="B545">
            <v>44951</v>
          </cell>
          <cell r="C545" t="str">
            <v>A020R620A</v>
          </cell>
          <cell r="D545" t="str">
            <v>N/A</v>
          </cell>
          <cell r="E545" t="str">
            <v>CONCENTRICIDAD</v>
          </cell>
          <cell r="F545" t="str">
            <v>Augusto Rdz</v>
          </cell>
          <cell r="G545">
            <v>44951</v>
          </cell>
          <cell r="H545" t="str">
            <v>Carlos</v>
          </cell>
          <cell r="I545" t="str">
            <v>PASS</v>
          </cell>
          <cell r="J545" t="str">
            <v>SPR8</v>
          </cell>
          <cell r="K545" t="str">
            <v>720-6</v>
          </cell>
          <cell r="L545">
            <v>12</v>
          </cell>
          <cell r="M545" t="str">
            <v>CONCENTRICIDAD</v>
          </cell>
        </row>
        <row r="546">
          <cell r="A546">
            <v>20230543</v>
          </cell>
          <cell r="B546">
            <v>44951</v>
          </cell>
          <cell r="C546" t="str">
            <v>A020R620A</v>
          </cell>
          <cell r="D546" t="str">
            <v>N/A</v>
          </cell>
          <cell r="E546" t="str">
            <v>OVALIDAD</v>
          </cell>
          <cell r="F546" t="str">
            <v>Augusto Rdz</v>
          </cell>
          <cell r="G546">
            <v>44951</v>
          </cell>
          <cell r="H546" t="str">
            <v>Carlos</v>
          </cell>
          <cell r="I546" t="str">
            <v>PASS</v>
          </cell>
          <cell r="J546" t="str">
            <v>SPR8</v>
          </cell>
          <cell r="K546" t="str">
            <v>720-6</v>
          </cell>
          <cell r="L546">
            <v>12</v>
          </cell>
          <cell r="M546" t="str">
            <v>OVALIDAD</v>
          </cell>
        </row>
        <row r="547">
          <cell r="A547">
            <v>20230544</v>
          </cell>
          <cell r="B547">
            <v>44951</v>
          </cell>
          <cell r="C547" t="str">
            <v>34309474B</v>
          </cell>
          <cell r="D547" t="str">
            <v>N/A</v>
          </cell>
          <cell r="E547" t="str">
            <v>CONCENTRICIDAD</v>
          </cell>
          <cell r="F547" t="str">
            <v>Augusto Rdz</v>
          </cell>
          <cell r="G547">
            <v>44951</v>
          </cell>
          <cell r="H547" t="str">
            <v>Carlos</v>
          </cell>
          <cell r="I547" t="str">
            <v>PASS</v>
          </cell>
          <cell r="J547" t="str">
            <v>SPR8</v>
          </cell>
          <cell r="K547" t="str">
            <v>720-4</v>
          </cell>
          <cell r="L547">
            <v>12</v>
          </cell>
          <cell r="M547" t="str">
            <v>CONCENTRICIDAD</v>
          </cell>
        </row>
        <row r="548">
          <cell r="A548">
            <v>20230545</v>
          </cell>
          <cell r="B548">
            <v>44951</v>
          </cell>
          <cell r="C548" t="str">
            <v>34309474B</v>
          </cell>
          <cell r="D548" t="str">
            <v>N/A</v>
          </cell>
          <cell r="E548" t="str">
            <v>OVALIDAD</v>
          </cell>
          <cell r="F548" t="str">
            <v>Augusto Rdz</v>
          </cell>
          <cell r="G548">
            <v>44951</v>
          </cell>
          <cell r="H548" t="str">
            <v>Carlos</v>
          </cell>
          <cell r="I548" t="str">
            <v>PASS</v>
          </cell>
          <cell r="J548" t="str">
            <v>SPR8</v>
          </cell>
          <cell r="K548" t="str">
            <v>720-4</v>
          </cell>
          <cell r="L548">
            <v>12</v>
          </cell>
          <cell r="M548" t="str">
            <v>OVALIDAD</v>
          </cell>
        </row>
        <row r="549">
          <cell r="A549">
            <v>20230546</v>
          </cell>
          <cell r="B549">
            <v>44951</v>
          </cell>
          <cell r="C549" t="str">
            <v>34327672C</v>
          </cell>
          <cell r="D549" t="str">
            <v>N/A</v>
          </cell>
          <cell r="E549" t="str">
            <v>CONCENTRICIDAD</v>
          </cell>
          <cell r="F549" t="str">
            <v>Augusto Rdz</v>
          </cell>
          <cell r="G549">
            <v>44951</v>
          </cell>
          <cell r="H549" t="str">
            <v>Carlos</v>
          </cell>
          <cell r="I549" t="str">
            <v>PASS</v>
          </cell>
          <cell r="J549" t="str">
            <v>SPR8</v>
          </cell>
          <cell r="K549" t="str">
            <v>720-5</v>
          </cell>
          <cell r="L549">
            <v>12</v>
          </cell>
          <cell r="M549" t="str">
            <v>CONCENTRICIDAD</v>
          </cell>
        </row>
        <row r="550">
          <cell r="A550">
            <v>20230547</v>
          </cell>
          <cell r="B550">
            <v>44951</v>
          </cell>
          <cell r="C550" t="str">
            <v>34327672C</v>
          </cell>
          <cell r="D550" t="str">
            <v>N/A</v>
          </cell>
          <cell r="E550" t="str">
            <v>OVALIDAD</v>
          </cell>
          <cell r="F550" t="str">
            <v>Augusto Rdz</v>
          </cell>
          <cell r="G550">
            <v>44951</v>
          </cell>
          <cell r="H550" t="str">
            <v>Carlos</v>
          </cell>
          <cell r="I550" t="str">
            <v>PASS</v>
          </cell>
          <cell r="J550" t="str">
            <v>SPR8</v>
          </cell>
          <cell r="K550" t="str">
            <v>720-5</v>
          </cell>
          <cell r="L550">
            <v>12</v>
          </cell>
          <cell r="M550" t="str">
            <v>OVALIDAD</v>
          </cell>
        </row>
        <row r="551">
          <cell r="A551">
            <v>20230548</v>
          </cell>
          <cell r="B551">
            <v>44951</v>
          </cell>
          <cell r="C551" t="str">
            <v>34235231G</v>
          </cell>
          <cell r="D551" t="str">
            <v>N/A</v>
          </cell>
          <cell r="E551" t="str">
            <v>CONCENTRICIDAD</v>
          </cell>
          <cell r="F551" t="str">
            <v>Augusto Rdz</v>
          </cell>
          <cell r="G551">
            <v>44951</v>
          </cell>
          <cell r="H551" t="str">
            <v>JOSE</v>
          </cell>
          <cell r="I551" t="str">
            <v>PASS</v>
          </cell>
          <cell r="J551" t="str">
            <v>SPR8</v>
          </cell>
          <cell r="K551" t="str">
            <v>720-3</v>
          </cell>
          <cell r="L551">
            <v>12</v>
          </cell>
          <cell r="M551" t="str">
            <v>CONCENTRICIDAD</v>
          </cell>
        </row>
        <row r="552">
          <cell r="A552">
            <v>20230549</v>
          </cell>
          <cell r="B552">
            <v>44951</v>
          </cell>
          <cell r="C552" t="str">
            <v>34235231G</v>
          </cell>
          <cell r="D552" t="str">
            <v>N/A</v>
          </cell>
          <cell r="E552" t="str">
            <v>OVALIDAD</v>
          </cell>
          <cell r="F552" t="str">
            <v>Augusto Rdz</v>
          </cell>
          <cell r="G552">
            <v>44951</v>
          </cell>
          <cell r="H552" t="str">
            <v>JOSE</v>
          </cell>
          <cell r="I552" t="str">
            <v>PASS</v>
          </cell>
          <cell r="J552" t="str">
            <v>SPR8</v>
          </cell>
          <cell r="K552" t="str">
            <v>720-3</v>
          </cell>
          <cell r="L552">
            <v>12</v>
          </cell>
          <cell r="M552" t="str">
            <v>OVALIDAD</v>
          </cell>
        </row>
        <row r="553">
          <cell r="A553">
            <v>20230550</v>
          </cell>
          <cell r="B553">
            <v>44952</v>
          </cell>
          <cell r="C553" t="str">
            <v>34362795B</v>
          </cell>
          <cell r="D553" t="str">
            <v>N/A</v>
          </cell>
          <cell r="E553" t="str">
            <v>CONCENTRICIDAD</v>
          </cell>
          <cell r="F553" t="str">
            <v>Laura Castillo</v>
          </cell>
          <cell r="G553">
            <v>44952</v>
          </cell>
          <cell r="H553" t="str">
            <v>Nohemi</v>
          </cell>
          <cell r="I553" t="str">
            <v>PASS</v>
          </cell>
          <cell r="J553" t="str">
            <v>SPR8</v>
          </cell>
          <cell r="K553" t="str">
            <v>720-5</v>
          </cell>
          <cell r="L553">
            <v>6</v>
          </cell>
          <cell r="M553" t="str">
            <v>CONCENTRICIDAD</v>
          </cell>
        </row>
        <row r="554">
          <cell r="A554">
            <v>20230551</v>
          </cell>
          <cell r="B554">
            <v>44952</v>
          </cell>
          <cell r="C554" t="str">
            <v>34362795B</v>
          </cell>
          <cell r="D554" t="str">
            <v>N/A</v>
          </cell>
          <cell r="E554" t="str">
            <v>OVALIDAD</v>
          </cell>
          <cell r="F554" t="str">
            <v>Laura Castillo</v>
          </cell>
          <cell r="G554">
            <v>44952</v>
          </cell>
          <cell r="H554" t="str">
            <v>Nohemi</v>
          </cell>
          <cell r="I554" t="str">
            <v>PASS</v>
          </cell>
          <cell r="J554" t="str">
            <v>SPR8</v>
          </cell>
          <cell r="K554" t="str">
            <v>720-5</v>
          </cell>
          <cell r="L554">
            <v>6</v>
          </cell>
          <cell r="M554" t="str">
            <v>OVALIDAD</v>
          </cell>
        </row>
        <row r="555">
          <cell r="A555">
            <v>20230552</v>
          </cell>
          <cell r="B555">
            <v>44952</v>
          </cell>
          <cell r="C555" t="str">
            <v>34365049C</v>
          </cell>
          <cell r="D555" t="str">
            <v>N/A</v>
          </cell>
          <cell r="E555" t="str">
            <v>8,9,10,11,Z,12,18,19,20</v>
          </cell>
          <cell r="F555" t="str">
            <v>Laura Castillo</v>
          </cell>
          <cell r="G555">
            <v>44952</v>
          </cell>
          <cell r="H555" t="str">
            <v>Nohemi</v>
          </cell>
          <cell r="I555" t="str">
            <v>NO PASS</v>
          </cell>
          <cell r="J555" t="str">
            <v>TESLA</v>
          </cell>
          <cell r="K555" t="str">
            <v>720-5</v>
          </cell>
          <cell r="L555">
            <v>4</v>
          </cell>
          <cell r="M555" t="str">
            <v>A0034A8993A-F</v>
          </cell>
        </row>
        <row r="556">
          <cell r="A556">
            <v>20230553</v>
          </cell>
          <cell r="B556">
            <v>44952</v>
          </cell>
          <cell r="C556" t="str">
            <v>34149989C</v>
          </cell>
          <cell r="D556" t="str">
            <v>N/A</v>
          </cell>
          <cell r="E556">
            <v>146147366</v>
          </cell>
          <cell r="F556" t="str">
            <v>LILIANA VARELA</v>
          </cell>
          <cell r="G556">
            <v>44956</v>
          </cell>
          <cell r="H556" t="str">
            <v>MAURICIO</v>
          </cell>
          <cell r="I556" t="str">
            <v>NO PASS</v>
          </cell>
          <cell r="J556" t="str">
            <v>N/A</v>
          </cell>
          <cell r="K556">
            <v>604</v>
          </cell>
          <cell r="L556">
            <v>4</v>
          </cell>
          <cell r="M556" t="str">
            <v>CH34180551 A14</v>
          </cell>
        </row>
        <row r="557">
          <cell r="A557">
            <v>20230554</v>
          </cell>
          <cell r="B557">
            <v>44952</v>
          </cell>
          <cell r="C557" t="str">
            <v>34100151D</v>
          </cell>
          <cell r="D557" t="str">
            <v>N/A</v>
          </cell>
          <cell r="E557">
            <v>146147</v>
          </cell>
          <cell r="F557" t="str">
            <v>LILIANA VARELA</v>
          </cell>
          <cell r="G557">
            <v>44953</v>
          </cell>
          <cell r="H557" t="str">
            <v>MAURICIO</v>
          </cell>
          <cell r="I557" t="str">
            <v>NO PASS</v>
          </cell>
          <cell r="J557" t="str">
            <v>N/A</v>
          </cell>
          <cell r="K557">
            <v>604</v>
          </cell>
          <cell r="L557">
            <v>5</v>
          </cell>
          <cell r="M557" t="str">
            <v>CH34180551 A14</v>
          </cell>
        </row>
        <row r="558">
          <cell r="A558">
            <v>20230555</v>
          </cell>
          <cell r="B558">
            <v>44952</v>
          </cell>
          <cell r="C558" t="str">
            <v>34149989C</v>
          </cell>
          <cell r="D558" t="str">
            <v>N/A</v>
          </cell>
          <cell r="E558">
            <v>146147</v>
          </cell>
          <cell r="F558" t="str">
            <v>LILIANA VARELA</v>
          </cell>
          <cell r="G558">
            <v>44956</v>
          </cell>
          <cell r="H558" t="str">
            <v>MAURICIO</v>
          </cell>
          <cell r="I558" t="str">
            <v>NO PASS</v>
          </cell>
          <cell r="J558" t="str">
            <v>N/A</v>
          </cell>
          <cell r="K558">
            <v>604</v>
          </cell>
          <cell r="L558">
            <v>5</v>
          </cell>
          <cell r="M558" t="str">
            <v>CH34180551 A14</v>
          </cell>
        </row>
        <row r="559">
          <cell r="A559">
            <v>20230556</v>
          </cell>
          <cell r="B559">
            <v>44952</v>
          </cell>
          <cell r="C559" t="str">
            <v>34365050C</v>
          </cell>
          <cell r="D559" t="str">
            <v>N/A</v>
          </cell>
          <cell r="E559" t="str">
            <v>8,9,10,11,Z,12,18,19,20</v>
          </cell>
          <cell r="F559" t="str">
            <v>Laura Castillo</v>
          </cell>
          <cell r="G559">
            <v>44952</v>
          </cell>
          <cell r="H559" t="str">
            <v>Nohemi</v>
          </cell>
          <cell r="I559" t="str">
            <v>NO PASS</v>
          </cell>
          <cell r="J559" t="str">
            <v>TESLA</v>
          </cell>
          <cell r="K559" t="str">
            <v>720-5</v>
          </cell>
          <cell r="L559">
            <v>4</v>
          </cell>
          <cell r="M559" t="str">
            <v>A0034A8993A-F</v>
          </cell>
        </row>
        <row r="560">
          <cell r="A560">
            <v>20230557</v>
          </cell>
          <cell r="B560">
            <v>44952</v>
          </cell>
          <cell r="C560" t="str">
            <v>34364766B</v>
          </cell>
          <cell r="D560" t="str">
            <v>N/A</v>
          </cell>
          <cell r="E560" t="str">
            <v>15,16,17,19</v>
          </cell>
          <cell r="F560" t="str">
            <v>Laura Castillo</v>
          </cell>
          <cell r="G560">
            <v>44952</v>
          </cell>
          <cell r="H560" t="str">
            <v>Nohemi</v>
          </cell>
          <cell r="I560" t="str">
            <v>NO PASS</v>
          </cell>
          <cell r="J560" t="str">
            <v>TESLA</v>
          </cell>
          <cell r="K560" t="str">
            <v>720-5</v>
          </cell>
          <cell r="L560">
            <v>2</v>
          </cell>
          <cell r="M560" t="str">
            <v>CH34259297 A14</v>
          </cell>
        </row>
        <row r="561">
          <cell r="A561">
            <v>20230558</v>
          </cell>
          <cell r="B561">
            <v>44952</v>
          </cell>
          <cell r="C561" t="str">
            <v>GAGE</v>
          </cell>
          <cell r="D561" t="str">
            <v>N/A</v>
          </cell>
          <cell r="E561" t="str">
            <v>HRC &amp; DIAMETRO</v>
          </cell>
          <cell r="F561" t="str">
            <v>MANUEL ITUARTE</v>
          </cell>
          <cell r="G561">
            <v>44952</v>
          </cell>
          <cell r="H561" t="str">
            <v>Nohemi</v>
          </cell>
          <cell r="I561" t="str">
            <v>NO PASS</v>
          </cell>
          <cell r="J561" t="str">
            <v>N/A</v>
          </cell>
          <cell r="K561" t="str">
            <v>N/A</v>
          </cell>
          <cell r="L561">
            <v>8</v>
          </cell>
          <cell r="M561" t="str">
            <v>PLANO MARCADO</v>
          </cell>
        </row>
        <row r="562">
          <cell r="A562">
            <v>20230559</v>
          </cell>
          <cell r="B562">
            <v>44952</v>
          </cell>
          <cell r="C562" t="str">
            <v>34262545E</v>
          </cell>
          <cell r="D562" t="str">
            <v>N/A</v>
          </cell>
          <cell r="E562" t="str">
            <v>CONCENTRICIDAD</v>
          </cell>
          <cell r="F562" t="str">
            <v>EVELYN ESTUDILLO</v>
          </cell>
          <cell r="G562">
            <v>44952</v>
          </cell>
          <cell r="H562" t="str">
            <v>MAURICIO</v>
          </cell>
          <cell r="I562" t="str">
            <v>PASS</v>
          </cell>
          <cell r="J562" t="str">
            <v>SPR8</v>
          </cell>
          <cell r="K562" t="str">
            <v>720-3</v>
          </cell>
          <cell r="L562">
            <v>12</v>
          </cell>
          <cell r="M562" t="str">
            <v>CONCENTRICIDAD</v>
          </cell>
        </row>
        <row r="563">
          <cell r="A563">
            <v>20230560</v>
          </cell>
          <cell r="B563">
            <v>44952</v>
          </cell>
          <cell r="C563" t="str">
            <v>34235233G</v>
          </cell>
          <cell r="D563" t="str">
            <v>N/A</v>
          </cell>
          <cell r="E563" t="str">
            <v>CONCENTRICIDAD</v>
          </cell>
          <cell r="F563" t="str">
            <v>EVELYN ESTUDILLO</v>
          </cell>
          <cell r="G563">
            <v>44952</v>
          </cell>
          <cell r="H563" t="str">
            <v>MAURICIO</v>
          </cell>
          <cell r="I563" t="str">
            <v>PASS</v>
          </cell>
          <cell r="J563" t="str">
            <v>SPR8</v>
          </cell>
          <cell r="K563" t="str">
            <v>720-5</v>
          </cell>
          <cell r="L563">
            <v>12</v>
          </cell>
          <cell r="M563" t="str">
            <v>CONCENTRICIDAD</v>
          </cell>
        </row>
        <row r="564">
          <cell r="A564">
            <v>20230561</v>
          </cell>
          <cell r="B564">
            <v>44952</v>
          </cell>
          <cell r="C564" t="str">
            <v>34306789C</v>
          </cell>
          <cell r="D564" t="str">
            <v>N/A</v>
          </cell>
          <cell r="E564" t="str">
            <v>CONCENTRICIDAD</v>
          </cell>
          <cell r="F564" t="str">
            <v>EVELYN ESTUDILLO</v>
          </cell>
          <cell r="G564">
            <v>44952</v>
          </cell>
          <cell r="H564" t="str">
            <v>MAURICIO</v>
          </cell>
          <cell r="I564" t="str">
            <v>PASS</v>
          </cell>
          <cell r="J564" t="str">
            <v>SPR8</v>
          </cell>
          <cell r="K564" t="str">
            <v>720-2</v>
          </cell>
          <cell r="L564">
            <v>12</v>
          </cell>
          <cell r="M564" t="str">
            <v>CONCENTRICIDAD</v>
          </cell>
        </row>
        <row r="565">
          <cell r="A565">
            <v>20230562</v>
          </cell>
          <cell r="B565">
            <v>44952</v>
          </cell>
          <cell r="C565" t="str">
            <v>34361270A</v>
          </cell>
          <cell r="D565" t="str">
            <v>N/A</v>
          </cell>
          <cell r="E565" t="str">
            <v>CONCENTRICIDAD</v>
          </cell>
          <cell r="F565" t="str">
            <v>EVELYN ESTUDILLO</v>
          </cell>
          <cell r="G565">
            <v>44952</v>
          </cell>
          <cell r="H565" t="str">
            <v>MAURICIO</v>
          </cell>
          <cell r="I565" t="str">
            <v>PASS</v>
          </cell>
          <cell r="J565" t="str">
            <v>SPR8</v>
          </cell>
          <cell r="K565" t="str">
            <v>720-4</v>
          </cell>
          <cell r="L565">
            <v>12</v>
          </cell>
          <cell r="M565" t="str">
            <v>CONCENTRICIDAD</v>
          </cell>
        </row>
        <row r="566">
          <cell r="A566">
            <v>20230563</v>
          </cell>
          <cell r="B566">
            <v>44952</v>
          </cell>
          <cell r="C566" t="str">
            <v>A020R620A</v>
          </cell>
          <cell r="D566" t="str">
            <v>N/A</v>
          </cell>
          <cell r="E566" t="str">
            <v>CONCENTRICIDAD</v>
          </cell>
          <cell r="F566" t="str">
            <v>EVELYN ESTUDILLO</v>
          </cell>
          <cell r="G566">
            <v>44952</v>
          </cell>
          <cell r="H566" t="str">
            <v>MAURICIO</v>
          </cell>
          <cell r="I566" t="str">
            <v>PASS</v>
          </cell>
          <cell r="J566" t="str">
            <v>SPR8</v>
          </cell>
          <cell r="K566" t="str">
            <v>720-6</v>
          </cell>
          <cell r="L566">
            <v>12</v>
          </cell>
          <cell r="M566" t="str">
            <v>CONCENTRICIDAD</v>
          </cell>
        </row>
        <row r="567">
          <cell r="A567">
            <v>20230564</v>
          </cell>
          <cell r="B567">
            <v>44952</v>
          </cell>
          <cell r="C567" t="str">
            <v>34324759E</v>
          </cell>
          <cell r="D567" t="str">
            <v>N/A</v>
          </cell>
          <cell r="E567" t="str">
            <v>CONCENTRICIDAD</v>
          </cell>
          <cell r="F567" t="str">
            <v>EVELYN ESTUDILLO</v>
          </cell>
          <cell r="G567">
            <v>44952</v>
          </cell>
          <cell r="H567" t="str">
            <v>MAURICIO</v>
          </cell>
          <cell r="I567" t="str">
            <v>PASS</v>
          </cell>
          <cell r="J567" t="str">
            <v>SPR8</v>
          </cell>
          <cell r="K567" t="str">
            <v>720-1</v>
          </cell>
          <cell r="L567">
            <v>12</v>
          </cell>
          <cell r="M567" t="str">
            <v>CONCENTRICIDAD</v>
          </cell>
        </row>
        <row r="568">
          <cell r="A568">
            <v>20230565</v>
          </cell>
          <cell r="B568">
            <v>44952</v>
          </cell>
          <cell r="C568" t="str">
            <v>34262545E</v>
          </cell>
          <cell r="D568" t="str">
            <v>N/A</v>
          </cell>
          <cell r="E568" t="str">
            <v>OVALIDAD</v>
          </cell>
          <cell r="F568" t="str">
            <v>EVELYN ESTUDILLO</v>
          </cell>
          <cell r="G568">
            <v>44952</v>
          </cell>
          <cell r="H568" t="str">
            <v>MAURICIO</v>
          </cell>
          <cell r="I568" t="str">
            <v>PASS</v>
          </cell>
          <cell r="J568" t="str">
            <v>SPR8</v>
          </cell>
          <cell r="K568" t="str">
            <v>720-3</v>
          </cell>
          <cell r="L568">
            <v>12</v>
          </cell>
          <cell r="M568" t="str">
            <v>OVALIDAD</v>
          </cell>
        </row>
        <row r="569">
          <cell r="A569">
            <v>20230566</v>
          </cell>
          <cell r="B569">
            <v>44952</v>
          </cell>
          <cell r="C569" t="str">
            <v>34235233G</v>
          </cell>
          <cell r="D569" t="str">
            <v>N/A</v>
          </cell>
          <cell r="E569" t="str">
            <v>OVALIDAD</v>
          </cell>
          <cell r="F569" t="str">
            <v>EVELYN ESTUDILLO</v>
          </cell>
          <cell r="G569">
            <v>44952</v>
          </cell>
          <cell r="H569" t="str">
            <v>MAURICIO</v>
          </cell>
          <cell r="I569" t="str">
            <v>PASS</v>
          </cell>
          <cell r="J569" t="str">
            <v>SPR8</v>
          </cell>
          <cell r="K569" t="str">
            <v>720-5</v>
          </cell>
          <cell r="L569">
            <v>12</v>
          </cell>
          <cell r="M569" t="str">
            <v>OVALIDAD</v>
          </cell>
        </row>
        <row r="570">
          <cell r="A570">
            <v>20230567</v>
          </cell>
          <cell r="B570">
            <v>44952</v>
          </cell>
          <cell r="C570" t="str">
            <v>34306789C</v>
          </cell>
          <cell r="D570" t="str">
            <v>N/A</v>
          </cell>
          <cell r="E570" t="str">
            <v>OVALIDAD</v>
          </cell>
          <cell r="F570" t="str">
            <v>EVELYN ESTUDILLO</v>
          </cell>
          <cell r="G570">
            <v>44952</v>
          </cell>
          <cell r="H570" t="str">
            <v>MAURICIO</v>
          </cell>
          <cell r="I570" t="str">
            <v>PASS</v>
          </cell>
          <cell r="J570" t="str">
            <v>SPR8</v>
          </cell>
          <cell r="K570" t="str">
            <v>720-2</v>
          </cell>
          <cell r="L570">
            <v>12</v>
          </cell>
          <cell r="M570" t="str">
            <v>OVALIDAD</v>
          </cell>
        </row>
        <row r="571">
          <cell r="A571">
            <v>20230568</v>
          </cell>
          <cell r="B571">
            <v>44952</v>
          </cell>
          <cell r="C571" t="str">
            <v>34361270A</v>
          </cell>
          <cell r="D571" t="str">
            <v>N/A</v>
          </cell>
          <cell r="E571" t="str">
            <v>OVALIDAD</v>
          </cell>
          <cell r="F571" t="str">
            <v>EVELYN ESTUDILLO</v>
          </cell>
          <cell r="G571">
            <v>44952</v>
          </cell>
          <cell r="H571" t="str">
            <v>MAURICIO</v>
          </cell>
          <cell r="I571" t="str">
            <v>PASS</v>
          </cell>
          <cell r="J571" t="str">
            <v>SPR8</v>
          </cell>
          <cell r="K571" t="str">
            <v>720-4</v>
          </cell>
          <cell r="L571">
            <v>12</v>
          </cell>
          <cell r="M571" t="str">
            <v>OVALIDAD</v>
          </cell>
        </row>
        <row r="572">
          <cell r="A572">
            <v>20230569</v>
          </cell>
          <cell r="B572">
            <v>44952</v>
          </cell>
          <cell r="C572" t="str">
            <v>A020R620A</v>
          </cell>
          <cell r="D572" t="str">
            <v>N/A</v>
          </cell>
          <cell r="E572" t="str">
            <v>OVALIDAD</v>
          </cell>
          <cell r="F572" t="str">
            <v>EVELYN ESTUDILLO</v>
          </cell>
          <cell r="G572">
            <v>44952</v>
          </cell>
          <cell r="H572" t="str">
            <v>MAURICIO</v>
          </cell>
          <cell r="I572" t="str">
            <v>PASS</v>
          </cell>
          <cell r="J572" t="str">
            <v>SPR8</v>
          </cell>
          <cell r="K572" t="str">
            <v>720-6</v>
          </cell>
          <cell r="L572">
            <v>12</v>
          </cell>
          <cell r="M572" t="str">
            <v>OVALIDAD</v>
          </cell>
        </row>
        <row r="573">
          <cell r="A573">
            <v>20230570</v>
          </cell>
          <cell r="B573">
            <v>44952</v>
          </cell>
          <cell r="C573" t="str">
            <v>34324759E</v>
          </cell>
          <cell r="D573" t="str">
            <v>N/A</v>
          </cell>
          <cell r="E573" t="str">
            <v>OVALIDAD</v>
          </cell>
          <cell r="F573" t="str">
            <v>EVELYN ESTUDILLO</v>
          </cell>
          <cell r="G573">
            <v>44952</v>
          </cell>
          <cell r="H573" t="str">
            <v>MAURICIO</v>
          </cell>
          <cell r="I573" t="str">
            <v>PASS</v>
          </cell>
          <cell r="J573" t="str">
            <v>SPR8</v>
          </cell>
          <cell r="K573" t="str">
            <v>720-1</v>
          </cell>
          <cell r="L573">
            <v>12</v>
          </cell>
          <cell r="M573" t="str">
            <v>OVALIDAD</v>
          </cell>
        </row>
        <row r="574">
          <cell r="A574">
            <v>20230571</v>
          </cell>
          <cell r="B574">
            <v>44952</v>
          </cell>
          <cell r="C574" t="str">
            <v>34285574C</v>
          </cell>
          <cell r="D574" t="str">
            <v>N/A</v>
          </cell>
          <cell r="E574" t="str">
            <v>CONCENTRICIDAD</v>
          </cell>
          <cell r="F574" t="str">
            <v>EVELYN ESTUDILLO</v>
          </cell>
          <cell r="G574">
            <v>44952</v>
          </cell>
          <cell r="H574" t="str">
            <v>Luis</v>
          </cell>
          <cell r="I574" t="str">
            <v>PASS</v>
          </cell>
          <cell r="J574" t="str">
            <v>SPR8</v>
          </cell>
          <cell r="K574" t="str">
            <v>720-2</v>
          </cell>
          <cell r="L574">
            <v>18</v>
          </cell>
          <cell r="M574" t="str">
            <v>CONCENTRICIDAD</v>
          </cell>
        </row>
        <row r="575">
          <cell r="A575">
            <v>20230572</v>
          </cell>
          <cell r="B575">
            <v>44952</v>
          </cell>
          <cell r="C575" t="str">
            <v>34285574C</v>
          </cell>
          <cell r="D575" t="str">
            <v>N/A</v>
          </cell>
          <cell r="E575" t="str">
            <v>CONCENTRICIDAD</v>
          </cell>
          <cell r="F575" t="str">
            <v>EVELYN ESTUDILLO</v>
          </cell>
          <cell r="G575">
            <v>44952</v>
          </cell>
          <cell r="H575" t="str">
            <v>Luis</v>
          </cell>
          <cell r="I575" t="str">
            <v>PASS</v>
          </cell>
          <cell r="J575" t="str">
            <v>SPR8</v>
          </cell>
          <cell r="K575" t="str">
            <v>720-2</v>
          </cell>
          <cell r="L575">
            <v>12</v>
          </cell>
          <cell r="M575" t="str">
            <v>CONCENTRICIDAD</v>
          </cell>
        </row>
        <row r="576">
          <cell r="A576">
            <v>20230573</v>
          </cell>
          <cell r="B576">
            <v>44952</v>
          </cell>
          <cell r="C576" t="str">
            <v>34285574C</v>
          </cell>
          <cell r="D576" t="str">
            <v>N/A</v>
          </cell>
          <cell r="E576" t="str">
            <v>OVALIDAD</v>
          </cell>
          <cell r="F576" t="str">
            <v>EVELYN ESTUDILLO</v>
          </cell>
          <cell r="G576">
            <v>44952</v>
          </cell>
          <cell r="H576" t="str">
            <v>Luis</v>
          </cell>
          <cell r="I576" t="str">
            <v>PASS</v>
          </cell>
          <cell r="J576" t="str">
            <v>SPR8</v>
          </cell>
          <cell r="K576" t="str">
            <v>720-2</v>
          </cell>
          <cell r="L576">
            <v>12</v>
          </cell>
          <cell r="M576" t="str">
            <v>OVALIDAD</v>
          </cell>
        </row>
        <row r="577">
          <cell r="A577">
            <v>20230574</v>
          </cell>
          <cell r="B577">
            <v>44952</v>
          </cell>
          <cell r="C577" t="str">
            <v>34285574C</v>
          </cell>
          <cell r="D577" t="str">
            <v>N/A</v>
          </cell>
          <cell r="E577" t="str">
            <v>OVALIDAD</v>
          </cell>
          <cell r="F577" t="str">
            <v>EVELYN ESTUDILLO</v>
          </cell>
          <cell r="G577">
            <v>44952</v>
          </cell>
          <cell r="H577" t="str">
            <v>Luis</v>
          </cell>
          <cell r="I577" t="str">
            <v>PASS</v>
          </cell>
          <cell r="J577" t="str">
            <v>SPR8</v>
          </cell>
          <cell r="K577" t="str">
            <v>720-2</v>
          </cell>
          <cell r="L577">
            <v>12</v>
          </cell>
          <cell r="M577" t="str">
            <v>OVALIDAD</v>
          </cell>
        </row>
        <row r="578">
          <cell r="A578">
            <v>20230575</v>
          </cell>
          <cell r="B578">
            <v>44952</v>
          </cell>
          <cell r="C578" t="str">
            <v>34364568B</v>
          </cell>
          <cell r="D578" t="str">
            <v>N/A</v>
          </cell>
          <cell r="E578" t="str">
            <v>CONCENTRICIDAD</v>
          </cell>
          <cell r="F578" t="str">
            <v>EVELYN ESTUDILLO</v>
          </cell>
          <cell r="G578">
            <v>44952</v>
          </cell>
          <cell r="H578" t="str">
            <v>Luis</v>
          </cell>
          <cell r="I578" t="str">
            <v>PASS</v>
          </cell>
          <cell r="J578" t="str">
            <v>SPR8</v>
          </cell>
          <cell r="K578" t="str">
            <v>720-5</v>
          </cell>
          <cell r="L578">
            <v>12</v>
          </cell>
          <cell r="M578" t="str">
            <v>CONCENTRICIDAD</v>
          </cell>
        </row>
        <row r="579">
          <cell r="A579">
            <v>20230576</v>
          </cell>
          <cell r="B579">
            <v>44952</v>
          </cell>
          <cell r="C579" t="str">
            <v>34364568B</v>
          </cell>
          <cell r="D579" t="str">
            <v>N/A</v>
          </cell>
          <cell r="E579" t="str">
            <v>OVALIDAD</v>
          </cell>
          <cell r="F579" t="str">
            <v>EVELYN ESTUDILLO</v>
          </cell>
          <cell r="G579">
            <v>44952</v>
          </cell>
          <cell r="H579" t="str">
            <v>Luis</v>
          </cell>
          <cell r="I579" t="str">
            <v>PASS</v>
          </cell>
          <cell r="J579" t="str">
            <v>SPR8</v>
          </cell>
          <cell r="K579" t="str">
            <v>720-5</v>
          </cell>
          <cell r="L579">
            <v>12</v>
          </cell>
          <cell r="M579" t="str">
            <v>OVALIDAD</v>
          </cell>
        </row>
        <row r="580">
          <cell r="A580">
            <v>20230577</v>
          </cell>
          <cell r="B580">
            <v>44952</v>
          </cell>
          <cell r="C580" t="str">
            <v>34306788D</v>
          </cell>
          <cell r="D580" t="str">
            <v>N/A</v>
          </cell>
          <cell r="E580" t="str">
            <v>CONCENTRICIDAD</v>
          </cell>
          <cell r="F580" t="str">
            <v>Augusto Rdz</v>
          </cell>
          <cell r="G580">
            <v>44952</v>
          </cell>
          <cell r="H580" t="str">
            <v>JOSE</v>
          </cell>
          <cell r="I580" t="str">
            <v>PASS</v>
          </cell>
          <cell r="J580" t="str">
            <v>SPR8</v>
          </cell>
          <cell r="K580" t="str">
            <v>720-1</v>
          </cell>
          <cell r="L580">
            <v>12</v>
          </cell>
          <cell r="M580" t="str">
            <v>CONCENTRICIDAD</v>
          </cell>
        </row>
        <row r="581">
          <cell r="A581">
            <v>20230578</v>
          </cell>
          <cell r="B581">
            <v>44952</v>
          </cell>
          <cell r="C581" t="str">
            <v>34306788D</v>
          </cell>
          <cell r="D581" t="str">
            <v>N/A</v>
          </cell>
          <cell r="E581" t="str">
            <v>OVALIDAD</v>
          </cell>
          <cell r="F581" t="str">
            <v>Augusto Rdz</v>
          </cell>
          <cell r="G581">
            <v>44952</v>
          </cell>
          <cell r="H581" t="str">
            <v>JOSE</v>
          </cell>
          <cell r="I581" t="str">
            <v>PASS</v>
          </cell>
          <cell r="J581" t="str">
            <v>SPR8</v>
          </cell>
          <cell r="K581" t="str">
            <v>720-1</v>
          </cell>
          <cell r="L581">
            <v>12</v>
          </cell>
          <cell r="M581" t="str">
            <v>OVALIDAD</v>
          </cell>
        </row>
        <row r="582">
          <cell r="A582">
            <v>20230579</v>
          </cell>
          <cell r="B582">
            <v>44952</v>
          </cell>
          <cell r="C582" t="str">
            <v>34235232G</v>
          </cell>
          <cell r="D582" t="str">
            <v>N/A</v>
          </cell>
          <cell r="E582" t="str">
            <v>CONCENTRICIDAD</v>
          </cell>
          <cell r="F582" t="str">
            <v>Augusto Rdz</v>
          </cell>
          <cell r="G582">
            <v>44952</v>
          </cell>
          <cell r="H582" t="str">
            <v>JOSE</v>
          </cell>
          <cell r="I582" t="str">
            <v>PASS</v>
          </cell>
          <cell r="J582" t="str">
            <v>SPR8</v>
          </cell>
          <cell r="K582" t="str">
            <v>720-3</v>
          </cell>
          <cell r="L582">
            <v>12</v>
          </cell>
          <cell r="M582" t="str">
            <v>CONCENTRICIDAD</v>
          </cell>
        </row>
        <row r="583">
          <cell r="A583">
            <v>20230580</v>
          </cell>
          <cell r="B583">
            <v>44952</v>
          </cell>
          <cell r="C583" t="str">
            <v>34235232G</v>
          </cell>
          <cell r="D583" t="str">
            <v>N/A</v>
          </cell>
          <cell r="E583" t="str">
            <v>OVALIDAD</v>
          </cell>
          <cell r="F583" t="str">
            <v>Augusto Rdz</v>
          </cell>
          <cell r="G583">
            <v>44952</v>
          </cell>
          <cell r="H583" t="str">
            <v>JOSE</v>
          </cell>
          <cell r="I583" t="str">
            <v>PASS</v>
          </cell>
          <cell r="J583" t="str">
            <v>SPR8</v>
          </cell>
          <cell r="K583" t="str">
            <v>720-3</v>
          </cell>
          <cell r="L583">
            <v>12</v>
          </cell>
          <cell r="M583" t="str">
            <v>OVALIDAD</v>
          </cell>
        </row>
        <row r="584">
          <cell r="A584">
            <v>20230581</v>
          </cell>
          <cell r="B584">
            <v>44952</v>
          </cell>
          <cell r="C584" t="str">
            <v>34309474B</v>
          </cell>
          <cell r="D584" t="str">
            <v>N/A</v>
          </cell>
          <cell r="E584" t="str">
            <v>CONCENTRICIDAD</v>
          </cell>
          <cell r="F584" t="str">
            <v>Augusto Rdz</v>
          </cell>
          <cell r="G584">
            <v>44952</v>
          </cell>
          <cell r="H584" t="str">
            <v>JOSE</v>
          </cell>
          <cell r="I584" t="str">
            <v>PASS</v>
          </cell>
          <cell r="J584" t="str">
            <v>SPR8</v>
          </cell>
          <cell r="K584" t="str">
            <v>720-4</v>
          </cell>
          <cell r="L584">
            <v>12</v>
          </cell>
          <cell r="M584" t="str">
            <v>CONCENTRICIDAD</v>
          </cell>
        </row>
        <row r="585">
          <cell r="A585">
            <v>20230582</v>
          </cell>
          <cell r="B585">
            <v>44952</v>
          </cell>
          <cell r="C585" t="str">
            <v>34309474B</v>
          </cell>
          <cell r="D585" t="str">
            <v>N/A</v>
          </cell>
          <cell r="E585" t="str">
            <v>OVALIDAD</v>
          </cell>
          <cell r="F585" t="str">
            <v>Augusto Rdz</v>
          </cell>
          <cell r="G585">
            <v>44952</v>
          </cell>
          <cell r="H585" t="str">
            <v>JOSE</v>
          </cell>
          <cell r="I585" t="str">
            <v>PASS</v>
          </cell>
          <cell r="J585" t="str">
            <v>SPR8</v>
          </cell>
          <cell r="K585" t="str">
            <v>720-4</v>
          </cell>
          <cell r="L585">
            <v>12</v>
          </cell>
          <cell r="M585" t="str">
            <v>OVALIDAD</v>
          </cell>
        </row>
        <row r="586">
          <cell r="A586">
            <v>20230583</v>
          </cell>
          <cell r="B586">
            <v>44952</v>
          </cell>
          <cell r="C586" t="str">
            <v>A020R619B</v>
          </cell>
          <cell r="D586" t="str">
            <v>N/A</v>
          </cell>
          <cell r="E586" t="str">
            <v>CONCENTRICIDAD</v>
          </cell>
          <cell r="F586" t="str">
            <v>Augusto Rdz</v>
          </cell>
          <cell r="G586">
            <v>44952</v>
          </cell>
          <cell r="H586" t="str">
            <v>JOSE</v>
          </cell>
          <cell r="I586" t="str">
            <v>PASS</v>
          </cell>
          <cell r="J586" t="str">
            <v>SPR8</v>
          </cell>
          <cell r="K586" t="str">
            <v>720-6</v>
          </cell>
          <cell r="L586">
            <v>12</v>
          </cell>
          <cell r="M586" t="str">
            <v>CONCENTRICIDAD</v>
          </cell>
        </row>
        <row r="587">
          <cell r="A587">
            <v>20230584</v>
          </cell>
          <cell r="B587">
            <v>44952</v>
          </cell>
          <cell r="C587" t="str">
            <v>A020R619B</v>
          </cell>
          <cell r="D587" t="str">
            <v>N/A</v>
          </cell>
          <cell r="E587" t="str">
            <v>OVALIDAD</v>
          </cell>
          <cell r="F587" t="str">
            <v>Augusto Rdz</v>
          </cell>
          <cell r="G587">
            <v>44952</v>
          </cell>
          <cell r="H587" t="str">
            <v>JOSE</v>
          </cell>
          <cell r="I587" t="str">
            <v>PASS</v>
          </cell>
          <cell r="J587" t="str">
            <v>SPR8</v>
          </cell>
          <cell r="K587" t="str">
            <v>720-6</v>
          </cell>
          <cell r="L587">
            <v>12</v>
          </cell>
          <cell r="M587" t="str">
            <v>OVALIDAD</v>
          </cell>
        </row>
        <row r="588">
          <cell r="A588">
            <v>20230585</v>
          </cell>
          <cell r="B588">
            <v>44953</v>
          </cell>
          <cell r="C588" t="str">
            <v>A012R614B</v>
          </cell>
          <cell r="D588" t="str">
            <v>N/A</v>
          </cell>
          <cell r="E588" t="str">
            <v>16,35,5,9,7,11</v>
          </cell>
          <cell r="F588" t="str">
            <v>Laura Castillo</v>
          </cell>
          <cell r="G588">
            <v>44953</v>
          </cell>
          <cell r="H588" t="str">
            <v>Nohemi</v>
          </cell>
          <cell r="I588" t="str">
            <v>PASS</v>
          </cell>
          <cell r="J588" t="str">
            <v>A100</v>
          </cell>
          <cell r="K588" t="str">
            <v>703-A</v>
          </cell>
          <cell r="L588">
            <v>11</v>
          </cell>
          <cell r="M588" t="str">
            <v>A0038M7086A-C
A0038M7091A-A</v>
          </cell>
        </row>
        <row r="589">
          <cell r="A589">
            <v>20230586</v>
          </cell>
          <cell r="B589">
            <v>44953</v>
          </cell>
          <cell r="C589" t="str">
            <v>A012R613B</v>
          </cell>
          <cell r="D589" t="str">
            <v>N/A</v>
          </cell>
          <cell r="E589" t="str">
            <v>16,35,31,32,5,9,7,11</v>
          </cell>
          <cell r="F589" t="str">
            <v>Laura Castillo</v>
          </cell>
          <cell r="G589">
            <v>44953</v>
          </cell>
          <cell r="H589" t="str">
            <v>Nohemi</v>
          </cell>
          <cell r="I589" t="str">
            <v>PASS</v>
          </cell>
          <cell r="J589" t="str">
            <v>A100</v>
          </cell>
          <cell r="K589" t="str">
            <v>703-A</v>
          </cell>
          <cell r="L589">
            <v>12</v>
          </cell>
          <cell r="M589" t="str">
            <v>A0038M7086A-C
A0038M7091A-A</v>
          </cell>
        </row>
        <row r="590">
          <cell r="A590">
            <v>20230587</v>
          </cell>
          <cell r="B590">
            <v>44953</v>
          </cell>
          <cell r="C590" t="str">
            <v>A015C041B</v>
          </cell>
          <cell r="D590" t="str">
            <v>N/A</v>
          </cell>
          <cell r="E590" t="str">
            <v>16,35,5,9,7,11</v>
          </cell>
          <cell r="F590" t="str">
            <v>Laura Castillo</v>
          </cell>
          <cell r="G590">
            <v>44953</v>
          </cell>
          <cell r="H590" t="str">
            <v>Nohemi</v>
          </cell>
          <cell r="I590" t="str">
            <v>PASS</v>
          </cell>
          <cell r="J590" t="str">
            <v>A100</v>
          </cell>
          <cell r="K590" t="str">
            <v>703-A</v>
          </cell>
          <cell r="L590">
            <v>7</v>
          </cell>
          <cell r="M590" t="str">
            <v>A0038M7086A-C
A0038M7091A-A</v>
          </cell>
        </row>
        <row r="591">
          <cell r="A591">
            <v>20230588</v>
          </cell>
          <cell r="B591">
            <v>44953</v>
          </cell>
          <cell r="C591" t="str">
            <v>A024V113A</v>
          </cell>
          <cell r="D591" t="str">
            <v>N/A</v>
          </cell>
          <cell r="E591" t="str">
            <v>94,52,53,54,69,55</v>
          </cell>
          <cell r="F591" t="str">
            <v>Laura Castillo</v>
          </cell>
          <cell r="G591">
            <v>44953</v>
          </cell>
          <cell r="H591" t="str">
            <v>Nohemi</v>
          </cell>
          <cell r="I591" t="str">
            <v>NO PASS</v>
          </cell>
          <cell r="J591" t="str">
            <v>JL MCA</v>
          </cell>
          <cell r="K591" t="str">
            <v>716-1</v>
          </cell>
          <cell r="L591">
            <v>4</v>
          </cell>
          <cell r="M591" t="str">
            <v>A0033G4820A C</v>
          </cell>
        </row>
        <row r="592">
          <cell r="A592">
            <v>20230589</v>
          </cell>
          <cell r="B592">
            <v>44953</v>
          </cell>
          <cell r="C592" t="str">
            <v>34324760D</v>
          </cell>
          <cell r="D592" t="str">
            <v>N/A</v>
          </cell>
          <cell r="E592" t="str">
            <v>CONCENTRICIDAD</v>
          </cell>
          <cell r="F592" t="str">
            <v>EVELYN ESTUDILLO</v>
          </cell>
          <cell r="G592">
            <v>44953</v>
          </cell>
          <cell r="H592" t="str">
            <v>MAURICIO</v>
          </cell>
          <cell r="I592" t="str">
            <v>PASS</v>
          </cell>
          <cell r="J592" t="str">
            <v>SPR8</v>
          </cell>
          <cell r="K592" t="str">
            <v>720-1</v>
          </cell>
          <cell r="L592">
            <v>12</v>
          </cell>
          <cell r="M592" t="str">
            <v>CONCENTRICIDAD</v>
          </cell>
        </row>
        <row r="593">
          <cell r="A593">
            <v>20230590</v>
          </cell>
          <cell r="B593">
            <v>44953</v>
          </cell>
          <cell r="C593" t="str">
            <v>34309473B</v>
          </cell>
          <cell r="D593" t="str">
            <v>N/A</v>
          </cell>
          <cell r="E593" t="str">
            <v>CONCENTRICIDAD</v>
          </cell>
          <cell r="F593" t="str">
            <v>EVELYN ESTUDILLO</v>
          </cell>
          <cell r="G593">
            <v>44953</v>
          </cell>
          <cell r="H593" t="str">
            <v>MAURICIO</v>
          </cell>
          <cell r="I593" t="str">
            <v>PASS</v>
          </cell>
          <cell r="J593" t="str">
            <v>SPR8</v>
          </cell>
          <cell r="K593" t="str">
            <v>720-4</v>
          </cell>
          <cell r="L593">
            <v>12</v>
          </cell>
          <cell r="M593" t="str">
            <v>CONCENTRICIDAD</v>
          </cell>
        </row>
        <row r="594">
          <cell r="A594">
            <v>20230591</v>
          </cell>
          <cell r="B594">
            <v>44953</v>
          </cell>
          <cell r="C594" t="str">
            <v>34327673B</v>
          </cell>
          <cell r="D594" t="str">
            <v>N/A</v>
          </cell>
          <cell r="E594" t="str">
            <v>CONCENTRICIDAD</v>
          </cell>
          <cell r="F594" t="str">
            <v>EVELYN ESTUDILLO</v>
          </cell>
          <cell r="G594">
            <v>44953</v>
          </cell>
          <cell r="H594" t="str">
            <v>MAURICIO</v>
          </cell>
          <cell r="I594" t="str">
            <v>PASS</v>
          </cell>
          <cell r="J594" t="str">
            <v>SPR8</v>
          </cell>
          <cell r="K594" t="str">
            <v>720-5</v>
          </cell>
          <cell r="L594">
            <v>12</v>
          </cell>
          <cell r="M594" t="str">
            <v>CONCENTRICIDAD</v>
          </cell>
        </row>
        <row r="595">
          <cell r="A595">
            <v>20230592</v>
          </cell>
          <cell r="B595">
            <v>44953</v>
          </cell>
          <cell r="C595" t="str">
            <v>A020R619B</v>
          </cell>
          <cell r="D595" t="str">
            <v>N/A</v>
          </cell>
          <cell r="E595" t="str">
            <v>CONCENTRICIDAD</v>
          </cell>
          <cell r="F595" t="str">
            <v>EVELYN ESTUDILLO</v>
          </cell>
          <cell r="G595">
            <v>44953</v>
          </cell>
          <cell r="H595" t="str">
            <v>MAURICIO</v>
          </cell>
          <cell r="I595" t="str">
            <v>PASS</v>
          </cell>
          <cell r="J595" t="str">
            <v>SPR8</v>
          </cell>
          <cell r="K595" t="str">
            <v>720-6</v>
          </cell>
          <cell r="L595">
            <v>12</v>
          </cell>
          <cell r="M595" t="str">
            <v>CONCENTRICIDAD</v>
          </cell>
        </row>
        <row r="596">
          <cell r="A596">
            <v>20230593</v>
          </cell>
          <cell r="B596">
            <v>44953</v>
          </cell>
          <cell r="C596" t="str">
            <v>34285573C</v>
          </cell>
          <cell r="D596" t="str">
            <v>N/A</v>
          </cell>
          <cell r="E596" t="str">
            <v>CONCENTRICIDAD</v>
          </cell>
          <cell r="F596" t="str">
            <v>EVELYN ESTUDILLO</v>
          </cell>
          <cell r="G596">
            <v>44953</v>
          </cell>
          <cell r="H596" t="str">
            <v>MAURICIO</v>
          </cell>
          <cell r="I596" t="str">
            <v>PASS</v>
          </cell>
          <cell r="J596" t="str">
            <v>SPR8</v>
          </cell>
          <cell r="K596" t="str">
            <v>720-2</v>
          </cell>
          <cell r="L596">
            <v>12</v>
          </cell>
          <cell r="M596" t="str">
            <v>CONCENTRICIDAD</v>
          </cell>
        </row>
        <row r="597">
          <cell r="A597">
            <v>20230594</v>
          </cell>
          <cell r="B597">
            <v>44953</v>
          </cell>
          <cell r="C597" t="str">
            <v>34235231G</v>
          </cell>
          <cell r="D597" t="str">
            <v>N/A</v>
          </cell>
          <cell r="E597" t="str">
            <v>CONCENTRICIDAD</v>
          </cell>
          <cell r="F597" t="str">
            <v>EVELYN ESTUDILLO</v>
          </cell>
          <cell r="G597">
            <v>44953</v>
          </cell>
          <cell r="H597" t="str">
            <v>MAURICIO</v>
          </cell>
          <cell r="I597" t="str">
            <v>PASS</v>
          </cell>
          <cell r="J597" t="str">
            <v>SPR8</v>
          </cell>
          <cell r="K597" t="str">
            <v>720-3</v>
          </cell>
          <cell r="L597">
            <v>12</v>
          </cell>
          <cell r="M597" t="str">
            <v>CONCENTRICIDAD</v>
          </cell>
        </row>
        <row r="598">
          <cell r="A598">
            <v>20230595</v>
          </cell>
          <cell r="B598">
            <v>44953</v>
          </cell>
          <cell r="C598" t="str">
            <v>34324760D</v>
          </cell>
          <cell r="D598" t="str">
            <v>N/A</v>
          </cell>
          <cell r="E598" t="str">
            <v>OVALIDAD</v>
          </cell>
          <cell r="F598" t="str">
            <v>EVELYN ESTUDILLO</v>
          </cell>
          <cell r="G598">
            <v>44953</v>
          </cell>
          <cell r="H598" t="str">
            <v>MAURICIO</v>
          </cell>
          <cell r="I598" t="str">
            <v>PASS</v>
          </cell>
          <cell r="J598" t="str">
            <v>SPR8</v>
          </cell>
          <cell r="K598" t="str">
            <v>720-1</v>
          </cell>
          <cell r="L598">
            <v>12</v>
          </cell>
          <cell r="M598" t="str">
            <v>OVALIDAD</v>
          </cell>
        </row>
        <row r="599">
          <cell r="A599">
            <v>20230596</v>
          </cell>
          <cell r="B599">
            <v>44953</v>
          </cell>
          <cell r="C599" t="str">
            <v>34309473B</v>
          </cell>
          <cell r="D599" t="str">
            <v>N/A</v>
          </cell>
          <cell r="E599" t="str">
            <v>OVALIDAD</v>
          </cell>
          <cell r="F599" t="str">
            <v>EVELYN ESTUDILLO</v>
          </cell>
          <cell r="G599">
            <v>44953</v>
          </cell>
          <cell r="H599" t="str">
            <v>MAURICIO</v>
          </cell>
          <cell r="I599" t="str">
            <v>PASS</v>
          </cell>
          <cell r="J599" t="str">
            <v>SPR8</v>
          </cell>
          <cell r="K599" t="str">
            <v>720-4</v>
          </cell>
          <cell r="L599">
            <v>12</v>
          </cell>
          <cell r="M599" t="str">
            <v>OVALIDAD</v>
          </cell>
        </row>
        <row r="600">
          <cell r="A600">
            <v>20230597</v>
          </cell>
          <cell r="B600">
            <v>44953</v>
          </cell>
          <cell r="C600" t="str">
            <v>34327673B</v>
          </cell>
          <cell r="D600" t="str">
            <v>N/A</v>
          </cell>
          <cell r="E600" t="str">
            <v>OVALIDAD</v>
          </cell>
          <cell r="F600" t="str">
            <v>EVELYN ESTUDILLO</v>
          </cell>
          <cell r="G600">
            <v>44953</v>
          </cell>
          <cell r="H600" t="str">
            <v>MAURICIO</v>
          </cell>
          <cell r="I600" t="str">
            <v>PASS</v>
          </cell>
          <cell r="J600" t="str">
            <v>SPR8</v>
          </cell>
          <cell r="K600" t="str">
            <v>720-5</v>
          </cell>
          <cell r="L600">
            <v>12</v>
          </cell>
          <cell r="M600" t="str">
            <v>OVALIDAD</v>
          </cell>
        </row>
        <row r="601">
          <cell r="A601">
            <v>20230598</v>
          </cell>
          <cell r="B601">
            <v>44953</v>
          </cell>
          <cell r="C601" t="str">
            <v>A020R619B</v>
          </cell>
          <cell r="D601" t="str">
            <v>N/A</v>
          </cell>
          <cell r="E601" t="str">
            <v>OVALIDAD</v>
          </cell>
          <cell r="F601" t="str">
            <v>EVELYN ESTUDILLO</v>
          </cell>
          <cell r="G601">
            <v>44953</v>
          </cell>
          <cell r="H601" t="str">
            <v>MAURICIO</v>
          </cell>
          <cell r="I601" t="str">
            <v>PASS</v>
          </cell>
          <cell r="J601" t="str">
            <v>SPR8</v>
          </cell>
          <cell r="K601" t="str">
            <v>720-6</v>
          </cell>
          <cell r="L601">
            <v>12</v>
          </cell>
          <cell r="M601" t="str">
            <v>OVALIDAD</v>
          </cell>
        </row>
        <row r="602">
          <cell r="A602">
            <v>20230599</v>
          </cell>
          <cell r="B602">
            <v>44953</v>
          </cell>
          <cell r="C602" t="str">
            <v>34285573C</v>
          </cell>
          <cell r="D602" t="str">
            <v>N/A</v>
          </cell>
          <cell r="E602" t="str">
            <v>OVALIDAD</v>
          </cell>
          <cell r="F602" t="str">
            <v>EVELYN ESTUDILLO</v>
          </cell>
          <cell r="G602">
            <v>44953</v>
          </cell>
          <cell r="H602" t="str">
            <v>MAURICIO</v>
          </cell>
          <cell r="I602" t="str">
            <v>PASS</v>
          </cell>
          <cell r="J602" t="str">
            <v>SPR8</v>
          </cell>
          <cell r="K602" t="str">
            <v>720-2</v>
          </cell>
          <cell r="L602">
            <v>12</v>
          </cell>
          <cell r="M602" t="str">
            <v>OVALIDAD</v>
          </cell>
        </row>
        <row r="603">
          <cell r="A603">
            <v>20230600</v>
          </cell>
          <cell r="B603">
            <v>44953</v>
          </cell>
          <cell r="C603" t="str">
            <v>34235231G</v>
          </cell>
          <cell r="D603" t="str">
            <v>N/A</v>
          </cell>
          <cell r="E603" t="str">
            <v>OVALIDAD</v>
          </cell>
          <cell r="F603" t="str">
            <v>EVELYN ESTUDILLO</v>
          </cell>
          <cell r="G603">
            <v>44953</v>
          </cell>
          <cell r="H603" t="str">
            <v>MAURICIO</v>
          </cell>
          <cell r="I603" t="str">
            <v>PASS</v>
          </cell>
          <cell r="J603" t="str">
            <v>SPR8</v>
          </cell>
          <cell r="K603" t="str">
            <v>720-3</v>
          </cell>
          <cell r="L603">
            <v>12</v>
          </cell>
          <cell r="M603" t="str">
            <v>OVALIDAD</v>
          </cell>
        </row>
        <row r="604">
          <cell r="A604">
            <v>20230601</v>
          </cell>
          <cell r="B604">
            <v>44953</v>
          </cell>
          <cell r="C604" t="str">
            <v>A023P556B</v>
          </cell>
          <cell r="D604" t="str">
            <v>N/A</v>
          </cell>
          <cell r="E604" t="str">
            <v>CONCENTRICIDAD</v>
          </cell>
          <cell r="F604" t="str">
            <v>Laura Castillo</v>
          </cell>
          <cell r="G604">
            <v>44953</v>
          </cell>
          <cell r="H604" t="str">
            <v>Nohemi</v>
          </cell>
          <cell r="I604" t="str">
            <v>PASS</v>
          </cell>
          <cell r="J604" t="str">
            <v>SPR8</v>
          </cell>
          <cell r="K604" t="str">
            <v>720-3</v>
          </cell>
          <cell r="L604">
            <v>6</v>
          </cell>
          <cell r="M604" t="str">
            <v>CONCENTRICIDAD</v>
          </cell>
        </row>
        <row r="605">
          <cell r="A605">
            <v>20230602</v>
          </cell>
          <cell r="B605">
            <v>44953</v>
          </cell>
          <cell r="C605" t="str">
            <v>A023P556B</v>
          </cell>
          <cell r="D605" t="str">
            <v>N/A</v>
          </cell>
          <cell r="E605" t="str">
            <v>OVALIDAD</v>
          </cell>
          <cell r="F605" t="str">
            <v>Laura Castillo</v>
          </cell>
          <cell r="G605">
            <v>44953</v>
          </cell>
          <cell r="H605" t="str">
            <v>Nohemi</v>
          </cell>
          <cell r="I605" t="str">
            <v>PASS</v>
          </cell>
          <cell r="J605" t="str">
            <v>SPR8</v>
          </cell>
          <cell r="K605" t="str">
            <v>720-3</v>
          </cell>
          <cell r="L605">
            <v>6</v>
          </cell>
          <cell r="M605" t="str">
            <v>OVALIDAD</v>
          </cell>
        </row>
        <row r="606">
          <cell r="A606">
            <v>20230603</v>
          </cell>
          <cell r="B606">
            <v>44953</v>
          </cell>
          <cell r="C606" t="str">
            <v>34324760D</v>
          </cell>
          <cell r="D606" t="str">
            <v>N/A</v>
          </cell>
          <cell r="E606" t="str">
            <v>CONCENTRICIDAD</v>
          </cell>
          <cell r="F606" t="str">
            <v>Augusto Rdz</v>
          </cell>
          <cell r="G606">
            <v>44953</v>
          </cell>
          <cell r="H606" t="str">
            <v>Carlos</v>
          </cell>
          <cell r="I606" t="str">
            <v>PASS</v>
          </cell>
          <cell r="J606" t="str">
            <v>SPR8</v>
          </cell>
          <cell r="K606" t="str">
            <v>720-1</v>
          </cell>
          <cell r="L606">
            <v>12</v>
          </cell>
          <cell r="M606" t="str">
            <v>CONCENTRICIDAD</v>
          </cell>
        </row>
        <row r="607">
          <cell r="A607">
            <v>20230604</v>
          </cell>
          <cell r="B607">
            <v>44953</v>
          </cell>
          <cell r="C607" t="str">
            <v>34324760D</v>
          </cell>
          <cell r="D607" t="str">
            <v>N/A</v>
          </cell>
          <cell r="E607" t="str">
            <v>OVALIDAD</v>
          </cell>
          <cell r="F607" t="str">
            <v>Augusto Rdz</v>
          </cell>
          <cell r="G607">
            <v>44953</v>
          </cell>
          <cell r="H607" t="str">
            <v>Carlos</v>
          </cell>
          <cell r="I607" t="str">
            <v>PASS</v>
          </cell>
          <cell r="J607" t="str">
            <v>SPR8</v>
          </cell>
          <cell r="K607" t="str">
            <v>720-1</v>
          </cell>
          <cell r="L607">
            <v>12</v>
          </cell>
          <cell r="M607" t="str">
            <v>OVALIDAD</v>
          </cell>
        </row>
        <row r="608">
          <cell r="A608">
            <v>20230605</v>
          </cell>
          <cell r="B608">
            <v>44953</v>
          </cell>
          <cell r="C608" t="str">
            <v>34324758A</v>
          </cell>
          <cell r="D608" t="str">
            <v>N/A</v>
          </cell>
          <cell r="E608" t="str">
            <v>CONCENTRICIDAD</v>
          </cell>
          <cell r="F608" t="str">
            <v>Augusto Rdz</v>
          </cell>
          <cell r="G608">
            <v>44953</v>
          </cell>
          <cell r="H608" t="str">
            <v>Carlos</v>
          </cell>
          <cell r="I608" t="str">
            <v>PASS</v>
          </cell>
          <cell r="J608" t="str">
            <v>SPR8</v>
          </cell>
          <cell r="K608" t="str">
            <v>720-2</v>
          </cell>
          <cell r="L608">
            <v>12</v>
          </cell>
          <cell r="M608" t="str">
            <v>CONCENTRICIDAD</v>
          </cell>
        </row>
        <row r="609">
          <cell r="A609">
            <v>20230606</v>
          </cell>
          <cell r="B609">
            <v>44953</v>
          </cell>
          <cell r="C609" t="str">
            <v>34324758A</v>
          </cell>
          <cell r="D609" t="str">
            <v>N/A</v>
          </cell>
          <cell r="E609" t="str">
            <v>OVALIDAD</v>
          </cell>
          <cell r="F609" t="str">
            <v>Augusto Rdz</v>
          </cell>
          <cell r="G609">
            <v>44953</v>
          </cell>
          <cell r="H609" t="str">
            <v>Carlos</v>
          </cell>
          <cell r="I609" t="str">
            <v>PASS</v>
          </cell>
          <cell r="J609" t="str">
            <v>SPR8</v>
          </cell>
          <cell r="K609" t="str">
            <v>720-2</v>
          </cell>
          <cell r="L609">
            <v>12</v>
          </cell>
          <cell r="M609" t="str">
            <v>OVALIDAD</v>
          </cell>
        </row>
        <row r="610">
          <cell r="A610">
            <v>20230607</v>
          </cell>
          <cell r="B610">
            <v>44953</v>
          </cell>
          <cell r="C610" t="str">
            <v>34364565B</v>
          </cell>
          <cell r="D610" t="str">
            <v>N/A</v>
          </cell>
          <cell r="E610" t="str">
            <v>CONCENTRICIDAD</v>
          </cell>
          <cell r="F610" t="str">
            <v>Augusto Rdz</v>
          </cell>
          <cell r="G610">
            <v>44953</v>
          </cell>
          <cell r="H610" t="str">
            <v>Carlos</v>
          </cell>
          <cell r="I610" t="str">
            <v>PASS</v>
          </cell>
          <cell r="J610" t="str">
            <v>SPR8</v>
          </cell>
          <cell r="K610" t="str">
            <v>720-5</v>
          </cell>
          <cell r="L610">
            <v>12</v>
          </cell>
          <cell r="M610" t="str">
            <v>CONCENTRICIDAD</v>
          </cell>
        </row>
        <row r="611">
          <cell r="A611">
            <v>20230608</v>
          </cell>
          <cell r="B611">
            <v>44953</v>
          </cell>
          <cell r="C611" t="str">
            <v>34364565B</v>
          </cell>
          <cell r="D611" t="str">
            <v>N/A</v>
          </cell>
          <cell r="E611" t="str">
            <v>OVALIDAD</v>
          </cell>
          <cell r="F611" t="str">
            <v>Augusto Rdz</v>
          </cell>
          <cell r="G611">
            <v>44953</v>
          </cell>
          <cell r="H611" t="str">
            <v>Carlos</v>
          </cell>
          <cell r="I611" t="str">
            <v>PASS</v>
          </cell>
          <cell r="J611" t="str">
            <v>SPR8</v>
          </cell>
          <cell r="K611" t="str">
            <v>720-5</v>
          </cell>
          <cell r="L611">
            <v>12</v>
          </cell>
          <cell r="M611" t="str">
            <v>OVALIDAD</v>
          </cell>
        </row>
        <row r="612">
          <cell r="A612">
            <v>20230609</v>
          </cell>
          <cell r="B612">
            <v>44953</v>
          </cell>
          <cell r="C612" t="str">
            <v>34361271A</v>
          </cell>
          <cell r="D612" t="str">
            <v>N/A</v>
          </cell>
          <cell r="E612" t="str">
            <v>CONCENTRICIDAD</v>
          </cell>
          <cell r="F612" t="str">
            <v>Augusto Rdz</v>
          </cell>
          <cell r="G612">
            <v>44953</v>
          </cell>
          <cell r="H612" t="str">
            <v>Carlos</v>
          </cell>
          <cell r="I612" t="str">
            <v>PASS</v>
          </cell>
          <cell r="J612" t="str">
            <v>SPR8</v>
          </cell>
          <cell r="K612" t="str">
            <v>720-4</v>
          </cell>
          <cell r="L612">
            <v>12</v>
          </cell>
          <cell r="M612" t="str">
            <v>CONCENTRICIDAD</v>
          </cell>
        </row>
        <row r="613">
          <cell r="A613">
            <v>20230610</v>
          </cell>
          <cell r="B613">
            <v>44953</v>
          </cell>
          <cell r="C613" t="str">
            <v>34361271A</v>
          </cell>
          <cell r="D613" t="str">
            <v>N/A</v>
          </cell>
          <cell r="E613" t="str">
            <v>OVALIDAD</v>
          </cell>
          <cell r="F613" t="str">
            <v>Augusto Rdz</v>
          </cell>
          <cell r="G613">
            <v>44953</v>
          </cell>
          <cell r="H613" t="str">
            <v>Carlos</v>
          </cell>
          <cell r="I613" t="str">
            <v>PASS</v>
          </cell>
          <cell r="J613" t="str">
            <v>SPR8</v>
          </cell>
          <cell r="K613" t="str">
            <v>720-4</v>
          </cell>
          <cell r="L613">
            <v>12</v>
          </cell>
          <cell r="M613" t="str">
            <v>OVALIDAD</v>
          </cell>
        </row>
        <row r="614">
          <cell r="A614">
            <v>20230611</v>
          </cell>
          <cell r="B614">
            <v>44953</v>
          </cell>
          <cell r="C614" t="str">
            <v>34235231G</v>
          </cell>
          <cell r="D614" t="str">
            <v>N/A</v>
          </cell>
          <cell r="E614" t="str">
            <v>CONCENTRICIDAD</v>
          </cell>
          <cell r="F614" t="str">
            <v>Augusto Rdz</v>
          </cell>
          <cell r="G614">
            <v>44953</v>
          </cell>
          <cell r="H614" t="str">
            <v>ERNESTO</v>
          </cell>
          <cell r="I614" t="str">
            <v>PASS</v>
          </cell>
          <cell r="J614" t="str">
            <v>SPR8</v>
          </cell>
          <cell r="K614" t="str">
            <v>720-3</v>
          </cell>
          <cell r="L614">
            <v>12</v>
          </cell>
          <cell r="M614" t="str">
            <v>CONCENTRICIDAD</v>
          </cell>
        </row>
        <row r="615">
          <cell r="A615">
            <v>20230612</v>
          </cell>
          <cell r="B615">
            <v>44953</v>
          </cell>
          <cell r="C615" t="str">
            <v>34235231G</v>
          </cell>
          <cell r="D615" t="str">
            <v>N/A</v>
          </cell>
          <cell r="E615" t="str">
            <v>OVALIDAD</v>
          </cell>
          <cell r="F615" t="str">
            <v>Augusto Rdz</v>
          </cell>
          <cell r="G615">
            <v>44953</v>
          </cell>
          <cell r="H615" t="str">
            <v>ERNESTO</v>
          </cell>
          <cell r="I615" t="str">
            <v>PASS</v>
          </cell>
          <cell r="J615" t="str">
            <v>SPR8</v>
          </cell>
          <cell r="K615" t="str">
            <v>720-3</v>
          </cell>
          <cell r="L615">
            <v>12</v>
          </cell>
          <cell r="M615" t="str">
            <v>OVALIDAD</v>
          </cell>
        </row>
        <row r="616">
          <cell r="A616">
            <v>20230613</v>
          </cell>
          <cell r="B616">
            <v>44954</v>
          </cell>
          <cell r="C616" t="str">
            <v>34324759E</v>
          </cell>
          <cell r="D616" t="str">
            <v>N/A</v>
          </cell>
          <cell r="E616" t="str">
            <v>CONCENTRICIDAD</v>
          </cell>
          <cell r="F616" t="str">
            <v>EVELYN ESTUDILLO</v>
          </cell>
          <cell r="G616">
            <v>44954</v>
          </cell>
          <cell r="H616" t="str">
            <v>Nohemi</v>
          </cell>
          <cell r="I616" t="str">
            <v>PASS</v>
          </cell>
          <cell r="J616" t="str">
            <v>SPR8</v>
          </cell>
          <cell r="K616" t="str">
            <v>720-1</v>
          </cell>
          <cell r="L616">
            <v>12</v>
          </cell>
          <cell r="M616" t="str">
            <v>CONCENTRICIDAD</v>
          </cell>
        </row>
        <row r="617">
          <cell r="A617">
            <v>20230614</v>
          </cell>
          <cell r="B617">
            <v>44954</v>
          </cell>
          <cell r="C617" t="str">
            <v>34296437C</v>
          </cell>
          <cell r="D617" t="str">
            <v>N/A</v>
          </cell>
          <cell r="E617" t="str">
            <v>CONCENTRICIDAD</v>
          </cell>
          <cell r="F617" t="str">
            <v>EVELYN ESTUDILLO</v>
          </cell>
          <cell r="G617">
            <v>44954</v>
          </cell>
          <cell r="H617" t="str">
            <v>Nohemi</v>
          </cell>
          <cell r="I617" t="str">
            <v>PASS</v>
          </cell>
          <cell r="J617" t="str">
            <v>SPR8</v>
          </cell>
          <cell r="K617" t="str">
            <v>720-2</v>
          </cell>
          <cell r="L617">
            <v>12</v>
          </cell>
          <cell r="M617" t="str">
            <v>CONCENTRICIDAD</v>
          </cell>
        </row>
        <row r="618">
          <cell r="A618">
            <v>20230615</v>
          </cell>
          <cell r="B618">
            <v>44954</v>
          </cell>
          <cell r="C618" t="str">
            <v>34235231G</v>
          </cell>
          <cell r="D618" t="str">
            <v>N/A</v>
          </cell>
          <cell r="E618" t="str">
            <v>CONCENTRICIDAD</v>
          </cell>
          <cell r="F618" t="str">
            <v>EVELYN ESTUDILLO</v>
          </cell>
          <cell r="G618">
            <v>44954</v>
          </cell>
          <cell r="H618" t="str">
            <v>Nohemi</v>
          </cell>
          <cell r="I618" t="str">
            <v>PASS</v>
          </cell>
          <cell r="J618" t="str">
            <v>SPR8</v>
          </cell>
          <cell r="K618" t="str">
            <v>720-3</v>
          </cell>
          <cell r="L618">
            <v>12</v>
          </cell>
          <cell r="M618" t="str">
            <v>CONCENTRICIDAD</v>
          </cell>
        </row>
        <row r="619">
          <cell r="A619">
            <v>20230616</v>
          </cell>
          <cell r="B619">
            <v>44954</v>
          </cell>
          <cell r="C619" t="str">
            <v>34361271A</v>
          </cell>
          <cell r="D619" t="str">
            <v>N/A</v>
          </cell>
          <cell r="E619" t="str">
            <v>CONCENTRICIDAD</v>
          </cell>
          <cell r="F619" t="str">
            <v>EVELYN ESTUDILLO</v>
          </cell>
          <cell r="G619">
            <v>44954</v>
          </cell>
          <cell r="H619" t="str">
            <v>Nohemi</v>
          </cell>
          <cell r="I619" t="str">
            <v>PASS</v>
          </cell>
          <cell r="J619" t="str">
            <v>SPR8</v>
          </cell>
          <cell r="K619" t="str">
            <v>720-4</v>
          </cell>
          <cell r="L619">
            <v>12</v>
          </cell>
          <cell r="M619" t="str">
            <v>CONCENTRICIDAD</v>
          </cell>
        </row>
        <row r="620">
          <cell r="A620">
            <v>20230617</v>
          </cell>
          <cell r="B620">
            <v>44954</v>
          </cell>
          <cell r="C620" t="str">
            <v>34235233G</v>
          </cell>
          <cell r="D620" t="str">
            <v>N/A</v>
          </cell>
          <cell r="E620" t="str">
            <v>CONCENTRICIDAD</v>
          </cell>
          <cell r="F620" t="str">
            <v>EVELYN ESTUDILLO</v>
          </cell>
          <cell r="G620">
            <v>44954</v>
          </cell>
          <cell r="H620" t="str">
            <v>Nohemi</v>
          </cell>
          <cell r="I620" t="str">
            <v>PASS</v>
          </cell>
          <cell r="J620" t="str">
            <v>SPR8</v>
          </cell>
          <cell r="K620" t="str">
            <v>720-5</v>
          </cell>
          <cell r="L620">
            <v>12</v>
          </cell>
          <cell r="M620" t="str">
            <v>CONCENTRICIDAD</v>
          </cell>
        </row>
        <row r="621">
          <cell r="A621">
            <v>20230618</v>
          </cell>
          <cell r="B621">
            <v>44954</v>
          </cell>
          <cell r="C621" t="str">
            <v>34324759E</v>
          </cell>
          <cell r="D621" t="str">
            <v>N/A</v>
          </cell>
          <cell r="E621" t="str">
            <v>OVALIDAD</v>
          </cell>
          <cell r="F621" t="str">
            <v>EVELYN ESTUDILLO</v>
          </cell>
          <cell r="G621">
            <v>44954</v>
          </cell>
          <cell r="H621" t="str">
            <v>Nohemi</v>
          </cell>
          <cell r="I621" t="str">
            <v>PASS</v>
          </cell>
          <cell r="J621" t="str">
            <v>SPR8</v>
          </cell>
          <cell r="K621" t="str">
            <v>720-1</v>
          </cell>
          <cell r="L621">
            <v>12</v>
          </cell>
          <cell r="M621" t="str">
            <v>OVALIDAD</v>
          </cell>
        </row>
        <row r="622">
          <cell r="A622">
            <v>20230619</v>
          </cell>
          <cell r="B622">
            <v>44954</v>
          </cell>
          <cell r="C622" t="str">
            <v>34296437C</v>
          </cell>
          <cell r="D622" t="str">
            <v>N/A</v>
          </cell>
          <cell r="E622" t="str">
            <v>OVALIDAD</v>
          </cell>
          <cell r="F622" t="str">
            <v>EVELYN ESTUDILLO</v>
          </cell>
          <cell r="G622">
            <v>44954</v>
          </cell>
          <cell r="H622" t="str">
            <v>Nohemi</v>
          </cell>
          <cell r="I622" t="str">
            <v>PASS</v>
          </cell>
          <cell r="J622" t="str">
            <v>SPR8</v>
          </cell>
          <cell r="K622" t="str">
            <v>720-2</v>
          </cell>
          <cell r="L622">
            <v>12</v>
          </cell>
          <cell r="M622" t="str">
            <v>OVALIDAD</v>
          </cell>
        </row>
        <row r="623">
          <cell r="A623">
            <v>20230620</v>
          </cell>
          <cell r="B623">
            <v>44954</v>
          </cell>
          <cell r="C623" t="str">
            <v>34235231G</v>
          </cell>
          <cell r="D623" t="str">
            <v>N/A</v>
          </cell>
          <cell r="E623" t="str">
            <v>OVALIDAD</v>
          </cell>
          <cell r="F623" t="str">
            <v>EVELYN ESTUDILLO</v>
          </cell>
          <cell r="G623">
            <v>44954</v>
          </cell>
          <cell r="H623" t="str">
            <v>Nohemi</v>
          </cell>
          <cell r="I623" t="str">
            <v>PASS</v>
          </cell>
          <cell r="J623" t="str">
            <v>SPR8</v>
          </cell>
          <cell r="K623" t="str">
            <v>720-3</v>
          </cell>
          <cell r="L623">
            <v>12</v>
          </cell>
          <cell r="M623" t="str">
            <v>OVALIDAD</v>
          </cell>
        </row>
        <row r="624">
          <cell r="A624">
            <v>20230621</v>
          </cell>
          <cell r="B624">
            <v>44954</v>
          </cell>
          <cell r="C624" t="str">
            <v>34361271A</v>
          </cell>
          <cell r="D624" t="str">
            <v>N/A</v>
          </cell>
          <cell r="E624" t="str">
            <v>OVALIDAD</v>
          </cell>
          <cell r="F624" t="str">
            <v>EVELYN ESTUDILLO</v>
          </cell>
          <cell r="G624">
            <v>44954</v>
          </cell>
          <cell r="H624" t="str">
            <v>Nohemi</v>
          </cell>
          <cell r="I624" t="str">
            <v>PASS</v>
          </cell>
          <cell r="J624" t="str">
            <v>SPR8</v>
          </cell>
          <cell r="K624" t="str">
            <v>720-4</v>
          </cell>
          <cell r="L624">
            <v>12</v>
          </cell>
          <cell r="M624" t="str">
            <v>OVALIDAD</v>
          </cell>
        </row>
        <row r="625">
          <cell r="A625">
            <v>20230622</v>
          </cell>
          <cell r="B625">
            <v>44954</v>
          </cell>
          <cell r="C625" t="str">
            <v>34235233G</v>
          </cell>
          <cell r="D625" t="str">
            <v>N/A</v>
          </cell>
          <cell r="E625" t="str">
            <v>OVALIDAD</v>
          </cell>
          <cell r="F625" t="str">
            <v>EVELYN ESTUDILLO</v>
          </cell>
          <cell r="G625">
            <v>44954</v>
          </cell>
          <cell r="H625" t="str">
            <v>Nohemi</v>
          </cell>
          <cell r="I625" t="str">
            <v>PASS</v>
          </cell>
          <cell r="J625" t="str">
            <v>SPR8</v>
          </cell>
          <cell r="K625" t="str">
            <v>720-5</v>
          </cell>
          <cell r="L625">
            <v>12</v>
          </cell>
          <cell r="M625" t="str">
            <v>OVALIDAD</v>
          </cell>
        </row>
        <row r="626">
          <cell r="A626">
            <v>20230623</v>
          </cell>
          <cell r="B626">
            <v>44954</v>
          </cell>
          <cell r="C626" t="str">
            <v>34235233G</v>
          </cell>
          <cell r="D626" t="str">
            <v>N/A</v>
          </cell>
          <cell r="E626" t="str">
            <v>CONCENTRICIDAD</v>
          </cell>
          <cell r="F626" t="str">
            <v>MAYRA HERNANDEZ</v>
          </cell>
          <cell r="G626">
            <v>44954</v>
          </cell>
          <cell r="H626" t="str">
            <v>Abel</v>
          </cell>
          <cell r="I626" t="str">
            <v>PASS</v>
          </cell>
          <cell r="J626" t="str">
            <v>SPR8</v>
          </cell>
          <cell r="K626" t="str">
            <v>720-5</v>
          </cell>
          <cell r="L626">
            <v>12</v>
          </cell>
          <cell r="M626" t="str">
            <v>CONCENTRICIDAD</v>
          </cell>
        </row>
        <row r="627">
          <cell r="A627">
            <v>20230624</v>
          </cell>
          <cell r="B627">
            <v>44954</v>
          </cell>
          <cell r="C627" t="str">
            <v>34271008G</v>
          </cell>
          <cell r="D627" t="str">
            <v>N/A</v>
          </cell>
          <cell r="E627" t="str">
            <v>CONCENTRICIDAD</v>
          </cell>
          <cell r="F627" t="str">
            <v>MAYRA HERNANDEZ</v>
          </cell>
          <cell r="G627">
            <v>44954</v>
          </cell>
          <cell r="H627" t="str">
            <v>Abel</v>
          </cell>
          <cell r="I627" t="str">
            <v>PASS</v>
          </cell>
          <cell r="J627" t="str">
            <v>SPR8</v>
          </cell>
          <cell r="K627" t="str">
            <v>720-3</v>
          </cell>
          <cell r="L627">
            <v>18</v>
          </cell>
          <cell r="M627" t="str">
            <v>CONCENTRICIDAD</v>
          </cell>
        </row>
        <row r="628">
          <cell r="A628">
            <v>20230625</v>
          </cell>
          <cell r="B628">
            <v>44954</v>
          </cell>
          <cell r="C628" t="str">
            <v>34301470D</v>
          </cell>
          <cell r="D628" t="str">
            <v>N/A</v>
          </cell>
          <cell r="E628" t="str">
            <v>CONCENTRICIDAD</v>
          </cell>
          <cell r="F628" t="str">
            <v>MAYRA HERNANDEZ</v>
          </cell>
          <cell r="G628">
            <v>44954</v>
          </cell>
          <cell r="H628" t="str">
            <v>Abel</v>
          </cell>
          <cell r="I628" t="str">
            <v>PASS</v>
          </cell>
          <cell r="J628" t="str">
            <v>SPR8</v>
          </cell>
          <cell r="K628" t="str">
            <v>720-2</v>
          </cell>
          <cell r="L628">
            <v>12</v>
          </cell>
          <cell r="M628" t="str">
            <v>CONCENTRICIDAD</v>
          </cell>
        </row>
        <row r="629">
          <cell r="A629">
            <v>20230626</v>
          </cell>
          <cell r="B629">
            <v>44954</v>
          </cell>
          <cell r="C629" t="str">
            <v>34235233G</v>
          </cell>
          <cell r="D629" t="str">
            <v>N/A</v>
          </cell>
          <cell r="E629" t="str">
            <v>OVALIDAD</v>
          </cell>
          <cell r="F629" t="str">
            <v>MAYRA HERNANDEZ</v>
          </cell>
          <cell r="G629">
            <v>44954</v>
          </cell>
          <cell r="H629" t="str">
            <v>Abel</v>
          </cell>
          <cell r="I629" t="str">
            <v>PASS</v>
          </cell>
          <cell r="J629" t="str">
            <v>SPR8</v>
          </cell>
          <cell r="K629" t="str">
            <v>720-5</v>
          </cell>
          <cell r="L629">
            <v>12</v>
          </cell>
          <cell r="M629" t="str">
            <v>OVALIDAD</v>
          </cell>
        </row>
        <row r="630">
          <cell r="A630">
            <v>20230627</v>
          </cell>
          <cell r="B630">
            <v>44954</v>
          </cell>
          <cell r="C630" t="str">
            <v>34271008G</v>
          </cell>
          <cell r="D630" t="str">
            <v>N/A</v>
          </cell>
          <cell r="E630" t="str">
            <v>OVALIDAD</v>
          </cell>
          <cell r="F630" t="str">
            <v>MAYRA HERNANDEZ</v>
          </cell>
          <cell r="G630">
            <v>44954</v>
          </cell>
          <cell r="H630" t="str">
            <v>Abel</v>
          </cell>
          <cell r="I630" t="str">
            <v>PASS</v>
          </cell>
          <cell r="J630" t="str">
            <v>SPR8</v>
          </cell>
          <cell r="K630" t="str">
            <v>720-3</v>
          </cell>
          <cell r="L630">
            <v>18</v>
          </cell>
          <cell r="M630" t="str">
            <v>OVALIDAD</v>
          </cell>
        </row>
        <row r="631">
          <cell r="A631">
            <v>20230628</v>
          </cell>
          <cell r="B631">
            <v>44954</v>
          </cell>
          <cell r="C631" t="str">
            <v>34301470D</v>
          </cell>
          <cell r="D631" t="str">
            <v>N/A</v>
          </cell>
          <cell r="E631" t="str">
            <v>OVALIDAD</v>
          </cell>
          <cell r="F631" t="str">
            <v>MAYRA HERNANDEZ</v>
          </cell>
          <cell r="G631">
            <v>44954</v>
          </cell>
          <cell r="H631" t="str">
            <v>Abel</v>
          </cell>
          <cell r="I631" t="str">
            <v>PASS</v>
          </cell>
          <cell r="J631" t="str">
            <v>SPR8</v>
          </cell>
          <cell r="K631" t="str">
            <v>720-2</v>
          </cell>
          <cell r="L631">
            <v>12</v>
          </cell>
          <cell r="M631" t="str">
            <v>OVALIDAD</v>
          </cell>
        </row>
        <row r="632">
          <cell r="A632">
            <v>20230629</v>
          </cell>
          <cell r="B632">
            <v>44954</v>
          </cell>
          <cell r="C632" t="str">
            <v>34346842C</v>
          </cell>
          <cell r="D632" t="str">
            <v>N/A</v>
          </cell>
          <cell r="E632" t="str">
            <v>CONCENTRICIDAD</v>
          </cell>
          <cell r="F632" t="str">
            <v>MAYRA HERNANDEZ</v>
          </cell>
          <cell r="G632">
            <v>44954</v>
          </cell>
          <cell r="H632" t="str">
            <v>ERNESTO</v>
          </cell>
          <cell r="I632" t="str">
            <v>PASS</v>
          </cell>
          <cell r="J632" t="str">
            <v>SPR8</v>
          </cell>
          <cell r="K632" t="str">
            <v>720-1</v>
          </cell>
          <cell r="L632">
            <v>12</v>
          </cell>
          <cell r="M632" t="str">
            <v>CONCENTRICIDAD</v>
          </cell>
        </row>
        <row r="633">
          <cell r="A633">
            <v>20230630</v>
          </cell>
          <cell r="B633">
            <v>44954</v>
          </cell>
          <cell r="C633" t="str">
            <v>34346842C</v>
          </cell>
          <cell r="D633" t="str">
            <v>N/A</v>
          </cell>
          <cell r="E633" t="str">
            <v>OVALIDAD</v>
          </cell>
          <cell r="F633" t="str">
            <v>MAYRA HERNANDEZ</v>
          </cell>
          <cell r="G633">
            <v>44954</v>
          </cell>
          <cell r="H633" t="str">
            <v>ERNESTO</v>
          </cell>
          <cell r="I633" t="str">
            <v>PASS</v>
          </cell>
          <cell r="J633" t="str">
            <v>SPR8</v>
          </cell>
          <cell r="K633" t="str">
            <v>720-1</v>
          </cell>
          <cell r="L633">
            <v>12</v>
          </cell>
          <cell r="M633" t="str">
            <v>OVALIDAD</v>
          </cell>
        </row>
        <row r="634">
          <cell r="A634">
            <v>20230631</v>
          </cell>
          <cell r="B634">
            <v>44954</v>
          </cell>
          <cell r="C634" t="str">
            <v>A020R6618A</v>
          </cell>
          <cell r="D634" t="str">
            <v>N/A</v>
          </cell>
          <cell r="E634" t="str">
            <v>CONCENTRICIDAD</v>
          </cell>
          <cell r="F634" t="str">
            <v>MAYRA HERNANDEZ</v>
          </cell>
          <cell r="G634">
            <v>44954</v>
          </cell>
          <cell r="H634" t="str">
            <v>ERNESTO</v>
          </cell>
          <cell r="I634" t="str">
            <v>PASS</v>
          </cell>
          <cell r="J634" t="str">
            <v>SPR8</v>
          </cell>
          <cell r="K634" t="str">
            <v>720-6</v>
          </cell>
          <cell r="L634">
            <v>12</v>
          </cell>
          <cell r="M634" t="str">
            <v>CONCENTRICIDAD</v>
          </cell>
        </row>
        <row r="635">
          <cell r="A635">
            <v>20230632</v>
          </cell>
          <cell r="B635">
            <v>44954</v>
          </cell>
          <cell r="C635" t="str">
            <v>A020R6618A</v>
          </cell>
          <cell r="D635" t="str">
            <v>N/A</v>
          </cell>
          <cell r="E635" t="str">
            <v>OVALIDAD</v>
          </cell>
          <cell r="F635" t="str">
            <v>MAYRA HERNANDEZ</v>
          </cell>
          <cell r="G635">
            <v>44954</v>
          </cell>
          <cell r="H635" t="str">
            <v>ERNESTO</v>
          </cell>
          <cell r="I635" t="str">
            <v>PASS</v>
          </cell>
          <cell r="J635" t="str">
            <v>SPR8</v>
          </cell>
          <cell r="K635" t="str">
            <v>720-6</v>
          </cell>
          <cell r="L635">
            <v>12</v>
          </cell>
          <cell r="M635" t="str">
            <v>OVALIDAD</v>
          </cell>
        </row>
        <row r="636">
          <cell r="A636">
            <v>20230633</v>
          </cell>
          <cell r="B636">
            <v>44955</v>
          </cell>
          <cell r="C636" t="str">
            <v>34235232G</v>
          </cell>
          <cell r="D636" t="str">
            <v>N/A</v>
          </cell>
          <cell r="E636" t="str">
            <v>OVALIDAD</v>
          </cell>
          <cell r="F636" t="str">
            <v>EVELYN ESTUDILLO</v>
          </cell>
          <cell r="G636">
            <v>44955</v>
          </cell>
          <cell r="H636" t="str">
            <v>GILBERTO</v>
          </cell>
          <cell r="I636" t="str">
            <v>PASS</v>
          </cell>
          <cell r="J636" t="str">
            <v>SPR8</v>
          </cell>
          <cell r="K636" t="str">
            <v>720-3</v>
          </cell>
          <cell r="L636">
            <v>6</v>
          </cell>
          <cell r="M636" t="str">
            <v>OVALIDAD</v>
          </cell>
        </row>
        <row r="637">
          <cell r="A637">
            <v>20230634</v>
          </cell>
          <cell r="B637">
            <v>44955</v>
          </cell>
          <cell r="C637" t="str">
            <v>34235232G</v>
          </cell>
          <cell r="D637" t="str">
            <v>N/A</v>
          </cell>
          <cell r="E637" t="str">
            <v>CONCENTRICIDAD</v>
          </cell>
          <cell r="F637" t="str">
            <v>EVELYN ESTUDILLO</v>
          </cell>
          <cell r="G637">
            <v>44955</v>
          </cell>
          <cell r="H637" t="str">
            <v>GILBERTO</v>
          </cell>
          <cell r="I637" t="str">
            <v>PASS</v>
          </cell>
          <cell r="J637" t="str">
            <v>SPR8</v>
          </cell>
          <cell r="K637" t="str">
            <v>720-3</v>
          </cell>
          <cell r="L637">
            <v>6</v>
          </cell>
          <cell r="M637" t="str">
            <v>CONCENTRICIDAD</v>
          </cell>
        </row>
        <row r="638">
          <cell r="A638">
            <v>20230635</v>
          </cell>
          <cell r="B638">
            <v>44955</v>
          </cell>
          <cell r="C638" t="str">
            <v>34301470D</v>
          </cell>
          <cell r="D638" t="str">
            <v>N/A</v>
          </cell>
          <cell r="E638" t="str">
            <v>OVALIDAD</v>
          </cell>
          <cell r="F638" t="str">
            <v>EVELYN ESTUDILLO</v>
          </cell>
          <cell r="G638">
            <v>44955</v>
          </cell>
          <cell r="H638" t="str">
            <v>GILBERTO</v>
          </cell>
          <cell r="I638" t="str">
            <v>PASS</v>
          </cell>
          <cell r="J638" t="str">
            <v>SPR8</v>
          </cell>
          <cell r="K638" t="str">
            <v>720-2</v>
          </cell>
          <cell r="L638">
            <v>6</v>
          </cell>
          <cell r="M638" t="str">
            <v>OVALIDAD</v>
          </cell>
        </row>
        <row r="639">
          <cell r="A639">
            <v>20230636</v>
          </cell>
          <cell r="B639">
            <v>44955</v>
          </cell>
          <cell r="C639" t="str">
            <v>34301470D</v>
          </cell>
          <cell r="D639" t="str">
            <v>N/A</v>
          </cell>
          <cell r="E639" t="str">
            <v>CONCENTRICIDAD</v>
          </cell>
          <cell r="F639" t="str">
            <v>EVELYN ESTUDILLO</v>
          </cell>
          <cell r="G639">
            <v>44955</v>
          </cell>
          <cell r="H639" t="str">
            <v>GILBERTO</v>
          </cell>
          <cell r="I639" t="str">
            <v>PASS</v>
          </cell>
          <cell r="J639" t="str">
            <v>SPR8</v>
          </cell>
          <cell r="K639" t="str">
            <v>720-2</v>
          </cell>
          <cell r="L639">
            <v>6</v>
          </cell>
          <cell r="M639" t="str">
            <v>CONCENTRICIDAD</v>
          </cell>
        </row>
        <row r="640">
          <cell r="A640">
            <v>20230637</v>
          </cell>
          <cell r="B640">
            <v>44955</v>
          </cell>
          <cell r="C640" t="str">
            <v>34324759E</v>
          </cell>
          <cell r="D640" t="str">
            <v>N/A</v>
          </cell>
          <cell r="E640" t="str">
            <v>OVALIDAD</v>
          </cell>
          <cell r="F640" t="str">
            <v>EVELYN ESTUDILLO</v>
          </cell>
          <cell r="G640">
            <v>44955</v>
          </cell>
          <cell r="H640" t="str">
            <v>GILBERTO</v>
          </cell>
          <cell r="I640" t="str">
            <v>PASS</v>
          </cell>
          <cell r="J640" t="str">
            <v>SPR8</v>
          </cell>
          <cell r="K640" t="str">
            <v>720-5</v>
          </cell>
          <cell r="L640">
            <v>12</v>
          </cell>
          <cell r="M640" t="str">
            <v>OVALIDAD</v>
          </cell>
        </row>
        <row r="641">
          <cell r="A641">
            <v>20230638</v>
          </cell>
          <cell r="B641">
            <v>44955</v>
          </cell>
          <cell r="C641" t="str">
            <v>34324759E</v>
          </cell>
          <cell r="D641" t="str">
            <v>N/A</v>
          </cell>
          <cell r="E641" t="str">
            <v>CONCENTRICIDAD</v>
          </cell>
          <cell r="F641" t="str">
            <v>EVELYN ESTUDILLO</v>
          </cell>
          <cell r="G641">
            <v>44955</v>
          </cell>
          <cell r="H641" t="str">
            <v>GILBERTO</v>
          </cell>
          <cell r="I641" t="str">
            <v>PASS</v>
          </cell>
          <cell r="J641" t="str">
            <v>SPR8</v>
          </cell>
          <cell r="K641" t="str">
            <v>720-5</v>
          </cell>
          <cell r="L641">
            <v>12</v>
          </cell>
          <cell r="M641" t="str">
            <v>CONCENTRICIDAD</v>
          </cell>
        </row>
        <row r="642">
          <cell r="A642">
            <v>20230639</v>
          </cell>
          <cell r="B642">
            <v>44955</v>
          </cell>
          <cell r="C642" t="str">
            <v>34296438C</v>
          </cell>
          <cell r="D642" t="str">
            <v>N/A</v>
          </cell>
          <cell r="E642" t="str">
            <v>CONCENTRICIDAD</v>
          </cell>
          <cell r="F642" t="str">
            <v>Augusto Rdz</v>
          </cell>
          <cell r="G642">
            <v>44955</v>
          </cell>
          <cell r="H642" t="str">
            <v>Eric</v>
          </cell>
          <cell r="I642" t="str">
            <v>PASS</v>
          </cell>
          <cell r="J642" t="str">
            <v>SPR8</v>
          </cell>
          <cell r="K642" t="str">
            <v>720-2</v>
          </cell>
          <cell r="L642">
            <v>12</v>
          </cell>
          <cell r="M642" t="str">
            <v>CONCENTRICIDAD</v>
          </cell>
        </row>
        <row r="643">
          <cell r="A643">
            <v>20230640</v>
          </cell>
          <cell r="B643">
            <v>44955</v>
          </cell>
          <cell r="C643" t="str">
            <v>34235232G</v>
          </cell>
          <cell r="D643" t="str">
            <v>N/A</v>
          </cell>
          <cell r="E643" t="str">
            <v>CONCENTRICIDAD</v>
          </cell>
          <cell r="F643" t="str">
            <v>Augusto Rdz</v>
          </cell>
          <cell r="G643">
            <v>44955</v>
          </cell>
          <cell r="H643" t="str">
            <v>Eric</v>
          </cell>
          <cell r="I643" t="str">
            <v>PASS</v>
          </cell>
          <cell r="J643" t="str">
            <v>SPR8</v>
          </cell>
          <cell r="K643" t="str">
            <v>720-3</v>
          </cell>
          <cell r="L643">
            <v>12</v>
          </cell>
          <cell r="M643" t="str">
            <v>CONCENTRICIDAD</v>
          </cell>
        </row>
        <row r="644">
          <cell r="A644">
            <v>20230641</v>
          </cell>
          <cell r="B644">
            <v>44955</v>
          </cell>
          <cell r="C644" t="str">
            <v>34361270A</v>
          </cell>
          <cell r="D644" t="str">
            <v>N/A</v>
          </cell>
          <cell r="E644" t="str">
            <v>CONCENTRICIDAD</v>
          </cell>
          <cell r="F644" t="str">
            <v>Augusto Rdz</v>
          </cell>
          <cell r="G644">
            <v>44955</v>
          </cell>
          <cell r="H644" t="str">
            <v>Eric</v>
          </cell>
          <cell r="I644" t="str">
            <v>PASS</v>
          </cell>
          <cell r="J644" t="str">
            <v>SPR8</v>
          </cell>
          <cell r="K644" t="str">
            <v>720-4</v>
          </cell>
          <cell r="L644">
            <v>12</v>
          </cell>
          <cell r="M644" t="str">
            <v>CONCENTRICIDAD</v>
          </cell>
        </row>
        <row r="645">
          <cell r="A645">
            <v>20230642</v>
          </cell>
          <cell r="B645">
            <v>44955</v>
          </cell>
          <cell r="C645" t="str">
            <v>34235233G</v>
          </cell>
          <cell r="D645" t="str">
            <v>N/A</v>
          </cell>
          <cell r="E645" t="str">
            <v>CONCENTRICIDAD</v>
          </cell>
          <cell r="F645" t="str">
            <v>Augusto Rdz</v>
          </cell>
          <cell r="G645">
            <v>44955</v>
          </cell>
          <cell r="H645" t="str">
            <v>Eric</v>
          </cell>
          <cell r="I645" t="str">
            <v>PASS</v>
          </cell>
          <cell r="J645" t="str">
            <v>SPR8</v>
          </cell>
          <cell r="K645" t="str">
            <v>720-5</v>
          </cell>
          <cell r="L645">
            <v>12</v>
          </cell>
          <cell r="M645" t="str">
            <v>CONCENTRICIDAD</v>
          </cell>
        </row>
        <row r="646">
          <cell r="A646">
            <v>20230643</v>
          </cell>
          <cell r="B646">
            <v>44955</v>
          </cell>
          <cell r="C646" t="str">
            <v>34296438C</v>
          </cell>
          <cell r="D646" t="str">
            <v>N/A</v>
          </cell>
          <cell r="E646" t="str">
            <v>OVALIDAD</v>
          </cell>
          <cell r="F646" t="str">
            <v>Augusto Rdz</v>
          </cell>
          <cell r="G646">
            <v>44955</v>
          </cell>
          <cell r="H646" t="str">
            <v>Eric</v>
          </cell>
          <cell r="I646" t="str">
            <v>PASS</v>
          </cell>
          <cell r="J646" t="str">
            <v>SPR8</v>
          </cell>
          <cell r="K646" t="str">
            <v>720-2</v>
          </cell>
          <cell r="L646">
            <v>12</v>
          </cell>
          <cell r="M646" t="str">
            <v>OVALIDAD</v>
          </cell>
        </row>
        <row r="647">
          <cell r="A647">
            <v>20230644</v>
          </cell>
          <cell r="B647">
            <v>44955</v>
          </cell>
          <cell r="C647" t="str">
            <v>34235232G</v>
          </cell>
          <cell r="D647" t="str">
            <v>N/A</v>
          </cell>
          <cell r="E647" t="str">
            <v>OVALIDAD</v>
          </cell>
          <cell r="F647" t="str">
            <v>Augusto Rdz</v>
          </cell>
          <cell r="G647">
            <v>44955</v>
          </cell>
          <cell r="H647" t="str">
            <v>Eric</v>
          </cell>
          <cell r="I647" t="str">
            <v>PASS</v>
          </cell>
          <cell r="J647" t="str">
            <v>SPR8</v>
          </cell>
          <cell r="K647" t="str">
            <v>720-3</v>
          </cell>
          <cell r="L647">
            <v>12</v>
          </cell>
          <cell r="M647" t="str">
            <v>OVALIDAD</v>
          </cell>
        </row>
        <row r="648">
          <cell r="A648">
            <v>20230645</v>
          </cell>
          <cell r="B648">
            <v>44955</v>
          </cell>
          <cell r="C648" t="str">
            <v>34361270A</v>
          </cell>
          <cell r="D648" t="str">
            <v>N/A</v>
          </cell>
          <cell r="E648" t="str">
            <v>OVALIDAD</v>
          </cell>
          <cell r="F648" t="str">
            <v>Augusto Rdz</v>
          </cell>
          <cell r="G648">
            <v>44955</v>
          </cell>
          <cell r="H648" t="str">
            <v>Eric</v>
          </cell>
          <cell r="I648" t="str">
            <v>PASS</v>
          </cell>
          <cell r="J648" t="str">
            <v>SPR8</v>
          </cell>
          <cell r="K648" t="str">
            <v>720-4</v>
          </cell>
          <cell r="L648">
            <v>12</v>
          </cell>
          <cell r="M648" t="str">
            <v>OVALIDAD</v>
          </cell>
        </row>
        <row r="649">
          <cell r="A649">
            <v>20230646</v>
          </cell>
          <cell r="B649">
            <v>44955</v>
          </cell>
          <cell r="C649" t="str">
            <v>34235233G</v>
          </cell>
          <cell r="D649" t="str">
            <v>N/A</v>
          </cell>
          <cell r="E649" t="str">
            <v>OVALIDAD</v>
          </cell>
          <cell r="F649" t="str">
            <v>Augusto Rdz</v>
          </cell>
          <cell r="G649">
            <v>44955</v>
          </cell>
          <cell r="H649" t="str">
            <v>Eric</v>
          </cell>
          <cell r="I649" t="str">
            <v>PASS</v>
          </cell>
          <cell r="J649" t="str">
            <v>SPR8</v>
          </cell>
          <cell r="K649" t="str">
            <v>720-5</v>
          </cell>
          <cell r="L649">
            <v>12</v>
          </cell>
          <cell r="M649" t="str">
            <v>OVALIDAD</v>
          </cell>
        </row>
        <row r="650">
          <cell r="A650">
            <v>20230647</v>
          </cell>
          <cell r="B650">
            <v>44955</v>
          </cell>
          <cell r="C650" t="str">
            <v>34296437C</v>
          </cell>
          <cell r="D650" t="str">
            <v>N/A</v>
          </cell>
          <cell r="E650" t="str">
            <v>CONCENTRICIDAD</v>
          </cell>
          <cell r="F650" t="str">
            <v>Augusto Rdz</v>
          </cell>
          <cell r="G650">
            <v>44955</v>
          </cell>
          <cell r="H650" t="str">
            <v>Eric</v>
          </cell>
          <cell r="I650" t="str">
            <v>PASS</v>
          </cell>
          <cell r="J650" t="str">
            <v>SPR8</v>
          </cell>
          <cell r="K650" t="str">
            <v>720-1</v>
          </cell>
          <cell r="L650">
            <v>12</v>
          </cell>
          <cell r="M650" t="str">
            <v>CONCENTRICIDAD</v>
          </cell>
        </row>
        <row r="651">
          <cell r="A651">
            <v>20230648</v>
          </cell>
          <cell r="B651">
            <v>44955</v>
          </cell>
          <cell r="C651" t="str">
            <v>34296437C</v>
          </cell>
          <cell r="D651" t="str">
            <v>N/A</v>
          </cell>
          <cell r="E651" t="str">
            <v>OVALIDAD</v>
          </cell>
          <cell r="F651" t="str">
            <v>Augusto Rdz</v>
          </cell>
          <cell r="G651">
            <v>44955</v>
          </cell>
          <cell r="H651" t="str">
            <v>Eric</v>
          </cell>
          <cell r="I651" t="str">
            <v>PASS</v>
          </cell>
          <cell r="J651" t="str">
            <v>SPR8</v>
          </cell>
          <cell r="K651" t="str">
            <v>720-1</v>
          </cell>
          <cell r="L651">
            <v>12</v>
          </cell>
          <cell r="M651" t="str">
            <v>OVALIDAD</v>
          </cell>
        </row>
        <row r="652">
          <cell r="A652">
            <v>20230649</v>
          </cell>
          <cell r="B652">
            <v>44956</v>
          </cell>
          <cell r="C652" t="str">
            <v>34296438C</v>
          </cell>
          <cell r="D652" t="str">
            <v>N/A</v>
          </cell>
          <cell r="E652" t="str">
            <v>CONCENTRICIDAD</v>
          </cell>
          <cell r="F652" t="str">
            <v>Augusto Rdz</v>
          </cell>
          <cell r="G652">
            <v>44956</v>
          </cell>
          <cell r="H652" t="str">
            <v>Jose</v>
          </cell>
          <cell r="I652" t="str">
            <v>PASS</v>
          </cell>
          <cell r="J652" t="str">
            <v>SPR8</v>
          </cell>
          <cell r="K652" t="str">
            <v>720-2</v>
          </cell>
          <cell r="L652">
            <v>6</v>
          </cell>
          <cell r="M652" t="str">
            <v>CONCENTRICIDAD</v>
          </cell>
        </row>
        <row r="653">
          <cell r="A653">
            <v>20230650</v>
          </cell>
          <cell r="B653">
            <v>44956</v>
          </cell>
          <cell r="C653" t="str">
            <v>34296438C</v>
          </cell>
          <cell r="D653" t="str">
            <v>N/A</v>
          </cell>
          <cell r="E653" t="str">
            <v>OVALIDAD</v>
          </cell>
          <cell r="F653" t="str">
            <v>Augusto Rdz</v>
          </cell>
          <cell r="G653">
            <v>44956</v>
          </cell>
          <cell r="H653" t="str">
            <v>Jose</v>
          </cell>
          <cell r="I653" t="str">
            <v>PASS</v>
          </cell>
          <cell r="J653" t="str">
            <v>SPR8</v>
          </cell>
          <cell r="K653" t="str">
            <v>720-2</v>
          </cell>
          <cell r="L653">
            <v>6</v>
          </cell>
          <cell r="M653" t="str">
            <v>OVALIDAD</v>
          </cell>
        </row>
        <row r="654">
          <cell r="A654">
            <v>20230651</v>
          </cell>
          <cell r="B654">
            <v>44956</v>
          </cell>
          <cell r="C654" t="str">
            <v>34195795A</v>
          </cell>
          <cell r="D654" t="str">
            <v>FA0226740</v>
          </cell>
          <cell r="E654" t="str">
            <v>**Distancia</v>
          </cell>
          <cell r="F654" t="str">
            <v>Maria Sustaita</v>
          </cell>
          <cell r="G654">
            <v>44956</v>
          </cell>
          <cell r="H654" t="str">
            <v>Luis</v>
          </cell>
          <cell r="I654" t="str">
            <v>NO PASS</v>
          </cell>
          <cell r="J654" t="str">
            <v>SAP</v>
          </cell>
          <cell r="K654" t="str">
            <v>N/A</v>
          </cell>
          <cell r="L654">
            <v>24</v>
          </cell>
          <cell r="M654"/>
        </row>
        <row r="655">
          <cell r="A655">
            <v>20230652</v>
          </cell>
          <cell r="B655">
            <v>44956</v>
          </cell>
          <cell r="C655" t="str">
            <v>34018123D</v>
          </cell>
          <cell r="D655" t="str">
            <v>45-48</v>
          </cell>
          <cell r="E655" t="str">
            <v xml:space="preserve">Conforme al rip </v>
          </cell>
          <cell r="F655" t="str">
            <v>Nuevos programas</v>
          </cell>
          <cell r="G655">
            <v>44956</v>
          </cell>
          <cell r="H655" t="str">
            <v xml:space="preserve">Adela </v>
          </cell>
          <cell r="I655" t="str">
            <v>PASS</v>
          </cell>
          <cell r="J655" t="str">
            <v>N/A</v>
          </cell>
          <cell r="K655" t="str">
            <v>N/A</v>
          </cell>
          <cell r="L655">
            <v>800</v>
          </cell>
          <cell r="M655" t="str">
            <v>N/A</v>
          </cell>
        </row>
        <row r="656">
          <cell r="A656">
            <v>20230653</v>
          </cell>
          <cell r="B656">
            <v>44956</v>
          </cell>
          <cell r="C656" t="str">
            <v>A015C873C</v>
          </cell>
          <cell r="D656" t="str">
            <v>N/A</v>
          </cell>
          <cell r="E656" t="str">
            <v>31,32</v>
          </cell>
          <cell r="F656" t="str">
            <v>Laura Castillo</v>
          </cell>
          <cell r="G656">
            <v>44956</v>
          </cell>
          <cell r="H656" t="str">
            <v>Nohemi</v>
          </cell>
          <cell r="I656" t="str">
            <v>PASS</v>
          </cell>
          <cell r="J656" t="str">
            <v>A100</v>
          </cell>
          <cell r="K656" t="str">
            <v>703-A</v>
          </cell>
          <cell r="L656">
            <v>2</v>
          </cell>
          <cell r="M656" t="str">
            <v>A0038M7086A-C</v>
          </cell>
        </row>
        <row r="657">
          <cell r="A657">
            <v>20230654</v>
          </cell>
          <cell r="B657">
            <v>44956</v>
          </cell>
          <cell r="C657" t="str">
            <v>34333111A</v>
          </cell>
          <cell r="D657" t="str">
            <v>N/A</v>
          </cell>
          <cell r="E657">
            <v>11</v>
          </cell>
          <cell r="F657" t="str">
            <v>Laura Castillo</v>
          </cell>
          <cell r="G657">
            <v>44956</v>
          </cell>
          <cell r="H657" t="str">
            <v>Nohemi</v>
          </cell>
          <cell r="I657" t="str">
            <v>PASS</v>
          </cell>
          <cell r="J657" t="str">
            <v>A100</v>
          </cell>
          <cell r="K657">
            <v>464</v>
          </cell>
          <cell r="L657">
            <v>4</v>
          </cell>
          <cell r="M657" t="str">
            <v>A0053N8503A-D</v>
          </cell>
        </row>
        <row r="658">
          <cell r="A658">
            <v>20230655</v>
          </cell>
          <cell r="B658">
            <v>44956</v>
          </cell>
          <cell r="C658" t="str">
            <v>34146057BBB</v>
          </cell>
          <cell r="D658" t="str">
            <v>01</v>
          </cell>
          <cell r="E658" t="str">
            <v xml:space="preserve">Conforme al rip </v>
          </cell>
          <cell r="F658" t="str">
            <v>Nuevos programas</v>
          </cell>
          <cell r="G658">
            <v>44956</v>
          </cell>
          <cell r="H658" t="str">
            <v xml:space="preserve">Adela </v>
          </cell>
          <cell r="I658" t="str">
            <v>NO PASS</v>
          </cell>
          <cell r="J658" t="str">
            <v>N/A</v>
          </cell>
          <cell r="K658" t="str">
            <v>N/A</v>
          </cell>
          <cell r="L658">
            <v>500</v>
          </cell>
          <cell r="M658" t="str">
            <v>N/A</v>
          </cell>
        </row>
        <row r="659">
          <cell r="A659">
            <v>20230656</v>
          </cell>
          <cell r="B659">
            <v>44956</v>
          </cell>
          <cell r="C659" t="str">
            <v>34296438C</v>
          </cell>
          <cell r="D659" t="str">
            <v>N/A</v>
          </cell>
          <cell r="E659" t="str">
            <v>CONCENTRICIDAD</v>
          </cell>
          <cell r="F659" t="str">
            <v>EVELYN ESTUDILLO</v>
          </cell>
          <cell r="G659">
            <v>44956</v>
          </cell>
          <cell r="H659" t="str">
            <v>MAURICIO</v>
          </cell>
          <cell r="I659" t="str">
            <v>PASS</v>
          </cell>
          <cell r="J659" t="str">
            <v>SPR8</v>
          </cell>
          <cell r="K659" t="str">
            <v>720-2</v>
          </cell>
          <cell r="L659">
            <v>12</v>
          </cell>
          <cell r="M659" t="str">
            <v>CONCENTRICIDAD</v>
          </cell>
        </row>
        <row r="660">
          <cell r="A660">
            <v>20230657</v>
          </cell>
          <cell r="B660">
            <v>44956</v>
          </cell>
          <cell r="C660" t="str">
            <v>34361270A</v>
          </cell>
          <cell r="D660" t="str">
            <v>N/A</v>
          </cell>
          <cell r="E660" t="str">
            <v>CONCENTRICIDAD</v>
          </cell>
          <cell r="F660" t="str">
            <v>EVELYN ESTUDILLO</v>
          </cell>
          <cell r="G660">
            <v>44956</v>
          </cell>
          <cell r="H660" t="str">
            <v>MAURICIO</v>
          </cell>
          <cell r="I660" t="str">
            <v>PASS</v>
          </cell>
          <cell r="J660" t="str">
            <v>SPR8</v>
          </cell>
          <cell r="K660" t="str">
            <v>720-4</v>
          </cell>
          <cell r="L660">
            <v>12</v>
          </cell>
          <cell r="M660" t="str">
            <v>CONCENTRICIDAD</v>
          </cell>
        </row>
        <row r="661">
          <cell r="A661">
            <v>20230658</v>
          </cell>
          <cell r="B661">
            <v>44956</v>
          </cell>
          <cell r="C661" t="str">
            <v>A020R618A</v>
          </cell>
          <cell r="D661" t="str">
            <v>N/A</v>
          </cell>
          <cell r="E661" t="str">
            <v>CONCENTRICIDAD</v>
          </cell>
          <cell r="F661" t="str">
            <v>EVELYN ESTUDILLO</v>
          </cell>
          <cell r="G661">
            <v>44956</v>
          </cell>
          <cell r="H661" t="str">
            <v>MAURICIO</v>
          </cell>
          <cell r="I661" t="str">
            <v>PASS</v>
          </cell>
          <cell r="J661" t="str">
            <v>SPR8</v>
          </cell>
          <cell r="K661" t="str">
            <v>720-6</v>
          </cell>
          <cell r="L661">
            <v>12</v>
          </cell>
          <cell r="M661" t="str">
            <v>CONCENTRICIDAD</v>
          </cell>
        </row>
        <row r="662">
          <cell r="A662">
            <v>20230659</v>
          </cell>
          <cell r="B662">
            <v>44956</v>
          </cell>
          <cell r="C662" t="str">
            <v>34324759E</v>
          </cell>
          <cell r="D662" t="str">
            <v>N/A</v>
          </cell>
          <cell r="E662" t="str">
            <v>CONCENTRICIDAD</v>
          </cell>
          <cell r="F662" t="str">
            <v>EVELYN ESTUDILLO</v>
          </cell>
          <cell r="G662">
            <v>44956</v>
          </cell>
          <cell r="H662" t="str">
            <v>MAURICIO</v>
          </cell>
          <cell r="I662" t="str">
            <v>PASS</v>
          </cell>
          <cell r="J662" t="str">
            <v>SPR8</v>
          </cell>
          <cell r="K662" t="str">
            <v>720-5</v>
          </cell>
          <cell r="L662">
            <v>12</v>
          </cell>
          <cell r="M662" t="str">
            <v>CONCENTRICIDAD</v>
          </cell>
        </row>
        <row r="663">
          <cell r="A663">
            <v>20230660</v>
          </cell>
          <cell r="B663">
            <v>44956</v>
          </cell>
          <cell r="C663" t="str">
            <v>34235232G</v>
          </cell>
          <cell r="D663" t="str">
            <v>N/A</v>
          </cell>
          <cell r="E663" t="str">
            <v>CONCENTRICIDAD</v>
          </cell>
          <cell r="F663" t="str">
            <v>EVELYN ESTUDILLO</v>
          </cell>
          <cell r="G663">
            <v>44956</v>
          </cell>
          <cell r="H663" t="str">
            <v>MAURICIO</v>
          </cell>
          <cell r="I663" t="str">
            <v>PASS</v>
          </cell>
          <cell r="J663" t="str">
            <v>SPR8</v>
          </cell>
          <cell r="K663" t="str">
            <v>720-3</v>
          </cell>
          <cell r="L663">
            <v>12</v>
          </cell>
          <cell r="M663" t="str">
            <v>CONCENTRICIDAD</v>
          </cell>
        </row>
        <row r="664">
          <cell r="A664">
            <v>20230661</v>
          </cell>
          <cell r="B664">
            <v>44956</v>
          </cell>
          <cell r="C664" t="str">
            <v>34296437C</v>
          </cell>
          <cell r="D664" t="str">
            <v>N/A</v>
          </cell>
          <cell r="E664" t="str">
            <v>CONCENTRICIDAD</v>
          </cell>
          <cell r="F664" t="str">
            <v>EVELYN ESTUDILLO</v>
          </cell>
          <cell r="G664">
            <v>44956</v>
          </cell>
          <cell r="H664" t="str">
            <v>MAURICIO</v>
          </cell>
          <cell r="I664" t="str">
            <v>PASS</v>
          </cell>
          <cell r="J664" t="str">
            <v>SPR8</v>
          </cell>
          <cell r="K664" t="str">
            <v>720-1</v>
          </cell>
          <cell r="L664">
            <v>12</v>
          </cell>
          <cell r="M664" t="str">
            <v>CONCENTRICIDAD</v>
          </cell>
        </row>
        <row r="665">
          <cell r="A665">
            <v>20230662</v>
          </cell>
          <cell r="B665">
            <v>44956</v>
          </cell>
          <cell r="C665" t="str">
            <v>34296438C</v>
          </cell>
          <cell r="D665" t="str">
            <v>N/A</v>
          </cell>
          <cell r="E665" t="str">
            <v>OVALIDAD</v>
          </cell>
          <cell r="F665" t="str">
            <v>EVELYN ESTUDILLO</v>
          </cell>
          <cell r="G665">
            <v>44956</v>
          </cell>
          <cell r="H665" t="str">
            <v>MAURICIO</v>
          </cell>
          <cell r="I665" t="str">
            <v>PASS</v>
          </cell>
          <cell r="J665" t="str">
            <v>SPR8</v>
          </cell>
          <cell r="K665" t="str">
            <v>720-2</v>
          </cell>
          <cell r="L665">
            <v>12</v>
          </cell>
          <cell r="M665" t="str">
            <v>OVALIDAD</v>
          </cell>
        </row>
        <row r="666">
          <cell r="A666">
            <v>20230663</v>
          </cell>
          <cell r="B666">
            <v>44956</v>
          </cell>
          <cell r="C666" t="str">
            <v>34361270A</v>
          </cell>
          <cell r="D666" t="str">
            <v>N/A</v>
          </cell>
          <cell r="E666" t="str">
            <v>OVALIDAD</v>
          </cell>
          <cell r="F666" t="str">
            <v>EVELYN ESTUDILLO</v>
          </cell>
          <cell r="G666">
            <v>44956</v>
          </cell>
          <cell r="H666" t="str">
            <v>MAURICIO</v>
          </cell>
          <cell r="I666" t="str">
            <v>PASS</v>
          </cell>
          <cell r="J666" t="str">
            <v>SPR8</v>
          </cell>
          <cell r="K666" t="str">
            <v>720-4</v>
          </cell>
          <cell r="L666">
            <v>12</v>
          </cell>
          <cell r="M666" t="str">
            <v>OVALIDAD</v>
          </cell>
        </row>
        <row r="667">
          <cell r="A667">
            <v>20230664</v>
          </cell>
          <cell r="B667">
            <v>44956</v>
          </cell>
          <cell r="C667" t="str">
            <v>A020R618A</v>
          </cell>
          <cell r="D667" t="str">
            <v>N/A</v>
          </cell>
          <cell r="E667" t="str">
            <v>OVALIDAD</v>
          </cell>
          <cell r="F667" t="str">
            <v>EVELYN ESTUDILLO</v>
          </cell>
          <cell r="G667">
            <v>44956</v>
          </cell>
          <cell r="H667" t="str">
            <v>MAURICIO</v>
          </cell>
          <cell r="I667" t="str">
            <v>PASS</v>
          </cell>
          <cell r="J667" t="str">
            <v>SPR8</v>
          </cell>
          <cell r="K667" t="str">
            <v>720-6</v>
          </cell>
          <cell r="L667">
            <v>12</v>
          </cell>
          <cell r="M667" t="str">
            <v>OVALIDAD</v>
          </cell>
        </row>
        <row r="668">
          <cell r="A668">
            <v>20230665</v>
          </cell>
          <cell r="B668">
            <v>44956</v>
          </cell>
          <cell r="C668" t="str">
            <v>34324759E</v>
          </cell>
          <cell r="D668" t="str">
            <v>N/A</v>
          </cell>
          <cell r="E668" t="str">
            <v>OVALIDAD</v>
          </cell>
          <cell r="F668" t="str">
            <v>EVELYN ESTUDILLO</v>
          </cell>
          <cell r="G668">
            <v>44956</v>
          </cell>
          <cell r="H668" t="str">
            <v>MAURICIO</v>
          </cell>
          <cell r="I668" t="str">
            <v>PASS</v>
          </cell>
          <cell r="J668" t="str">
            <v>SPR8</v>
          </cell>
          <cell r="K668" t="str">
            <v>720-5</v>
          </cell>
          <cell r="L668">
            <v>12</v>
          </cell>
          <cell r="M668" t="str">
            <v>OVALIDAD</v>
          </cell>
        </row>
        <row r="669">
          <cell r="A669">
            <v>20230666</v>
          </cell>
          <cell r="B669">
            <v>44956</v>
          </cell>
          <cell r="C669" t="str">
            <v>34235232G</v>
          </cell>
          <cell r="D669" t="str">
            <v>N/A</v>
          </cell>
          <cell r="E669" t="str">
            <v>OVALIDAD</v>
          </cell>
          <cell r="F669" t="str">
            <v>EVELYN ESTUDILLO</v>
          </cell>
          <cell r="G669">
            <v>44956</v>
          </cell>
          <cell r="H669" t="str">
            <v>MAURICIO</v>
          </cell>
          <cell r="I669" t="str">
            <v>PASS</v>
          </cell>
          <cell r="J669" t="str">
            <v>SPR8</v>
          </cell>
          <cell r="K669" t="str">
            <v>720-3</v>
          </cell>
          <cell r="L669">
            <v>12</v>
          </cell>
          <cell r="M669" t="str">
            <v>OVALIDAD</v>
          </cell>
        </row>
        <row r="670">
          <cell r="A670">
            <v>20230667</v>
          </cell>
          <cell r="B670">
            <v>44956</v>
          </cell>
          <cell r="C670" t="str">
            <v>34296437C</v>
          </cell>
          <cell r="D670" t="str">
            <v>N/A</v>
          </cell>
          <cell r="E670" t="str">
            <v>OVALIDAD</v>
          </cell>
          <cell r="F670" t="str">
            <v>EVELYN ESTUDILLO</v>
          </cell>
          <cell r="G670">
            <v>44956</v>
          </cell>
          <cell r="H670" t="str">
            <v>MAURICIO</v>
          </cell>
          <cell r="I670" t="str">
            <v>PASS</v>
          </cell>
          <cell r="J670" t="str">
            <v>SPR8</v>
          </cell>
          <cell r="K670" t="str">
            <v>720-1</v>
          </cell>
          <cell r="L670">
            <v>12</v>
          </cell>
          <cell r="M670" t="str">
            <v>OVALIDAD</v>
          </cell>
        </row>
        <row r="671">
          <cell r="A671">
            <v>20230668</v>
          </cell>
          <cell r="B671">
            <v>44956</v>
          </cell>
          <cell r="C671" t="str">
            <v>34296437C</v>
          </cell>
          <cell r="D671" t="str">
            <v>N/A</v>
          </cell>
          <cell r="E671" t="str">
            <v>CONCENTRICIDAD</v>
          </cell>
          <cell r="F671" t="str">
            <v>Gabriel Ramos</v>
          </cell>
          <cell r="G671">
            <v>44956</v>
          </cell>
          <cell r="H671" t="str">
            <v>Nohemi</v>
          </cell>
          <cell r="I671" t="str">
            <v>PASS</v>
          </cell>
          <cell r="J671" t="str">
            <v>SPR8</v>
          </cell>
          <cell r="K671" t="str">
            <v>720-1</v>
          </cell>
          <cell r="L671">
            <v>6</v>
          </cell>
          <cell r="M671" t="str">
            <v>CONCENTRICIDAD</v>
          </cell>
        </row>
        <row r="672">
          <cell r="A672">
            <v>20230669</v>
          </cell>
          <cell r="B672">
            <v>44956</v>
          </cell>
          <cell r="C672" t="str">
            <v>34296437C</v>
          </cell>
          <cell r="D672" t="str">
            <v>N/A</v>
          </cell>
          <cell r="E672" t="str">
            <v>OVALIDAD</v>
          </cell>
          <cell r="F672" t="str">
            <v>Gabriel Ramos</v>
          </cell>
          <cell r="G672">
            <v>44956</v>
          </cell>
          <cell r="H672" t="str">
            <v>Nohemi</v>
          </cell>
          <cell r="I672" t="str">
            <v>PASS</v>
          </cell>
          <cell r="J672" t="str">
            <v>SPR8</v>
          </cell>
          <cell r="K672" t="str">
            <v>720-1</v>
          </cell>
          <cell r="L672">
            <v>6</v>
          </cell>
          <cell r="M672" t="str">
            <v>OVALIDAD</v>
          </cell>
        </row>
        <row r="673">
          <cell r="A673">
            <v>20230670</v>
          </cell>
          <cell r="B673">
            <v>44956</v>
          </cell>
          <cell r="C673" t="str">
            <v>34296437C</v>
          </cell>
          <cell r="D673" t="str">
            <v>N/A</v>
          </cell>
          <cell r="E673" t="str">
            <v>CONCENTRICIDAD</v>
          </cell>
          <cell r="F673" t="str">
            <v>Gabriel Ramos</v>
          </cell>
          <cell r="G673">
            <v>44956</v>
          </cell>
          <cell r="H673" t="str">
            <v>Nohemi</v>
          </cell>
          <cell r="I673" t="str">
            <v>PASS</v>
          </cell>
          <cell r="J673" t="str">
            <v>SPR8</v>
          </cell>
          <cell r="K673" t="str">
            <v>720-1</v>
          </cell>
          <cell r="L673">
            <v>6</v>
          </cell>
          <cell r="M673" t="str">
            <v>CONCENTRICIDAD</v>
          </cell>
        </row>
        <row r="674">
          <cell r="A674">
            <v>20230671</v>
          </cell>
          <cell r="B674">
            <v>44956</v>
          </cell>
          <cell r="C674" t="str">
            <v>34296437C</v>
          </cell>
          <cell r="D674" t="str">
            <v>N/A</v>
          </cell>
          <cell r="E674" t="str">
            <v>OVALIDAD</v>
          </cell>
          <cell r="F674" t="str">
            <v>Gabriel Ramos</v>
          </cell>
          <cell r="G674">
            <v>44956</v>
          </cell>
          <cell r="H674" t="str">
            <v>Nohemi</v>
          </cell>
          <cell r="I674" t="str">
            <v>PASS</v>
          </cell>
          <cell r="J674" t="str">
            <v>SPR8</v>
          </cell>
          <cell r="K674" t="str">
            <v>720-1</v>
          </cell>
          <cell r="L674">
            <v>6</v>
          </cell>
          <cell r="M674" t="str">
            <v>OVALIDAD</v>
          </cell>
        </row>
        <row r="675">
          <cell r="A675">
            <v>20230672</v>
          </cell>
          <cell r="B675">
            <v>44956</v>
          </cell>
          <cell r="C675" t="str">
            <v>34296437C</v>
          </cell>
          <cell r="D675" t="str">
            <v>N/A</v>
          </cell>
          <cell r="E675" t="str">
            <v>CONCENTRICIDAD</v>
          </cell>
          <cell r="F675" t="str">
            <v>Augusto Rdz</v>
          </cell>
          <cell r="G675">
            <v>44956</v>
          </cell>
          <cell r="H675" t="str">
            <v>Jose</v>
          </cell>
          <cell r="I675" t="str">
            <v>PASS</v>
          </cell>
          <cell r="J675" t="str">
            <v>SPR8</v>
          </cell>
          <cell r="K675" t="str">
            <v>720-1</v>
          </cell>
          <cell r="L675">
            <v>12</v>
          </cell>
          <cell r="M675" t="str">
            <v>CONCENTRICIDAD</v>
          </cell>
        </row>
        <row r="676">
          <cell r="A676">
            <v>20230673</v>
          </cell>
          <cell r="B676">
            <v>44956</v>
          </cell>
          <cell r="C676" t="str">
            <v>34296437C</v>
          </cell>
          <cell r="D676" t="str">
            <v>N/A</v>
          </cell>
          <cell r="E676" t="str">
            <v>OVALIDAD</v>
          </cell>
          <cell r="F676" t="str">
            <v>Augusto Rdz</v>
          </cell>
          <cell r="G676">
            <v>44956</v>
          </cell>
          <cell r="H676" t="str">
            <v>Jose</v>
          </cell>
          <cell r="I676" t="str">
            <v>PASS</v>
          </cell>
          <cell r="J676" t="str">
            <v>SPR8</v>
          </cell>
          <cell r="K676" t="str">
            <v>720-1</v>
          </cell>
          <cell r="L676">
            <v>12</v>
          </cell>
          <cell r="M676" t="str">
            <v>OVALIDAD</v>
          </cell>
        </row>
        <row r="677">
          <cell r="A677">
            <v>20230674</v>
          </cell>
          <cell r="B677">
            <v>44956</v>
          </cell>
          <cell r="C677" t="str">
            <v>34235231G</v>
          </cell>
          <cell r="D677" t="str">
            <v>N/A</v>
          </cell>
          <cell r="E677" t="str">
            <v>CONCENTRICIDAD</v>
          </cell>
          <cell r="F677" t="str">
            <v>Augusto Rdz</v>
          </cell>
          <cell r="G677">
            <v>44956</v>
          </cell>
          <cell r="H677" t="str">
            <v>Jose</v>
          </cell>
          <cell r="I677" t="str">
            <v>PASS</v>
          </cell>
          <cell r="J677" t="str">
            <v>SPR8</v>
          </cell>
          <cell r="K677" t="str">
            <v>720-3</v>
          </cell>
          <cell r="L677">
            <v>18</v>
          </cell>
          <cell r="M677" t="str">
            <v>CONCENTRICIDAD</v>
          </cell>
        </row>
        <row r="678">
          <cell r="A678">
            <v>20230675</v>
          </cell>
          <cell r="B678">
            <v>44956</v>
          </cell>
          <cell r="C678" t="str">
            <v>34235231G</v>
          </cell>
          <cell r="D678" t="str">
            <v>N/A</v>
          </cell>
          <cell r="E678" t="str">
            <v>OVALIDAD</v>
          </cell>
          <cell r="F678" t="str">
            <v>Augusto Rdz</v>
          </cell>
          <cell r="G678">
            <v>44956</v>
          </cell>
          <cell r="H678" t="str">
            <v>Jose</v>
          </cell>
          <cell r="I678" t="str">
            <v>PASS</v>
          </cell>
          <cell r="J678" t="str">
            <v>SPR8</v>
          </cell>
          <cell r="K678" t="str">
            <v>720-3</v>
          </cell>
          <cell r="L678">
            <v>18</v>
          </cell>
          <cell r="M678" t="str">
            <v>OVALIDAD</v>
          </cell>
        </row>
        <row r="679">
          <cell r="A679">
            <v>20230676</v>
          </cell>
          <cell r="B679">
            <v>44956</v>
          </cell>
          <cell r="C679" t="str">
            <v>34324759E</v>
          </cell>
          <cell r="D679" t="str">
            <v>N/A</v>
          </cell>
          <cell r="E679" t="str">
            <v>CONCENTRICIDAD</v>
          </cell>
          <cell r="F679" t="str">
            <v>Augusto Rdz</v>
          </cell>
          <cell r="G679">
            <v>44956</v>
          </cell>
          <cell r="H679" t="str">
            <v>Jose</v>
          </cell>
          <cell r="I679" t="str">
            <v>PASS</v>
          </cell>
          <cell r="J679" t="str">
            <v>SPR8</v>
          </cell>
          <cell r="K679" t="str">
            <v>720-5</v>
          </cell>
          <cell r="L679">
            <v>12</v>
          </cell>
          <cell r="M679" t="str">
            <v>CONCENTRICIDAD</v>
          </cell>
        </row>
        <row r="680">
          <cell r="A680">
            <v>20230677</v>
          </cell>
          <cell r="B680">
            <v>44956</v>
          </cell>
          <cell r="C680" t="str">
            <v>34324759E</v>
          </cell>
          <cell r="D680" t="str">
            <v>N/A</v>
          </cell>
          <cell r="E680" t="str">
            <v>OVALIDAD</v>
          </cell>
          <cell r="F680" t="str">
            <v>Augusto Rdz</v>
          </cell>
          <cell r="G680">
            <v>44956</v>
          </cell>
          <cell r="H680" t="str">
            <v>Jose</v>
          </cell>
          <cell r="I680" t="str">
            <v>PASS</v>
          </cell>
          <cell r="J680" t="str">
            <v>SPR8</v>
          </cell>
          <cell r="K680" t="str">
            <v>720-5</v>
          </cell>
          <cell r="L680">
            <v>12</v>
          </cell>
          <cell r="M680" t="str">
            <v>OVALIDAD</v>
          </cell>
        </row>
        <row r="681">
          <cell r="A681">
            <v>20230678</v>
          </cell>
          <cell r="B681">
            <v>44956</v>
          </cell>
          <cell r="C681" t="str">
            <v>34285574C</v>
          </cell>
          <cell r="D681" t="str">
            <v>N/A</v>
          </cell>
          <cell r="E681" t="str">
            <v>CONCENTRICIDAD</v>
          </cell>
          <cell r="F681" t="str">
            <v>Augusto Rdz</v>
          </cell>
          <cell r="G681">
            <v>44956</v>
          </cell>
          <cell r="H681" t="str">
            <v>Jose</v>
          </cell>
          <cell r="I681" t="str">
            <v>PASS</v>
          </cell>
          <cell r="J681" t="str">
            <v>SPR8</v>
          </cell>
          <cell r="K681" t="str">
            <v>720-2</v>
          </cell>
          <cell r="L681">
            <v>12</v>
          </cell>
          <cell r="M681" t="str">
            <v>CONCENTRICIDAD</v>
          </cell>
        </row>
        <row r="682">
          <cell r="A682">
            <v>20230679</v>
          </cell>
          <cell r="B682">
            <v>44956</v>
          </cell>
          <cell r="C682" t="str">
            <v>34285574C</v>
          </cell>
          <cell r="D682" t="str">
            <v>N/A</v>
          </cell>
          <cell r="E682" t="str">
            <v>OVALIDAD</v>
          </cell>
          <cell r="F682" t="str">
            <v>Augusto Rdz</v>
          </cell>
          <cell r="G682">
            <v>44956</v>
          </cell>
          <cell r="H682" t="str">
            <v>Jose</v>
          </cell>
          <cell r="I682" t="str">
            <v>PASS</v>
          </cell>
          <cell r="J682" t="str">
            <v>SPR8</v>
          </cell>
          <cell r="K682" t="str">
            <v>720-2</v>
          </cell>
          <cell r="L682">
            <v>12</v>
          </cell>
          <cell r="M682" t="str">
            <v>OVALIDAD</v>
          </cell>
        </row>
        <row r="683">
          <cell r="A683">
            <v>20230680</v>
          </cell>
          <cell r="B683">
            <v>44956</v>
          </cell>
          <cell r="C683" t="str">
            <v>34361270A</v>
          </cell>
          <cell r="D683" t="str">
            <v>N/A</v>
          </cell>
          <cell r="E683" t="str">
            <v>CONCENTRICIDAD</v>
          </cell>
          <cell r="F683" t="str">
            <v>Augusto Rdz</v>
          </cell>
          <cell r="G683">
            <v>44956</v>
          </cell>
          <cell r="H683" t="str">
            <v>Jose</v>
          </cell>
          <cell r="I683" t="str">
            <v>PASS</v>
          </cell>
          <cell r="J683" t="str">
            <v>SPR8</v>
          </cell>
          <cell r="K683" t="str">
            <v>720-4</v>
          </cell>
          <cell r="L683">
            <v>12</v>
          </cell>
          <cell r="M683" t="str">
            <v>CONCENTRICIDAD</v>
          </cell>
        </row>
        <row r="684">
          <cell r="A684">
            <v>20230681</v>
          </cell>
          <cell r="B684">
            <v>44956</v>
          </cell>
          <cell r="C684" t="str">
            <v>34361270A</v>
          </cell>
          <cell r="D684" t="str">
            <v>N/A</v>
          </cell>
          <cell r="E684" t="str">
            <v>OVALIDAD</v>
          </cell>
          <cell r="F684" t="str">
            <v>Augusto Rdz</v>
          </cell>
          <cell r="G684">
            <v>44956</v>
          </cell>
          <cell r="H684" t="str">
            <v>Jose</v>
          </cell>
          <cell r="I684" t="str">
            <v>PASS</v>
          </cell>
          <cell r="J684" t="str">
            <v>SPR8</v>
          </cell>
          <cell r="K684" t="str">
            <v>720-4</v>
          </cell>
          <cell r="L684">
            <v>12</v>
          </cell>
          <cell r="M684" t="str">
            <v>OVALIDAD</v>
          </cell>
        </row>
        <row r="685">
          <cell r="A685">
            <v>20230682</v>
          </cell>
          <cell r="B685">
            <v>44956</v>
          </cell>
          <cell r="C685" t="str">
            <v>A020R617B</v>
          </cell>
          <cell r="D685" t="str">
            <v>N/A</v>
          </cell>
          <cell r="E685" t="str">
            <v>CONCENTRICIDAD</v>
          </cell>
          <cell r="F685" t="str">
            <v>Augusto Rdz</v>
          </cell>
          <cell r="G685">
            <v>44956</v>
          </cell>
          <cell r="H685" t="str">
            <v>Jose</v>
          </cell>
          <cell r="I685" t="str">
            <v>PASS</v>
          </cell>
          <cell r="J685" t="str">
            <v>SPR8</v>
          </cell>
          <cell r="K685" t="str">
            <v>720-6</v>
          </cell>
          <cell r="L685">
            <v>6</v>
          </cell>
          <cell r="M685" t="str">
            <v>CONCENTRICIDAD</v>
          </cell>
        </row>
        <row r="686">
          <cell r="A686">
            <v>20230683</v>
          </cell>
          <cell r="B686">
            <v>44956</v>
          </cell>
          <cell r="C686" t="str">
            <v>A020R617B</v>
          </cell>
          <cell r="D686" t="str">
            <v>N/A</v>
          </cell>
          <cell r="E686" t="str">
            <v>OVALIDAD</v>
          </cell>
          <cell r="F686" t="str">
            <v>Augusto Rdz</v>
          </cell>
          <cell r="G686">
            <v>44956</v>
          </cell>
          <cell r="H686" t="str">
            <v>Jose</v>
          </cell>
          <cell r="I686" t="str">
            <v>PASS</v>
          </cell>
          <cell r="J686" t="str">
            <v>SPR8</v>
          </cell>
          <cell r="K686" t="str">
            <v>720-6</v>
          </cell>
          <cell r="L686">
            <v>6</v>
          </cell>
          <cell r="M686" t="str">
            <v>OVALIDAD</v>
          </cell>
        </row>
        <row r="687">
          <cell r="A687">
            <v>20230684</v>
          </cell>
          <cell r="B687">
            <v>44956</v>
          </cell>
          <cell r="C687" t="str">
            <v>34235231G</v>
          </cell>
          <cell r="D687" t="str">
            <v>N/A</v>
          </cell>
          <cell r="E687" t="str">
            <v>CONCENTRICIDAD</v>
          </cell>
          <cell r="F687" t="str">
            <v>Augusto Rdz</v>
          </cell>
          <cell r="G687">
            <v>44956</v>
          </cell>
          <cell r="H687" t="str">
            <v>Abel</v>
          </cell>
          <cell r="I687" t="str">
            <v>PASS</v>
          </cell>
          <cell r="J687" t="str">
            <v>SPR8</v>
          </cell>
          <cell r="K687" t="str">
            <v>720-3</v>
          </cell>
          <cell r="L687">
            <v>6</v>
          </cell>
          <cell r="M687" t="str">
            <v>CONCENTRICIDAD</v>
          </cell>
        </row>
        <row r="688">
          <cell r="A688">
            <v>20230685</v>
          </cell>
          <cell r="B688">
            <v>44956</v>
          </cell>
          <cell r="C688" t="str">
            <v>34235231G</v>
          </cell>
          <cell r="D688" t="str">
            <v>N/A</v>
          </cell>
          <cell r="E688" t="str">
            <v>OVALIDAD</v>
          </cell>
          <cell r="F688" t="str">
            <v>Augusto Rdz</v>
          </cell>
          <cell r="G688">
            <v>44956</v>
          </cell>
          <cell r="H688" t="str">
            <v>Abel</v>
          </cell>
          <cell r="I688" t="str">
            <v>PASS</v>
          </cell>
          <cell r="J688" t="str">
            <v>SPR8</v>
          </cell>
          <cell r="K688" t="str">
            <v>720-3</v>
          </cell>
          <cell r="L688">
            <v>6</v>
          </cell>
          <cell r="M688" t="str">
            <v>OVALIDAD</v>
          </cell>
        </row>
        <row r="689">
          <cell r="A689">
            <v>20230686</v>
          </cell>
          <cell r="B689">
            <v>44957</v>
          </cell>
          <cell r="C689" t="str">
            <v>A015C074C</v>
          </cell>
          <cell r="D689" t="str">
            <v>N/A</v>
          </cell>
          <cell r="E689" t="str">
            <v>31,32</v>
          </cell>
          <cell r="F689" t="str">
            <v>Laura Castillo</v>
          </cell>
          <cell r="G689">
            <v>44957</v>
          </cell>
          <cell r="H689" t="str">
            <v>Nohemi</v>
          </cell>
          <cell r="I689" t="str">
            <v>PASS</v>
          </cell>
          <cell r="J689" t="str">
            <v>A100</v>
          </cell>
          <cell r="K689" t="str">
            <v>703-A</v>
          </cell>
          <cell r="L689">
            <v>2</v>
          </cell>
          <cell r="M689" t="str">
            <v>A0038M7086A-C</v>
          </cell>
        </row>
        <row r="690">
          <cell r="A690">
            <v>20230687</v>
          </cell>
          <cell r="B690">
            <v>44957</v>
          </cell>
          <cell r="C690" t="str">
            <v>34257331B</v>
          </cell>
          <cell r="D690" t="str">
            <v>N/A</v>
          </cell>
          <cell r="E690" t="str">
            <v>15,16,17,19</v>
          </cell>
          <cell r="F690" t="str">
            <v>Laura Castillo</v>
          </cell>
          <cell r="G690">
            <v>44957</v>
          </cell>
          <cell r="H690" t="str">
            <v>Nohemi</v>
          </cell>
          <cell r="I690" t="str">
            <v>NO PASS</v>
          </cell>
          <cell r="J690" t="str">
            <v>JL MCA</v>
          </cell>
          <cell r="K690" t="str">
            <v>714-3</v>
          </cell>
          <cell r="L690">
            <v>4</v>
          </cell>
          <cell r="M690" t="str">
            <v>CH34259297 A15</v>
          </cell>
        </row>
        <row r="691">
          <cell r="A691">
            <v>20230688</v>
          </cell>
          <cell r="B691">
            <v>44957</v>
          </cell>
          <cell r="C691" t="str">
            <v>34257333A</v>
          </cell>
          <cell r="D691" t="str">
            <v>N/A</v>
          </cell>
          <cell r="E691" t="str">
            <v>15,16,17,19</v>
          </cell>
          <cell r="F691" t="str">
            <v>Laura Castillo</v>
          </cell>
          <cell r="G691">
            <v>44957</v>
          </cell>
          <cell r="H691" t="str">
            <v>Nohemi</v>
          </cell>
          <cell r="I691" t="str">
            <v>NO PASS</v>
          </cell>
          <cell r="J691" t="str">
            <v>JL MCA</v>
          </cell>
          <cell r="K691" t="str">
            <v>714-3</v>
          </cell>
          <cell r="L691">
            <v>4</v>
          </cell>
          <cell r="M691" t="str">
            <v>CH34259298 A06</v>
          </cell>
        </row>
        <row r="692">
          <cell r="A692">
            <v>20230689</v>
          </cell>
          <cell r="B692">
            <v>44957</v>
          </cell>
          <cell r="C692" t="str">
            <v>34257333A</v>
          </cell>
          <cell r="D692" t="str">
            <v>N/A</v>
          </cell>
          <cell r="E692" t="str">
            <v>15,16,17,19</v>
          </cell>
          <cell r="F692" t="str">
            <v>Laura Castillo</v>
          </cell>
          <cell r="G692">
            <v>44957</v>
          </cell>
          <cell r="H692" t="str">
            <v>Nohemi</v>
          </cell>
          <cell r="I692" t="str">
            <v>NO PASS</v>
          </cell>
          <cell r="J692" t="str">
            <v>JL MCA</v>
          </cell>
          <cell r="K692" t="str">
            <v>714-3</v>
          </cell>
          <cell r="L692">
            <v>4</v>
          </cell>
          <cell r="M692" t="str">
            <v>CH34259298 A06</v>
          </cell>
        </row>
        <row r="693">
          <cell r="A693">
            <v>20230690</v>
          </cell>
          <cell r="B693">
            <v>44957</v>
          </cell>
          <cell r="C693" t="str">
            <v>34257332A</v>
          </cell>
          <cell r="D693" t="str">
            <v>N/A</v>
          </cell>
          <cell r="E693" t="str">
            <v>15,16,17,19</v>
          </cell>
          <cell r="F693" t="str">
            <v>Laura Castillo</v>
          </cell>
          <cell r="G693">
            <v>44957</v>
          </cell>
          <cell r="H693" t="str">
            <v>Nohemi</v>
          </cell>
          <cell r="I693" t="str">
            <v>NO PASS</v>
          </cell>
          <cell r="J693" t="str">
            <v>JL MCA</v>
          </cell>
          <cell r="K693" t="str">
            <v>714-3</v>
          </cell>
          <cell r="L693">
            <v>4</v>
          </cell>
          <cell r="M693" t="str">
            <v>CH34259298 A06</v>
          </cell>
        </row>
        <row r="694">
          <cell r="A694">
            <v>20230691</v>
          </cell>
          <cell r="B694">
            <v>44957</v>
          </cell>
          <cell r="C694" t="str">
            <v>34190903B</v>
          </cell>
          <cell r="D694" t="str">
            <v>P1-002053</v>
          </cell>
          <cell r="E694" t="str">
            <v xml:space="preserve">Conforme al rip </v>
          </cell>
          <cell r="F694" t="str">
            <v>Nuevos programas</v>
          </cell>
          <cell r="G694">
            <v>44957</v>
          </cell>
          <cell r="H694" t="str">
            <v xml:space="preserve">Adela </v>
          </cell>
          <cell r="I694" t="str">
            <v>PASS</v>
          </cell>
          <cell r="J694" t="str">
            <v>N/A</v>
          </cell>
          <cell r="K694" t="str">
            <v>N/A</v>
          </cell>
          <cell r="L694">
            <v>300</v>
          </cell>
          <cell r="M694" t="str">
            <v>N/A</v>
          </cell>
        </row>
        <row r="695">
          <cell r="A695">
            <v>20230692</v>
          </cell>
          <cell r="B695">
            <v>44957</v>
          </cell>
          <cell r="C695" t="str">
            <v>34257328A</v>
          </cell>
          <cell r="D695" t="str">
            <v>N/A</v>
          </cell>
          <cell r="E695" t="str">
            <v>15,16,17,19</v>
          </cell>
          <cell r="F695" t="str">
            <v>Laura Castillo</v>
          </cell>
          <cell r="G695">
            <v>44957</v>
          </cell>
          <cell r="H695" t="str">
            <v>Nohemi</v>
          </cell>
          <cell r="I695" t="str">
            <v>NO PASS</v>
          </cell>
          <cell r="J695" t="str">
            <v>JL MCA</v>
          </cell>
          <cell r="K695" t="str">
            <v>714-3</v>
          </cell>
          <cell r="L695">
            <v>4</v>
          </cell>
          <cell r="M695" t="str">
            <v>CH34259297 A15</v>
          </cell>
        </row>
        <row r="696">
          <cell r="A696">
            <v>20230693</v>
          </cell>
          <cell r="B696">
            <v>44957</v>
          </cell>
          <cell r="C696" t="str">
            <v>34257329A</v>
          </cell>
          <cell r="D696" t="str">
            <v>N/A</v>
          </cell>
          <cell r="E696" t="str">
            <v>15,16,17,19</v>
          </cell>
          <cell r="F696" t="str">
            <v>Laura Castillo</v>
          </cell>
          <cell r="G696">
            <v>44957</v>
          </cell>
          <cell r="H696" t="str">
            <v>Nohemi</v>
          </cell>
          <cell r="I696" t="str">
            <v>NO PASS</v>
          </cell>
          <cell r="J696" t="str">
            <v>JL MCA</v>
          </cell>
          <cell r="K696" t="str">
            <v>714-3</v>
          </cell>
          <cell r="L696">
            <v>4</v>
          </cell>
          <cell r="M696" t="str">
            <v>CH34259297 A15</v>
          </cell>
        </row>
        <row r="697">
          <cell r="A697">
            <v>20230694</v>
          </cell>
          <cell r="B697">
            <v>44957</v>
          </cell>
          <cell r="C697" t="str">
            <v>34257328A</v>
          </cell>
          <cell r="D697" t="str">
            <v>N/A</v>
          </cell>
          <cell r="E697" t="str">
            <v>15,16,17,19</v>
          </cell>
          <cell r="F697" t="str">
            <v>Laura Castillo</v>
          </cell>
          <cell r="G697">
            <v>44957</v>
          </cell>
          <cell r="H697" t="str">
            <v>Nohemi</v>
          </cell>
          <cell r="I697" t="str">
            <v>NO PASS</v>
          </cell>
          <cell r="J697" t="str">
            <v>JL MCA</v>
          </cell>
          <cell r="K697" t="str">
            <v>714-3</v>
          </cell>
          <cell r="L697">
            <v>4</v>
          </cell>
          <cell r="M697" t="str">
            <v>CH34259297 A15</v>
          </cell>
        </row>
        <row r="698">
          <cell r="A698">
            <v>20230695</v>
          </cell>
          <cell r="B698">
            <v>44957</v>
          </cell>
          <cell r="C698" t="str">
            <v>34257017G</v>
          </cell>
          <cell r="D698" t="str">
            <v>N/A</v>
          </cell>
          <cell r="E698">
            <v>35</v>
          </cell>
          <cell r="F698" t="str">
            <v>CRISTIAN ARNOLDO</v>
          </cell>
          <cell r="G698">
            <v>44957</v>
          </cell>
          <cell r="H698" t="str">
            <v>MAURICIO</v>
          </cell>
          <cell r="I698" t="str">
            <v>NO PASS</v>
          </cell>
          <cell r="J698" t="str">
            <v>N/A</v>
          </cell>
          <cell r="K698" t="str">
            <v>N/A</v>
          </cell>
          <cell r="L698">
            <v>50</v>
          </cell>
          <cell r="M698" t="str">
            <v>PLANO MARCADO</v>
          </cell>
        </row>
        <row r="699">
          <cell r="A699">
            <v>20230696</v>
          </cell>
          <cell r="B699">
            <v>44957</v>
          </cell>
          <cell r="C699" t="str">
            <v>34324760D</v>
          </cell>
          <cell r="D699" t="str">
            <v>N/A</v>
          </cell>
          <cell r="E699" t="str">
            <v>CONCENTRICIDAD</v>
          </cell>
          <cell r="F699" t="str">
            <v>EVELYN ESTUDILLO</v>
          </cell>
          <cell r="G699">
            <v>44957</v>
          </cell>
          <cell r="H699" t="str">
            <v>MAURICIO</v>
          </cell>
          <cell r="I699" t="str">
            <v>PASS</v>
          </cell>
          <cell r="J699" t="str">
            <v>SPR8</v>
          </cell>
          <cell r="K699" t="str">
            <v>720-1</v>
          </cell>
          <cell r="L699">
            <v>12</v>
          </cell>
          <cell r="M699" t="str">
            <v>CONCENTRICIDAD</v>
          </cell>
        </row>
        <row r="700">
          <cell r="A700">
            <v>20230697</v>
          </cell>
          <cell r="B700">
            <v>44957</v>
          </cell>
          <cell r="C700" t="str">
            <v>34235231G</v>
          </cell>
          <cell r="D700" t="str">
            <v>N/A</v>
          </cell>
          <cell r="E700" t="str">
            <v>CONCENTRICIDAD</v>
          </cell>
          <cell r="F700" t="str">
            <v>EVELYN ESTUDILLO</v>
          </cell>
          <cell r="G700">
            <v>44957</v>
          </cell>
          <cell r="H700" t="str">
            <v>MAURICIO</v>
          </cell>
          <cell r="I700" t="str">
            <v>PASS</v>
          </cell>
          <cell r="J700" t="str">
            <v>SPR8</v>
          </cell>
          <cell r="K700" t="str">
            <v>720-2</v>
          </cell>
          <cell r="L700">
            <v>12</v>
          </cell>
          <cell r="M700" t="str">
            <v>CONCENTRICIDAD</v>
          </cell>
        </row>
        <row r="701">
          <cell r="A701">
            <v>20230698</v>
          </cell>
          <cell r="B701">
            <v>44957</v>
          </cell>
          <cell r="C701" t="str">
            <v>34361271A</v>
          </cell>
          <cell r="D701" t="str">
            <v>N/A</v>
          </cell>
          <cell r="E701" t="str">
            <v>CONCENTRICIDAD</v>
          </cell>
          <cell r="F701" t="str">
            <v>EVELYN ESTUDILLO</v>
          </cell>
          <cell r="G701">
            <v>44957</v>
          </cell>
          <cell r="H701" t="str">
            <v>MAURICIO</v>
          </cell>
          <cell r="I701" t="str">
            <v>PASS</v>
          </cell>
          <cell r="J701" t="str">
            <v>SPR8</v>
          </cell>
          <cell r="K701" t="str">
            <v>720-4</v>
          </cell>
          <cell r="L701">
            <v>12</v>
          </cell>
          <cell r="M701" t="str">
            <v>CONCENTRICIDAD</v>
          </cell>
        </row>
        <row r="702">
          <cell r="A702">
            <v>20230699</v>
          </cell>
          <cell r="B702">
            <v>44957</v>
          </cell>
          <cell r="C702" t="str">
            <v>34364569B</v>
          </cell>
          <cell r="D702" t="str">
            <v>N/A</v>
          </cell>
          <cell r="E702" t="str">
            <v>CONCENTRICIDAD</v>
          </cell>
          <cell r="F702" t="str">
            <v>EVELYN ESTUDILLO</v>
          </cell>
          <cell r="G702">
            <v>44957</v>
          </cell>
          <cell r="H702" t="str">
            <v>MAURICIO</v>
          </cell>
          <cell r="I702" t="str">
            <v>PASS</v>
          </cell>
          <cell r="J702" t="str">
            <v>SPR8</v>
          </cell>
          <cell r="K702" t="str">
            <v>720-5</v>
          </cell>
          <cell r="L702">
            <v>12</v>
          </cell>
          <cell r="M702" t="str">
            <v>CONCENTRICIDAD</v>
          </cell>
        </row>
        <row r="703">
          <cell r="A703">
            <v>20230700</v>
          </cell>
          <cell r="B703">
            <v>44957</v>
          </cell>
          <cell r="C703" t="str">
            <v>A020R619B</v>
          </cell>
          <cell r="D703" t="str">
            <v>N/A</v>
          </cell>
          <cell r="E703" t="str">
            <v>CONCENTRICIDAD</v>
          </cell>
          <cell r="F703" t="str">
            <v>EVELYN ESTUDILLO</v>
          </cell>
          <cell r="G703">
            <v>44957</v>
          </cell>
          <cell r="H703" t="str">
            <v>MAURICIO</v>
          </cell>
          <cell r="I703" t="str">
            <v>PASS</v>
          </cell>
          <cell r="J703" t="str">
            <v>SPR8</v>
          </cell>
          <cell r="K703" t="str">
            <v>720-6</v>
          </cell>
          <cell r="L703">
            <v>12</v>
          </cell>
          <cell r="M703" t="str">
            <v>CONCENTRICIDAD</v>
          </cell>
        </row>
        <row r="704">
          <cell r="A704">
            <v>20230701</v>
          </cell>
          <cell r="B704">
            <v>44957</v>
          </cell>
          <cell r="C704" t="str">
            <v>34324760D</v>
          </cell>
          <cell r="D704" t="str">
            <v>N/A</v>
          </cell>
          <cell r="E704" t="str">
            <v>OVALIDAD</v>
          </cell>
          <cell r="F704" t="str">
            <v>EVELYN ESTUDILLO</v>
          </cell>
          <cell r="G704">
            <v>44957</v>
          </cell>
          <cell r="H704" t="str">
            <v>MAURICIO</v>
          </cell>
          <cell r="I704" t="str">
            <v>PASS</v>
          </cell>
          <cell r="J704" t="str">
            <v>SPR8</v>
          </cell>
          <cell r="K704" t="str">
            <v>720-1</v>
          </cell>
          <cell r="L704">
            <v>12</v>
          </cell>
          <cell r="M704" t="str">
            <v>OVALIDAD</v>
          </cell>
        </row>
        <row r="705">
          <cell r="A705">
            <v>20230702</v>
          </cell>
          <cell r="B705">
            <v>44957</v>
          </cell>
          <cell r="C705" t="str">
            <v>34235231G</v>
          </cell>
          <cell r="D705" t="str">
            <v>N/A</v>
          </cell>
          <cell r="E705" t="str">
            <v>OVALIDAD</v>
          </cell>
          <cell r="F705" t="str">
            <v>EVELYN ESTUDILLO</v>
          </cell>
          <cell r="G705">
            <v>44957</v>
          </cell>
          <cell r="H705" t="str">
            <v>MAURICIO</v>
          </cell>
          <cell r="I705" t="str">
            <v>PASS</v>
          </cell>
          <cell r="J705" t="str">
            <v>SPR8</v>
          </cell>
          <cell r="K705" t="str">
            <v>720-2</v>
          </cell>
          <cell r="L705">
            <v>12</v>
          </cell>
          <cell r="M705" t="str">
            <v>OVALIDAD</v>
          </cell>
        </row>
        <row r="706">
          <cell r="A706">
            <v>20230703</v>
          </cell>
          <cell r="B706">
            <v>44957</v>
          </cell>
          <cell r="C706" t="str">
            <v>34361271A</v>
          </cell>
          <cell r="D706" t="str">
            <v>N/A</v>
          </cell>
          <cell r="E706" t="str">
            <v>OVALIDAD</v>
          </cell>
          <cell r="F706" t="str">
            <v>EVELYN ESTUDILLO</v>
          </cell>
          <cell r="G706">
            <v>44957</v>
          </cell>
          <cell r="H706" t="str">
            <v>MAURICIO</v>
          </cell>
          <cell r="I706" t="str">
            <v>PASS</v>
          </cell>
          <cell r="J706" t="str">
            <v>SPR8</v>
          </cell>
          <cell r="K706" t="str">
            <v>720-4</v>
          </cell>
          <cell r="L706">
            <v>12</v>
          </cell>
          <cell r="M706" t="str">
            <v>OVALIDAD</v>
          </cell>
        </row>
        <row r="707">
          <cell r="A707">
            <v>20230704</v>
          </cell>
          <cell r="B707">
            <v>44957</v>
          </cell>
          <cell r="C707" t="str">
            <v>34364569B</v>
          </cell>
          <cell r="D707" t="str">
            <v>N/A</v>
          </cell>
          <cell r="E707" t="str">
            <v>OVALIDAD</v>
          </cell>
          <cell r="F707" t="str">
            <v>EVELYN ESTUDILLO</v>
          </cell>
          <cell r="G707">
            <v>44957</v>
          </cell>
          <cell r="H707" t="str">
            <v>MAURICIO</v>
          </cell>
          <cell r="I707" t="str">
            <v>PASS</v>
          </cell>
          <cell r="J707" t="str">
            <v>SPR8</v>
          </cell>
          <cell r="K707" t="str">
            <v>720-5</v>
          </cell>
          <cell r="L707">
            <v>12</v>
          </cell>
          <cell r="M707" t="str">
            <v>OVALIDAD</v>
          </cell>
        </row>
        <row r="708">
          <cell r="A708">
            <v>20230705</v>
          </cell>
          <cell r="B708">
            <v>44957</v>
          </cell>
          <cell r="C708" t="str">
            <v>A020R619B</v>
          </cell>
          <cell r="D708" t="str">
            <v>N/A</v>
          </cell>
          <cell r="E708" t="str">
            <v>OVALIDAD</v>
          </cell>
          <cell r="F708" t="str">
            <v>EVELYN ESTUDILLO</v>
          </cell>
          <cell r="G708">
            <v>44957</v>
          </cell>
          <cell r="H708" t="str">
            <v>MAURICIO</v>
          </cell>
          <cell r="I708" t="str">
            <v>PASS</v>
          </cell>
          <cell r="J708" t="str">
            <v>SPR8</v>
          </cell>
          <cell r="K708" t="str">
            <v>720-6</v>
          </cell>
          <cell r="L708">
            <v>12</v>
          </cell>
          <cell r="M708" t="str">
            <v>OVALIDAD</v>
          </cell>
        </row>
        <row r="709">
          <cell r="A709">
            <v>20230706</v>
          </cell>
          <cell r="B709">
            <v>44957</v>
          </cell>
          <cell r="C709" t="str">
            <v>A023P561B</v>
          </cell>
          <cell r="D709" t="str">
            <v>N/A</v>
          </cell>
          <cell r="E709" t="str">
            <v>CONCENTRICIDAD</v>
          </cell>
          <cell r="F709" t="str">
            <v>Yesenia Venegas</v>
          </cell>
          <cell r="G709">
            <v>44957</v>
          </cell>
          <cell r="H709" t="str">
            <v>Nohemi</v>
          </cell>
          <cell r="I709" t="str">
            <v>PASS</v>
          </cell>
          <cell r="J709" t="str">
            <v>SPR8</v>
          </cell>
          <cell r="K709" t="str">
            <v>720-3</v>
          </cell>
          <cell r="L709">
            <v>6</v>
          </cell>
          <cell r="M709" t="str">
            <v>CONCENTRICIDAD</v>
          </cell>
        </row>
        <row r="710">
          <cell r="A710">
            <v>20230707</v>
          </cell>
          <cell r="B710">
            <v>44957</v>
          </cell>
          <cell r="C710" t="str">
            <v>A023P561B</v>
          </cell>
          <cell r="D710" t="str">
            <v>N/A</v>
          </cell>
          <cell r="E710" t="str">
            <v>OVALIDAD</v>
          </cell>
          <cell r="F710" t="str">
            <v>Yesenia Venegas</v>
          </cell>
          <cell r="G710">
            <v>44957</v>
          </cell>
          <cell r="H710" t="str">
            <v>Nohemi</v>
          </cell>
          <cell r="I710" t="str">
            <v>PASS</v>
          </cell>
          <cell r="J710" t="str">
            <v>SPR8</v>
          </cell>
          <cell r="K710" t="str">
            <v>720-3</v>
          </cell>
          <cell r="L710">
            <v>6</v>
          </cell>
          <cell r="M710" t="str">
            <v>OVALIDAD</v>
          </cell>
        </row>
        <row r="711">
          <cell r="A711">
            <v>20230708</v>
          </cell>
          <cell r="B711">
            <v>44957</v>
          </cell>
          <cell r="C711" t="str">
            <v>A020R617B</v>
          </cell>
          <cell r="D711" t="str">
            <v>N/A</v>
          </cell>
          <cell r="E711" t="str">
            <v>CONCENTRICIDAD</v>
          </cell>
          <cell r="F711" t="str">
            <v>Gabriel Ramos</v>
          </cell>
          <cell r="G711">
            <v>44957</v>
          </cell>
          <cell r="H711" t="str">
            <v>Nohemi</v>
          </cell>
          <cell r="I711" t="str">
            <v>PASS</v>
          </cell>
          <cell r="J711" t="str">
            <v>SPR8</v>
          </cell>
          <cell r="K711" t="str">
            <v>720-6</v>
          </cell>
          <cell r="L711">
            <v>12</v>
          </cell>
          <cell r="M711" t="str">
            <v>CONCENTRICIDAD</v>
          </cell>
        </row>
        <row r="712">
          <cell r="A712">
            <v>20230709</v>
          </cell>
          <cell r="B712">
            <v>44957</v>
          </cell>
          <cell r="C712" t="str">
            <v>A020R617B</v>
          </cell>
          <cell r="D712" t="str">
            <v>N/A</v>
          </cell>
          <cell r="E712" t="str">
            <v>OVALIDAD</v>
          </cell>
          <cell r="F712" t="str">
            <v>Gabriel Ramos</v>
          </cell>
          <cell r="G712">
            <v>44957</v>
          </cell>
          <cell r="H712" t="str">
            <v>Nohemi</v>
          </cell>
          <cell r="I712" t="str">
            <v>PASS</v>
          </cell>
          <cell r="J712" t="str">
            <v>SPR8</v>
          </cell>
          <cell r="K712" t="str">
            <v>720-6</v>
          </cell>
          <cell r="L712">
            <v>12</v>
          </cell>
          <cell r="M712" t="str">
            <v>OVALIDAD</v>
          </cell>
        </row>
        <row r="713">
          <cell r="A713">
            <v>20230710</v>
          </cell>
          <cell r="B713">
            <v>44957</v>
          </cell>
          <cell r="C713" t="str">
            <v>34361270A</v>
          </cell>
          <cell r="D713" t="str">
            <v>N/A</v>
          </cell>
          <cell r="E713" t="str">
            <v>CONCENTRICIDAD</v>
          </cell>
          <cell r="F713" t="str">
            <v>Gabriel Ramos</v>
          </cell>
          <cell r="G713">
            <v>44957</v>
          </cell>
          <cell r="H713" t="str">
            <v>Nohemi</v>
          </cell>
          <cell r="I713" t="str">
            <v>PASS</v>
          </cell>
          <cell r="J713" t="str">
            <v>SPR8</v>
          </cell>
          <cell r="K713" t="str">
            <v>720-4</v>
          </cell>
          <cell r="L713">
            <v>12</v>
          </cell>
          <cell r="M713" t="str">
            <v>CONCENTRICIDAD</v>
          </cell>
        </row>
        <row r="714">
          <cell r="A714">
            <v>20230711</v>
          </cell>
          <cell r="B714">
            <v>44957</v>
          </cell>
          <cell r="C714" t="str">
            <v>34361270A</v>
          </cell>
          <cell r="D714" t="str">
            <v>N/A</v>
          </cell>
          <cell r="E714" t="str">
            <v>OVALIDAD</v>
          </cell>
          <cell r="F714" t="str">
            <v>Gabriel Ramos</v>
          </cell>
          <cell r="G714">
            <v>44957</v>
          </cell>
          <cell r="H714" t="str">
            <v>Nohemi</v>
          </cell>
          <cell r="I714" t="str">
            <v>PASS</v>
          </cell>
          <cell r="J714" t="str">
            <v>SPR8</v>
          </cell>
          <cell r="K714" t="str">
            <v>720-4</v>
          </cell>
          <cell r="L714">
            <v>12</v>
          </cell>
          <cell r="M714" t="str">
            <v>OVALIDAD</v>
          </cell>
        </row>
        <row r="715">
          <cell r="A715">
            <v>20230712</v>
          </cell>
          <cell r="B715">
            <v>44957</v>
          </cell>
          <cell r="C715" t="str">
            <v>34235232G</v>
          </cell>
          <cell r="D715" t="str">
            <v>N/A</v>
          </cell>
          <cell r="E715" t="str">
            <v>CONCENTRICIDAD</v>
          </cell>
          <cell r="F715" t="str">
            <v>Augusto Rdz</v>
          </cell>
          <cell r="G715">
            <v>44957</v>
          </cell>
          <cell r="H715" t="str">
            <v>Jose</v>
          </cell>
          <cell r="I715" t="str">
            <v>PASS</v>
          </cell>
          <cell r="J715" t="str">
            <v>SPR8</v>
          </cell>
          <cell r="K715" t="str">
            <v>720-2</v>
          </cell>
          <cell r="L715">
            <v>12</v>
          </cell>
          <cell r="M715" t="str">
            <v>CONCENTRICIDAD</v>
          </cell>
        </row>
        <row r="716">
          <cell r="A716">
            <v>20230713</v>
          </cell>
          <cell r="B716">
            <v>44957</v>
          </cell>
          <cell r="C716" t="str">
            <v>34235232G</v>
          </cell>
          <cell r="D716" t="str">
            <v>N/A</v>
          </cell>
          <cell r="E716" t="str">
            <v>OVALIDAD</v>
          </cell>
          <cell r="F716" t="str">
            <v>Augusto Rdz</v>
          </cell>
          <cell r="G716">
            <v>44957</v>
          </cell>
          <cell r="H716" t="str">
            <v>Jose</v>
          </cell>
          <cell r="I716" t="str">
            <v>PASS</v>
          </cell>
          <cell r="J716" t="str">
            <v>SPR8</v>
          </cell>
          <cell r="K716" t="str">
            <v>720-2</v>
          </cell>
          <cell r="L716">
            <v>12</v>
          </cell>
          <cell r="M716" t="str">
            <v>OVALIDAD</v>
          </cell>
        </row>
        <row r="717">
          <cell r="A717">
            <v>20230714</v>
          </cell>
          <cell r="B717">
            <v>44957</v>
          </cell>
          <cell r="C717" t="str">
            <v>34235232G</v>
          </cell>
          <cell r="D717" t="str">
            <v>N/A</v>
          </cell>
          <cell r="E717" t="str">
            <v>CONCENTRICIDAD</v>
          </cell>
          <cell r="F717" t="str">
            <v>Augusto Rdz</v>
          </cell>
          <cell r="G717">
            <v>44957</v>
          </cell>
          <cell r="H717" t="str">
            <v>Jose</v>
          </cell>
          <cell r="I717" t="str">
            <v>PASS</v>
          </cell>
          <cell r="J717" t="str">
            <v>SPR8</v>
          </cell>
          <cell r="K717" t="str">
            <v>720-3</v>
          </cell>
          <cell r="L717">
            <v>18</v>
          </cell>
          <cell r="M717" t="str">
            <v>CONCENTRICIDAD</v>
          </cell>
        </row>
        <row r="718">
          <cell r="A718">
            <v>20230715</v>
          </cell>
          <cell r="B718">
            <v>44957</v>
          </cell>
          <cell r="C718" t="str">
            <v>34235232G</v>
          </cell>
          <cell r="D718" t="str">
            <v>N/A</v>
          </cell>
          <cell r="E718" t="str">
            <v>OVALIDAD</v>
          </cell>
          <cell r="F718" t="str">
            <v>Augusto Rdz</v>
          </cell>
          <cell r="G718">
            <v>44957</v>
          </cell>
          <cell r="H718" t="str">
            <v>Jose</v>
          </cell>
          <cell r="I718" t="str">
            <v>PASS</v>
          </cell>
          <cell r="J718" t="str">
            <v>SPR8</v>
          </cell>
          <cell r="K718" t="str">
            <v>720-3</v>
          </cell>
          <cell r="L718">
            <v>18</v>
          </cell>
          <cell r="M718" t="str">
            <v>OVALIDAD</v>
          </cell>
        </row>
        <row r="719">
          <cell r="A719">
            <v>20230716</v>
          </cell>
          <cell r="B719">
            <v>44957</v>
          </cell>
          <cell r="C719" t="str">
            <v>34324760D</v>
          </cell>
          <cell r="D719" t="str">
            <v>N/A</v>
          </cell>
          <cell r="E719" t="str">
            <v>CONCENTRICIDAD</v>
          </cell>
          <cell r="F719" t="str">
            <v>Augusto Rdz</v>
          </cell>
          <cell r="G719">
            <v>44957</v>
          </cell>
          <cell r="H719" t="str">
            <v>Jose</v>
          </cell>
          <cell r="I719" t="str">
            <v>PASS</v>
          </cell>
          <cell r="J719" t="str">
            <v>SPR8</v>
          </cell>
          <cell r="K719" t="str">
            <v>720-5</v>
          </cell>
          <cell r="L719">
            <v>12</v>
          </cell>
          <cell r="M719" t="str">
            <v>CONCENTRICIDAD</v>
          </cell>
        </row>
        <row r="720">
          <cell r="A720">
            <v>20230717</v>
          </cell>
          <cell r="B720">
            <v>44957</v>
          </cell>
          <cell r="C720" t="str">
            <v>34324760D</v>
          </cell>
          <cell r="D720" t="str">
            <v>N/A</v>
          </cell>
          <cell r="E720" t="str">
            <v>OVALIDAD</v>
          </cell>
          <cell r="F720" t="str">
            <v>Augusto Rdz</v>
          </cell>
          <cell r="G720">
            <v>44957</v>
          </cell>
          <cell r="H720" t="str">
            <v>Jose</v>
          </cell>
          <cell r="I720" t="str">
            <v>PASS</v>
          </cell>
          <cell r="J720" t="str">
            <v>SPR8</v>
          </cell>
          <cell r="K720" t="str">
            <v>720-5</v>
          </cell>
          <cell r="L720">
            <v>12</v>
          </cell>
          <cell r="M720" t="str">
            <v>OVALIDAD</v>
          </cell>
        </row>
        <row r="721">
          <cell r="A721">
            <v>20230718</v>
          </cell>
          <cell r="B721">
            <v>44957</v>
          </cell>
          <cell r="C721" t="str">
            <v>34324760D</v>
          </cell>
          <cell r="D721" t="str">
            <v>N/A</v>
          </cell>
          <cell r="E721" t="str">
            <v>CONCENTRICIDAD</v>
          </cell>
          <cell r="F721" t="str">
            <v>Augusto Rdz</v>
          </cell>
          <cell r="G721">
            <v>44957</v>
          </cell>
          <cell r="H721" t="str">
            <v>Jose</v>
          </cell>
          <cell r="I721" t="str">
            <v>PASS</v>
          </cell>
          <cell r="J721" t="str">
            <v>SPR8</v>
          </cell>
          <cell r="K721" t="str">
            <v>720-1</v>
          </cell>
          <cell r="L721">
            <v>12</v>
          </cell>
          <cell r="M721" t="str">
            <v>CONCENTRICIDAD</v>
          </cell>
        </row>
        <row r="722">
          <cell r="A722">
            <v>20230719</v>
          </cell>
          <cell r="B722">
            <v>44957</v>
          </cell>
          <cell r="C722" t="str">
            <v>34324760D</v>
          </cell>
          <cell r="D722" t="str">
            <v>N/A</v>
          </cell>
          <cell r="E722" t="str">
            <v>OVALIDAD</v>
          </cell>
          <cell r="F722" t="str">
            <v>Augusto Rdz</v>
          </cell>
          <cell r="G722">
            <v>44957</v>
          </cell>
          <cell r="H722" t="str">
            <v>Jose</v>
          </cell>
          <cell r="I722" t="str">
            <v>PASS</v>
          </cell>
          <cell r="J722" t="str">
            <v>SPR8</v>
          </cell>
          <cell r="K722" t="str">
            <v>720-1</v>
          </cell>
          <cell r="L722">
            <v>12</v>
          </cell>
          <cell r="M722" t="str">
            <v>OVALIDAD</v>
          </cell>
        </row>
        <row r="723">
          <cell r="A723">
            <v>20230720</v>
          </cell>
          <cell r="B723">
            <v>44958</v>
          </cell>
          <cell r="C723" t="str">
            <v>34248120B</v>
          </cell>
          <cell r="D723" t="str">
            <v>01292023</v>
          </cell>
          <cell r="E723" t="str">
            <v xml:space="preserve">Conforme al rip </v>
          </cell>
          <cell r="F723" t="str">
            <v>Nuevos programas</v>
          </cell>
          <cell r="G723">
            <v>44958</v>
          </cell>
          <cell r="H723" t="str">
            <v xml:space="preserve">Adela </v>
          </cell>
          <cell r="I723" t="str">
            <v>NO PASS</v>
          </cell>
          <cell r="J723" t="str">
            <v>N/A</v>
          </cell>
          <cell r="K723" t="str">
            <v>N/A</v>
          </cell>
          <cell r="L723">
            <v>160</v>
          </cell>
          <cell r="M723" t="str">
            <v>N/A</v>
          </cell>
        </row>
        <row r="724">
          <cell r="A724">
            <v>20230721</v>
          </cell>
          <cell r="B724">
            <v>44958</v>
          </cell>
          <cell r="C724" t="str">
            <v>A023P565B</v>
          </cell>
          <cell r="D724" t="str">
            <v>N/A</v>
          </cell>
          <cell r="E724" t="str">
            <v>7,8,9,10,11,15,17,18,19</v>
          </cell>
          <cell r="F724" t="str">
            <v>Yesenia Venegas</v>
          </cell>
          <cell r="G724">
            <v>44949</v>
          </cell>
          <cell r="H724" t="str">
            <v>Nohemi</v>
          </cell>
          <cell r="I724" t="str">
            <v>NO PASS</v>
          </cell>
          <cell r="J724" t="str">
            <v>SPR8</v>
          </cell>
          <cell r="K724" t="str">
            <v>720-3</v>
          </cell>
          <cell r="L724">
            <v>4</v>
          </cell>
          <cell r="M724" t="str">
            <v>A0054G8117A-C</v>
          </cell>
        </row>
        <row r="725">
          <cell r="A725">
            <v>20230722</v>
          </cell>
          <cell r="B725">
            <v>44958</v>
          </cell>
          <cell r="C725" t="str">
            <v>A023P566B</v>
          </cell>
          <cell r="D725" t="str">
            <v>N/A</v>
          </cell>
          <cell r="E725" t="str">
            <v>7,8,9,10,11,15,17,18,19</v>
          </cell>
          <cell r="F725" t="str">
            <v>Yesenia Venegas</v>
          </cell>
          <cell r="G725">
            <v>44949</v>
          </cell>
          <cell r="H725" t="str">
            <v>Nohemi</v>
          </cell>
          <cell r="I725" t="str">
            <v>NO PASS</v>
          </cell>
          <cell r="J725" t="str">
            <v>SPR8</v>
          </cell>
          <cell r="K725" t="str">
            <v>720-3</v>
          </cell>
          <cell r="L725">
            <v>4</v>
          </cell>
          <cell r="M725" t="str">
            <v>A0054G8117A-C</v>
          </cell>
        </row>
        <row r="726">
          <cell r="A726">
            <v>20230723</v>
          </cell>
          <cell r="B726">
            <v>44958</v>
          </cell>
          <cell r="C726" t="str">
            <v>A023P567B</v>
          </cell>
          <cell r="D726" t="str">
            <v>N/A</v>
          </cell>
          <cell r="E726" t="str">
            <v>7,8,9,10,11,15,17,18,19</v>
          </cell>
          <cell r="F726" t="str">
            <v>Yesenia Venegas</v>
          </cell>
          <cell r="G726">
            <v>44949</v>
          </cell>
          <cell r="H726" t="str">
            <v>Nohemi</v>
          </cell>
          <cell r="I726" t="str">
            <v>NO PASS</v>
          </cell>
          <cell r="J726" t="str">
            <v>SPR8</v>
          </cell>
          <cell r="K726" t="str">
            <v>720-3</v>
          </cell>
          <cell r="L726">
            <v>4</v>
          </cell>
          <cell r="M726" t="str">
            <v>A0054G8117A-C</v>
          </cell>
        </row>
        <row r="727">
          <cell r="A727">
            <v>20230724</v>
          </cell>
          <cell r="B727">
            <v>44958</v>
          </cell>
          <cell r="C727" t="str">
            <v>A023P570B</v>
          </cell>
          <cell r="D727" t="str">
            <v>N/A</v>
          </cell>
          <cell r="E727" t="str">
            <v>8,9,10,11,12,16,18,19,20</v>
          </cell>
          <cell r="F727" t="str">
            <v>Yesenia Venegas</v>
          </cell>
          <cell r="G727">
            <v>44949</v>
          </cell>
          <cell r="H727" t="str">
            <v>Nohemi</v>
          </cell>
          <cell r="I727" t="str">
            <v>NO PASS</v>
          </cell>
          <cell r="J727" t="str">
            <v>SPR8</v>
          </cell>
          <cell r="K727" t="str">
            <v>720-3</v>
          </cell>
          <cell r="L727">
            <v>4</v>
          </cell>
          <cell r="M727" t="str">
            <v>A0034E4937A G</v>
          </cell>
        </row>
        <row r="728">
          <cell r="A728">
            <v>20230725</v>
          </cell>
          <cell r="B728"/>
          <cell r="C728"/>
          <cell r="D728"/>
          <cell r="E728"/>
          <cell r="F728"/>
          <cell r="G728"/>
          <cell r="H728"/>
          <cell r="I728"/>
          <cell r="J728"/>
          <cell r="K728"/>
          <cell r="L728"/>
          <cell r="M728"/>
        </row>
        <row r="729">
          <cell r="A729">
            <v>20230726</v>
          </cell>
          <cell r="B729"/>
          <cell r="C729"/>
          <cell r="D729"/>
          <cell r="E729"/>
          <cell r="F729"/>
          <cell r="G729"/>
          <cell r="H729"/>
          <cell r="I729"/>
          <cell r="J729"/>
          <cell r="K729"/>
          <cell r="L729"/>
          <cell r="M729"/>
        </row>
        <row r="730">
          <cell r="A730">
            <v>20230727</v>
          </cell>
          <cell r="B730"/>
          <cell r="C730"/>
          <cell r="D730"/>
          <cell r="E730"/>
          <cell r="F730"/>
          <cell r="G730"/>
          <cell r="H730"/>
          <cell r="I730"/>
          <cell r="J730"/>
          <cell r="K730"/>
          <cell r="L730"/>
          <cell r="M730"/>
        </row>
        <row r="731">
          <cell r="A731">
            <v>20230728</v>
          </cell>
          <cell r="B731"/>
          <cell r="C731"/>
          <cell r="D731"/>
          <cell r="E731"/>
          <cell r="F731"/>
          <cell r="G731"/>
          <cell r="H731"/>
          <cell r="I731"/>
          <cell r="J731"/>
          <cell r="K731"/>
          <cell r="L731"/>
          <cell r="M731"/>
        </row>
        <row r="732">
          <cell r="A732">
            <v>20230729</v>
          </cell>
          <cell r="B732"/>
          <cell r="C732"/>
          <cell r="D732"/>
          <cell r="E732"/>
          <cell r="F732"/>
          <cell r="G732"/>
          <cell r="H732"/>
          <cell r="I732"/>
          <cell r="J732"/>
          <cell r="K732"/>
          <cell r="L732"/>
          <cell r="M732"/>
        </row>
        <row r="733">
          <cell r="A733">
            <v>20230730</v>
          </cell>
          <cell r="B733"/>
          <cell r="C733"/>
          <cell r="D733"/>
          <cell r="E733"/>
          <cell r="F733"/>
          <cell r="G733"/>
          <cell r="H733"/>
          <cell r="I733"/>
          <cell r="J733"/>
          <cell r="K733"/>
          <cell r="L733"/>
          <cell r="M733"/>
        </row>
        <row r="734">
          <cell r="A734">
            <v>20230731</v>
          </cell>
          <cell r="B734"/>
          <cell r="C734"/>
          <cell r="D734"/>
          <cell r="E734"/>
          <cell r="F734"/>
          <cell r="G734"/>
          <cell r="H734"/>
          <cell r="I734"/>
          <cell r="J734"/>
          <cell r="K734"/>
          <cell r="L734"/>
          <cell r="M734"/>
        </row>
        <row r="735">
          <cell r="A735">
            <v>20230732</v>
          </cell>
          <cell r="B735"/>
          <cell r="C735"/>
          <cell r="D735"/>
          <cell r="E735"/>
          <cell r="F735"/>
          <cell r="G735"/>
          <cell r="H735"/>
          <cell r="I735"/>
          <cell r="J735"/>
          <cell r="K735"/>
          <cell r="L735"/>
          <cell r="M735"/>
        </row>
        <row r="736">
          <cell r="A736">
            <v>20230733</v>
          </cell>
          <cell r="B736"/>
          <cell r="C736"/>
          <cell r="D736"/>
          <cell r="E736"/>
          <cell r="F736"/>
          <cell r="G736"/>
          <cell r="H736"/>
          <cell r="I736"/>
          <cell r="J736"/>
          <cell r="K736"/>
          <cell r="L736"/>
          <cell r="M736"/>
        </row>
        <row r="737">
          <cell r="A737">
            <v>20230734</v>
          </cell>
          <cell r="B737"/>
          <cell r="C737"/>
          <cell r="D737"/>
          <cell r="E737"/>
          <cell r="F737"/>
          <cell r="G737"/>
          <cell r="H737"/>
          <cell r="I737"/>
          <cell r="J737"/>
          <cell r="K737"/>
          <cell r="L737"/>
          <cell r="M737"/>
        </row>
        <row r="738">
          <cell r="A738">
            <v>20230735</v>
          </cell>
          <cell r="B738"/>
          <cell r="C738"/>
          <cell r="D738"/>
          <cell r="E738"/>
          <cell r="F738"/>
          <cell r="G738"/>
          <cell r="H738"/>
          <cell r="I738"/>
          <cell r="J738"/>
          <cell r="K738"/>
          <cell r="L738"/>
          <cell r="M738"/>
        </row>
        <row r="739">
          <cell r="A739">
            <v>20230736</v>
          </cell>
          <cell r="B739"/>
          <cell r="C739"/>
          <cell r="D739"/>
          <cell r="E739"/>
          <cell r="F739"/>
          <cell r="G739"/>
          <cell r="H739"/>
          <cell r="I739"/>
          <cell r="J739"/>
          <cell r="K739"/>
          <cell r="L739"/>
          <cell r="M739"/>
        </row>
        <row r="740">
          <cell r="A740">
            <v>20230737</v>
          </cell>
          <cell r="B740"/>
          <cell r="C740"/>
          <cell r="D740"/>
          <cell r="E740"/>
          <cell r="F740"/>
          <cell r="G740"/>
          <cell r="H740"/>
          <cell r="I740"/>
          <cell r="J740"/>
          <cell r="K740"/>
          <cell r="L740"/>
          <cell r="M740"/>
        </row>
        <row r="741">
          <cell r="A741">
            <v>20230738</v>
          </cell>
          <cell r="B741"/>
          <cell r="C741"/>
          <cell r="D741"/>
          <cell r="E741"/>
          <cell r="F741"/>
          <cell r="G741"/>
          <cell r="H741"/>
          <cell r="I741"/>
          <cell r="J741"/>
          <cell r="K741"/>
          <cell r="L741"/>
          <cell r="M741"/>
        </row>
        <row r="742">
          <cell r="A742">
            <v>20230739</v>
          </cell>
          <cell r="B742"/>
          <cell r="C742"/>
          <cell r="D742"/>
          <cell r="E742"/>
          <cell r="F742"/>
          <cell r="G742"/>
          <cell r="H742"/>
          <cell r="I742"/>
          <cell r="J742"/>
          <cell r="K742"/>
          <cell r="L742"/>
          <cell r="M742"/>
        </row>
        <row r="743">
          <cell r="A743">
            <v>20230740</v>
          </cell>
          <cell r="B743"/>
          <cell r="C743"/>
          <cell r="D743"/>
          <cell r="E743"/>
          <cell r="F743"/>
          <cell r="G743"/>
          <cell r="H743"/>
          <cell r="I743"/>
          <cell r="J743"/>
          <cell r="K743"/>
          <cell r="L743"/>
          <cell r="M743"/>
        </row>
        <row r="744">
          <cell r="A744">
            <v>20230741</v>
          </cell>
          <cell r="B744"/>
          <cell r="C744"/>
          <cell r="D744"/>
          <cell r="E744"/>
          <cell r="F744"/>
          <cell r="G744"/>
          <cell r="H744"/>
          <cell r="I744"/>
          <cell r="J744"/>
          <cell r="K744"/>
          <cell r="L744"/>
          <cell r="M744"/>
        </row>
        <row r="745">
          <cell r="A745">
            <v>20230742</v>
          </cell>
          <cell r="B745"/>
          <cell r="C745"/>
          <cell r="D745"/>
          <cell r="E745"/>
          <cell r="F745"/>
          <cell r="G745"/>
          <cell r="H745"/>
          <cell r="I745"/>
          <cell r="J745"/>
          <cell r="K745"/>
          <cell r="L745"/>
          <cell r="M745"/>
        </row>
        <row r="746">
          <cell r="A746">
            <v>20230743</v>
          </cell>
          <cell r="B746"/>
          <cell r="C746"/>
          <cell r="D746"/>
          <cell r="E746"/>
          <cell r="F746"/>
          <cell r="G746"/>
          <cell r="H746"/>
          <cell r="I746"/>
          <cell r="J746"/>
          <cell r="K746"/>
          <cell r="L746"/>
          <cell r="M746"/>
        </row>
        <row r="747">
          <cell r="A747">
            <v>20230744</v>
          </cell>
          <cell r="B747"/>
          <cell r="C747"/>
          <cell r="D747"/>
          <cell r="E747"/>
          <cell r="F747"/>
          <cell r="G747"/>
          <cell r="H747"/>
          <cell r="I747"/>
          <cell r="J747"/>
          <cell r="K747"/>
          <cell r="L747"/>
          <cell r="M747"/>
        </row>
        <row r="748">
          <cell r="A748">
            <v>20230745</v>
          </cell>
          <cell r="B748"/>
          <cell r="C748"/>
          <cell r="D748"/>
          <cell r="E748"/>
          <cell r="F748"/>
          <cell r="G748"/>
          <cell r="H748"/>
          <cell r="I748"/>
          <cell r="J748"/>
          <cell r="K748"/>
          <cell r="L748"/>
          <cell r="M748"/>
        </row>
        <row r="749">
          <cell r="A749">
            <v>20230746</v>
          </cell>
          <cell r="B749"/>
          <cell r="C749"/>
          <cell r="D749"/>
          <cell r="E749"/>
          <cell r="F749"/>
          <cell r="G749"/>
          <cell r="H749"/>
          <cell r="I749"/>
          <cell r="J749"/>
          <cell r="K749"/>
          <cell r="L749"/>
          <cell r="M749"/>
        </row>
        <row r="750">
          <cell r="A750">
            <v>20230747</v>
          </cell>
          <cell r="B750"/>
          <cell r="C750"/>
          <cell r="D750"/>
          <cell r="E750"/>
          <cell r="F750"/>
          <cell r="G750"/>
          <cell r="H750"/>
          <cell r="I750"/>
          <cell r="J750"/>
          <cell r="K750"/>
          <cell r="L750"/>
          <cell r="M750"/>
        </row>
        <row r="751">
          <cell r="A751">
            <v>20230748</v>
          </cell>
          <cell r="B751"/>
          <cell r="C751"/>
          <cell r="D751"/>
          <cell r="E751"/>
          <cell r="F751"/>
          <cell r="G751"/>
          <cell r="H751"/>
          <cell r="I751"/>
          <cell r="J751"/>
          <cell r="K751"/>
          <cell r="L751"/>
          <cell r="M751"/>
        </row>
        <row r="752">
          <cell r="A752">
            <v>20230749</v>
          </cell>
          <cell r="B752"/>
          <cell r="C752"/>
          <cell r="D752"/>
          <cell r="E752"/>
          <cell r="F752"/>
          <cell r="G752"/>
          <cell r="H752"/>
          <cell r="I752"/>
          <cell r="J752"/>
          <cell r="K752"/>
          <cell r="L752"/>
          <cell r="M752"/>
        </row>
        <row r="753">
          <cell r="A753">
            <v>20230750</v>
          </cell>
          <cell r="B753"/>
          <cell r="C753"/>
          <cell r="D753"/>
          <cell r="E753"/>
          <cell r="F753"/>
          <cell r="G753"/>
          <cell r="H753"/>
          <cell r="I753"/>
          <cell r="J753"/>
          <cell r="K753"/>
          <cell r="L753"/>
          <cell r="M753"/>
        </row>
        <row r="754">
          <cell r="A754">
            <v>20230751</v>
          </cell>
          <cell r="B754"/>
          <cell r="C754"/>
          <cell r="D754"/>
          <cell r="E754"/>
          <cell r="F754"/>
          <cell r="G754"/>
          <cell r="H754"/>
          <cell r="I754"/>
          <cell r="J754"/>
          <cell r="K754"/>
          <cell r="L754"/>
          <cell r="M754"/>
        </row>
        <row r="755">
          <cell r="A755">
            <v>20230752</v>
          </cell>
          <cell r="B755"/>
          <cell r="C755"/>
          <cell r="D755"/>
          <cell r="E755"/>
          <cell r="F755"/>
          <cell r="G755"/>
          <cell r="H755"/>
          <cell r="I755"/>
          <cell r="J755"/>
          <cell r="K755"/>
          <cell r="L755"/>
          <cell r="M755"/>
        </row>
        <row r="756">
          <cell r="A756">
            <v>20230753</v>
          </cell>
          <cell r="B756"/>
          <cell r="C756"/>
          <cell r="D756"/>
          <cell r="E756"/>
          <cell r="F756"/>
          <cell r="G756"/>
          <cell r="H756"/>
          <cell r="I756"/>
          <cell r="J756"/>
          <cell r="K756"/>
          <cell r="L756"/>
          <cell r="M756"/>
        </row>
        <row r="757">
          <cell r="A757">
            <v>20230754</v>
          </cell>
          <cell r="B757"/>
          <cell r="C757"/>
          <cell r="D757"/>
          <cell r="E757"/>
          <cell r="F757"/>
          <cell r="G757"/>
          <cell r="H757"/>
          <cell r="I757"/>
          <cell r="J757"/>
          <cell r="K757"/>
          <cell r="L757"/>
          <cell r="M757"/>
        </row>
        <row r="758">
          <cell r="A758">
            <v>20230755</v>
          </cell>
          <cell r="B758"/>
          <cell r="C758"/>
          <cell r="D758"/>
          <cell r="E758"/>
          <cell r="F758"/>
          <cell r="G758"/>
          <cell r="H758"/>
          <cell r="I758"/>
          <cell r="J758"/>
          <cell r="K758"/>
          <cell r="L758"/>
          <cell r="M758"/>
        </row>
        <row r="759">
          <cell r="A759">
            <v>20230756</v>
          </cell>
          <cell r="B759"/>
          <cell r="C759"/>
          <cell r="D759"/>
          <cell r="E759"/>
          <cell r="F759"/>
          <cell r="G759"/>
          <cell r="H759"/>
          <cell r="I759"/>
          <cell r="J759"/>
          <cell r="K759"/>
          <cell r="L759"/>
          <cell r="M759"/>
        </row>
        <row r="760">
          <cell r="A760">
            <v>20230757</v>
          </cell>
          <cell r="B760"/>
          <cell r="C760"/>
          <cell r="D760"/>
          <cell r="E760"/>
          <cell r="F760"/>
          <cell r="G760"/>
          <cell r="H760"/>
          <cell r="I760"/>
          <cell r="J760"/>
          <cell r="K760"/>
          <cell r="L760"/>
          <cell r="M760"/>
        </row>
        <row r="761">
          <cell r="A761">
            <v>20230758</v>
          </cell>
          <cell r="B761"/>
          <cell r="C761"/>
          <cell r="D761"/>
          <cell r="E761"/>
          <cell r="F761"/>
          <cell r="G761"/>
          <cell r="H761"/>
          <cell r="I761"/>
          <cell r="J761"/>
          <cell r="K761"/>
          <cell r="L761"/>
          <cell r="M761"/>
        </row>
        <row r="762">
          <cell r="A762">
            <v>20230759</v>
          </cell>
          <cell r="B762"/>
          <cell r="C762"/>
          <cell r="D762"/>
          <cell r="E762"/>
          <cell r="F762"/>
          <cell r="G762"/>
          <cell r="H762"/>
          <cell r="I762"/>
          <cell r="J762"/>
          <cell r="K762"/>
          <cell r="L762"/>
          <cell r="M762"/>
        </row>
        <row r="763">
          <cell r="A763">
            <v>20230760</v>
          </cell>
          <cell r="B763"/>
          <cell r="C763"/>
          <cell r="D763"/>
          <cell r="E763"/>
          <cell r="F763"/>
          <cell r="G763"/>
          <cell r="H763"/>
          <cell r="I763"/>
          <cell r="J763"/>
          <cell r="K763"/>
          <cell r="L763"/>
          <cell r="M763"/>
        </row>
        <row r="764">
          <cell r="A764">
            <v>20230761</v>
          </cell>
          <cell r="B764"/>
          <cell r="C764"/>
          <cell r="D764"/>
          <cell r="E764"/>
          <cell r="F764"/>
          <cell r="G764"/>
          <cell r="H764"/>
          <cell r="I764"/>
          <cell r="J764"/>
          <cell r="K764"/>
          <cell r="L764"/>
          <cell r="M764"/>
        </row>
        <row r="765">
          <cell r="A765">
            <v>20230762</v>
          </cell>
          <cell r="B765"/>
          <cell r="C765"/>
          <cell r="D765"/>
          <cell r="E765"/>
          <cell r="F765"/>
          <cell r="G765"/>
          <cell r="H765"/>
          <cell r="I765"/>
          <cell r="J765"/>
          <cell r="K765"/>
          <cell r="L765"/>
          <cell r="M765"/>
        </row>
        <row r="766">
          <cell r="A766">
            <v>20230763</v>
          </cell>
          <cell r="B766"/>
          <cell r="C766"/>
          <cell r="D766"/>
          <cell r="E766"/>
          <cell r="F766"/>
          <cell r="G766"/>
          <cell r="H766"/>
          <cell r="I766"/>
          <cell r="J766"/>
          <cell r="K766"/>
          <cell r="L766"/>
          <cell r="M766"/>
        </row>
        <row r="767">
          <cell r="A767">
            <v>20230764</v>
          </cell>
          <cell r="B767"/>
          <cell r="C767"/>
          <cell r="D767"/>
          <cell r="E767"/>
          <cell r="F767"/>
          <cell r="G767"/>
          <cell r="H767"/>
          <cell r="I767"/>
          <cell r="J767"/>
          <cell r="K767"/>
          <cell r="L767"/>
          <cell r="M767"/>
        </row>
        <row r="768">
          <cell r="A768">
            <v>20230765</v>
          </cell>
          <cell r="B768"/>
          <cell r="C768"/>
          <cell r="D768"/>
          <cell r="E768"/>
          <cell r="F768"/>
          <cell r="G768"/>
          <cell r="H768"/>
          <cell r="I768"/>
          <cell r="J768"/>
          <cell r="K768"/>
          <cell r="L768"/>
          <cell r="M768"/>
        </row>
        <row r="769">
          <cell r="A769">
            <v>20230766</v>
          </cell>
          <cell r="B769"/>
          <cell r="C769"/>
          <cell r="D769"/>
          <cell r="E769"/>
          <cell r="F769"/>
          <cell r="G769"/>
          <cell r="H769"/>
          <cell r="I769"/>
          <cell r="J769"/>
          <cell r="K769"/>
          <cell r="L769"/>
          <cell r="M769"/>
        </row>
        <row r="770">
          <cell r="A770">
            <v>20230767</v>
          </cell>
          <cell r="B770"/>
          <cell r="C770"/>
          <cell r="D770"/>
          <cell r="E770"/>
          <cell r="F770"/>
          <cell r="G770"/>
          <cell r="H770"/>
          <cell r="I770"/>
          <cell r="J770"/>
          <cell r="K770"/>
          <cell r="L770"/>
          <cell r="M770"/>
        </row>
        <row r="771">
          <cell r="A771">
            <v>20230768</v>
          </cell>
          <cell r="B771"/>
          <cell r="C771"/>
          <cell r="D771"/>
          <cell r="E771"/>
          <cell r="F771"/>
          <cell r="G771"/>
          <cell r="H771"/>
          <cell r="I771"/>
          <cell r="J771"/>
          <cell r="K771"/>
          <cell r="L771"/>
          <cell r="M771"/>
        </row>
        <row r="772">
          <cell r="A772">
            <v>20230769</v>
          </cell>
          <cell r="B772"/>
          <cell r="C772"/>
          <cell r="D772"/>
          <cell r="E772"/>
          <cell r="F772"/>
          <cell r="G772"/>
          <cell r="H772"/>
          <cell r="I772"/>
          <cell r="J772"/>
          <cell r="K772"/>
          <cell r="L772"/>
          <cell r="M772"/>
        </row>
        <row r="773">
          <cell r="A773">
            <v>20230770</v>
          </cell>
          <cell r="B773"/>
          <cell r="C773"/>
          <cell r="D773"/>
          <cell r="E773"/>
          <cell r="F773"/>
          <cell r="G773"/>
          <cell r="H773"/>
          <cell r="I773"/>
          <cell r="J773"/>
          <cell r="K773"/>
          <cell r="L773"/>
          <cell r="M773"/>
        </row>
        <row r="774">
          <cell r="A774">
            <v>20230771</v>
          </cell>
          <cell r="B774"/>
          <cell r="C774"/>
          <cell r="D774"/>
          <cell r="E774"/>
          <cell r="F774"/>
          <cell r="G774"/>
          <cell r="H774"/>
          <cell r="I774"/>
          <cell r="J774"/>
          <cell r="K774"/>
          <cell r="L774"/>
          <cell r="M774"/>
        </row>
        <row r="775">
          <cell r="A775">
            <v>20230772</v>
          </cell>
          <cell r="B775"/>
          <cell r="C775"/>
          <cell r="D775"/>
          <cell r="E775"/>
          <cell r="F775"/>
          <cell r="G775"/>
          <cell r="H775"/>
          <cell r="I775"/>
          <cell r="J775"/>
          <cell r="K775"/>
          <cell r="L775"/>
          <cell r="M775"/>
        </row>
        <row r="776">
          <cell r="A776">
            <v>20230773</v>
          </cell>
          <cell r="B776"/>
          <cell r="C776"/>
          <cell r="D776"/>
          <cell r="E776"/>
          <cell r="F776"/>
          <cell r="G776"/>
          <cell r="H776"/>
          <cell r="I776"/>
          <cell r="J776"/>
          <cell r="K776"/>
          <cell r="L776"/>
          <cell r="M776"/>
        </row>
        <row r="777">
          <cell r="A777">
            <v>20230774</v>
          </cell>
          <cell r="B777"/>
          <cell r="C777"/>
          <cell r="D777"/>
          <cell r="E777"/>
          <cell r="F777"/>
          <cell r="G777"/>
          <cell r="H777"/>
          <cell r="I777"/>
          <cell r="J777"/>
          <cell r="K777"/>
          <cell r="L777"/>
          <cell r="M777"/>
        </row>
        <row r="778">
          <cell r="A778">
            <v>20230775</v>
          </cell>
          <cell r="B778"/>
          <cell r="C778"/>
          <cell r="D778"/>
          <cell r="E778"/>
          <cell r="F778"/>
          <cell r="G778"/>
          <cell r="H778"/>
          <cell r="I778"/>
          <cell r="J778"/>
          <cell r="K778"/>
          <cell r="L778"/>
          <cell r="M778"/>
        </row>
        <row r="779">
          <cell r="A779">
            <v>20230776</v>
          </cell>
          <cell r="B779"/>
          <cell r="C779"/>
          <cell r="D779"/>
          <cell r="E779"/>
          <cell r="F779"/>
          <cell r="G779"/>
          <cell r="H779"/>
          <cell r="I779"/>
          <cell r="J779"/>
          <cell r="K779"/>
          <cell r="L779"/>
          <cell r="M779"/>
        </row>
        <row r="780">
          <cell r="A780">
            <v>20230777</v>
          </cell>
          <cell r="B780"/>
          <cell r="C780"/>
          <cell r="D780"/>
          <cell r="E780"/>
          <cell r="F780"/>
          <cell r="G780"/>
          <cell r="H780"/>
          <cell r="I780"/>
          <cell r="J780"/>
          <cell r="K780"/>
          <cell r="L780"/>
          <cell r="M780"/>
        </row>
        <row r="781">
          <cell r="A781">
            <v>20230778</v>
          </cell>
          <cell r="B781"/>
          <cell r="C781"/>
          <cell r="D781"/>
          <cell r="E781"/>
          <cell r="F781"/>
          <cell r="G781"/>
          <cell r="H781"/>
          <cell r="I781"/>
          <cell r="J781"/>
          <cell r="K781"/>
          <cell r="L781"/>
          <cell r="M781"/>
        </row>
        <row r="782">
          <cell r="A782">
            <v>20230779</v>
          </cell>
          <cell r="B782"/>
          <cell r="C782"/>
          <cell r="D782"/>
          <cell r="E782"/>
          <cell r="F782"/>
          <cell r="G782"/>
          <cell r="H782"/>
          <cell r="I782"/>
          <cell r="J782"/>
          <cell r="K782"/>
          <cell r="L782"/>
          <cell r="M782"/>
        </row>
        <row r="783">
          <cell r="A783">
            <v>20230780</v>
          </cell>
          <cell r="B783"/>
          <cell r="C783"/>
          <cell r="D783"/>
          <cell r="E783"/>
          <cell r="F783"/>
          <cell r="G783"/>
          <cell r="H783"/>
          <cell r="I783"/>
          <cell r="J783"/>
          <cell r="K783"/>
          <cell r="L783"/>
          <cell r="M783"/>
        </row>
        <row r="784">
          <cell r="A784">
            <v>20230781</v>
          </cell>
          <cell r="B784"/>
          <cell r="C784"/>
          <cell r="D784"/>
          <cell r="E784"/>
          <cell r="F784"/>
          <cell r="G784"/>
          <cell r="H784"/>
          <cell r="I784"/>
          <cell r="J784"/>
          <cell r="K784"/>
          <cell r="L784"/>
          <cell r="M784"/>
        </row>
        <row r="785">
          <cell r="A785">
            <v>20230782</v>
          </cell>
          <cell r="B785"/>
          <cell r="C785"/>
          <cell r="D785"/>
          <cell r="E785"/>
          <cell r="F785"/>
          <cell r="G785"/>
          <cell r="H785"/>
          <cell r="I785"/>
          <cell r="J785"/>
          <cell r="K785"/>
          <cell r="L785"/>
          <cell r="M785"/>
        </row>
        <row r="786">
          <cell r="A786">
            <v>20230783</v>
          </cell>
          <cell r="B786"/>
          <cell r="C786"/>
          <cell r="D786"/>
          <cell r="E786"/>
          <cell r="F786"/>
          <cell r="G786"/>
          <cell r="H786"/>
          <cell r="I786"/>
          <cell r="J786"/>
          <cell r="K786"/>
          <cell r="L786"/>
          <cell r="M786"/>
        </row>
        <row r="787">
          <cell r="A787">
            <v>20230784</v>
          </cell>
          <cell r="B787"/>
          <cell r="C787"/>
          <cell r="D787"/>
          <cell r="E787"/>
          <cell r="F787"/>
          <cell r="G787"/>
          <cell r="H787"/>
          <cell r="I787"/>
          <cell r="J787"/>
          <cell r="K787"/>
          <cell r="L787"/>
          <cell r="M787"/>
        </row>
        <row r="788">
          <cell r="A788">
            <v>20230785</v>
          </cell>
          <cell r="B788"/>
          <cell r="C788"/>
          <cell r="D788"/>
          <cell r="E788"/>
          <cell r="F788"/>
          <cell r="G788"/>
          <cell r="H788"/>
          <cell r="I788"/>
          <cell r="J788"/>
          <cell r="K788"/>
          <cell r="L788"/>
          <cell r="M788"/>
        </row>
        <row r="789">
          <cell r="A789">
            <v>20230786</v>
          </cell>
          <cell r="B789"/>
          <cell r="C789"/>
          <cell r="D789"/>
          <cell r="E789"/>
          <cell r="F789"/>
          <cell r="G789"/>
          <cell r="H789"/>
          <cell r="I789"/>
          <cell r="J789"/>
          <cell r="K789"/>
          <cell r="L789"/>
          <cell r="M789"/>
        </row>
        <row r="790">
          <cell r="A790">
            <v>20230787</v>
          </cell>
          <cell r="B790"/>
          <cell r="C790"/>
          <cell r="D790"/>
          <cell r="E790"/>
          <cell r="F790"/>
          <cell r="G790"/>
          <cell r="H790"/>
          <cell r="I790"/>
          <cell r="J790"/>
          <cell r="K790"/>
          <cell r="L790"/>
          <cell r="M790"/>
        </row>
        <row r="791">
          <cell r="A791">
            <v>20230788</v>
          </cell>
          <cell r="B791"/>
          <cell r="C791"/>
          <cell r="D791"/>
          <cell r="E791"/>
          <cell r="F791"/>
          <cell r="G791"/>
          <cell r="H791"/>
          <cell r="I791"/>
          <cell r="J791"/>
          <cell r="K791"/>
          <cell r="L791"/>
          <cell r="M791"/>
        </row>
        <row r="792">
          <cell r="A792">
            <v>20230789</v>
          </cell>
          <cell r="B792"/>
          <cell r="C792"/>
          <cell r="D792"/>
          <cell r="E792"/>
          <cell r="F792"/>
          <cell r="G792"/>
          <cell r="H792"/>
          <cell r="I792"/>
          <cell r="J792"/>
          <cell r="K792"/>
          <cell r="L792"/>
          <cell r="M792"/>
        </row>
        <row r="793">
          <cell r="A793">
            <v>20230790</v>
          </cell>
          <cell r="B793"/>
          <cell r="C793"/>
          <cell r="D793"/>
          <cell r="E793"/>
          <cell r="F793"/>
          <cell r="G793"/>
          <cell r="H793"/>
          <cell r="I793"/>
          <cell r="J793"/>
          <cell r="K793"/>
          <cell r="L793"/>
          <cell r="M793"/>
        </row>
        <row r="794">
          <cell r="A794">
            <v>20230791</v>
          </cell>
          <cell r="B794"/>
          <cell r="C794"/>
          <cell r="D794"/>
          <cell r="E794"/>
          <cell r="F794"/>
          <cell r="G794"/>
          <cell r="H794"/>
          <cell r="I794"/>
          <cell r="J794"/>
          <cell r="K794"/>
          <cell r="L794"/>
          <cell r="M794"/>
        </row>
        <row r="795">
          <cell r="A795">
            <v>20230792</v>
          </cell>
          <cell r="B795"/>
          <cell r="C795"/>
          <cell r="D795"/>
          <cell r="E795"/>
          <cell r="F795"/>
          <cell r="G795"/>
          <cell r="H795"/>
          <cell r="I795"/>
          <cell r="J795"/>
          <cell r="K795"/>
          <cell r="L795"/>
          <cell r="M795"/>
        </row>
        <row r="796">
          <cell r="A796">
            <v>20230793</v>
          </cell>
          <cell r="B796"/>
          <cell r="C796"/>
          <cell r="D796"/>
          <cell r="E796"/>
          <cell r="F796"/>
          <cell r="G796"/>
          <cell r="H796"/>
          <cell r="I796"/>
          <cell r="J796"/>
          <cell r="K796"/>
          <cell r="L796"/>
          <cell r="M796"/>
        </row>
        <row r="797">
          <cell r="A797">
            <v>20230794</v>
          </cell>
          <cell r="B797"/>
          <cell r="C797"/>
          <cell r="D797"/>
          <cell r="E797"/>
          <cell r="F797"/>
          <cell r="G797"/>
          <cell r="H797"/>
          <cell r="I797"/>
          <cell r="J797"/>
          <cell r="K797"/>
          <cell r="L797"/>
          <cell r="M797"/>
        </row>
        <row r="798">
          <cell r="A798">
            <v>20230795</v>
          </cell>
          <cell r="B798"/>
          <cell r="C798"/>
          <cell r="D798"/>
          <cell r="E798"/>
          <cell r="F798"/>
          <cell r="G798"/>
          <cell r="H798"/>
          <cell r="I798"/>
          <cell r="J798"/>
          <cell r="K798"/>
          <cell r="L798"/>
          <cell r="M798"/>
        </row>
        <row r="799">
          <cell r="A799">
            <v>20230796</v>
          </cell>
          <cell r="B799"/>
          <cell r="C799"/>
          <cell r="D799"/>
          <cell r="E799"/>
          <cell r="F799"/>
          <cell r="G799"/>
          <cell r="H799"/>
          <cell r="I799"/>
          <cell r="J799"/>
          <cell r="K799"/>
          <cell r="L799"/>
          <cell r="M799"/>
        </row>
        <row r="800">
          <cell r="A800">
            <v>20230797</v>
          </cell>
          <cell r="B800"/>
          <cell r="C800"/>
          <cell r="D800"/>
          <cell r="E800"/>
          <cell r="F800"/>
          <cell r="G800"/>
          <cell r="H800"/>
          <cell r="I800"/>
          <cell r="J800"/>
          <cell r="K800"/>
          <cell r="L800"/>
          <cell r="M800"/>
        </row>
        <row r="801">
          <cell r="A801">
            <v>20230798</v>
          </cell>
          <cell r="B801"/>
          <cell r="C801"/>
          <cell r="D801"/>
          <cell r="E801"/>
          <cell r="F801"/>
          <cell r="G801"/>
          <cell r="H801"/>
          <cell r="I801"/>
          <cell r="J801"/>
          <cell r="K801"/>
          <cell r="L801"/>
          <cell r="M801"/>
        </row>
        <row r="802">
          <cell r="A802">
            <v>20230799</v>
          </cell>
          <cell r="B802"/>
          <cell r="C802"/>
          <cell r="D802"/>
          <cell r="E802"/>
          <cell r="F802"/>
          <cell r="G802"/>
          <cell r="H802"/>
          <cell r="I802"/>
          <cell r="J802"/>
          <cell r="K802"/>
          <cell r="L802"/>
          <cell r="M802"/>
        </row>
        <row r="803">
          <cell r="A803">
            <v>20230800</v>
          </cell>
          <cell r="B803"/>
          <cell r="C803"/>
          <cell r="D803"/>
          <cell r="E803"/>
          <cell r="F803"/>
          <cell r="G803"/>
          <cell r="H803"/>
          <cell r="I803"/>
          <cell r="J803"/>
          <cell r="K803"/>
          <cell r="L803"/>
          <cell r="M803"/>
        </row>
        <row r="804">
          <cell r="A804">
            <v>20230801</v>
          </cell>
          <cell r="B804"/>
          <cell r="C804"/>
          <cell r="D804"/>
          <cell r="E804"/>
          <cell r="F804"/>
          <cell r="G804"/>
          <cell r="H804"/>
          <cell r="I804"/>
          <cell r="J804"/>
          <cell r="K804"/>
          <cell r="L804"/>
          <cell r="M804"/>
        </row>
        <row r="805">
          <cell r="A805">
            <v>20230802</v>
          </cell>
          <cell r="B805"/>
          <cell r="C805"/>
          <cell r="D805"/>
          <cell r="E805"/>
          <cell r="F805"/>
          <cell r="G805"/>
          <cell r="H805"/>
          <cell r="I805"/>
          <cell r="J805"/>
          <cell r="K805"/>
          <cell r="L805"/>
          <cell r="M805"/>
        </row>
        <row r="806">
          <cell r="A806">
            <v>20230803</v>
          </cell>
          <cell r="B806"/>
          <cell r="C806"/>
          <cell r="D806"/>
          <cell r="E806"/>
          <cell r="F806"/>
          <cell r="G806"/>
          <cell r="H806"/>
          <cell r="I806"/>
          <cell r="J806"/>
          <cell r="K806"/>
          <cell r="L806"/>
          <cell r="M806"/>
        </row>
        <row r="807">
          <cell r="A807">
            <v>20230804</v>
          </cell>
          <cell r="B807"/>
          <cell r="C807"/>
          <cell r="D807"/>
          <cell r="E807"/>
          <cell r="F807"/>
          <cell r="G807"/>
          <cell r="H807"/>
          <cell r="I807"/>
          <cell r="J807"/>
          <cell r="K807"/>
          <cell r="L807"/>
          <cell r="M807"/>
        </row>
        <row r="808">
          <cell r="A808">
            <v>20230805</v>
          </cell>
          <cell r="B808"/>
          <cell r="C808"/>
          <cell r="D808"/>
          <cell r="E808"/>
          <cell r="F808"/>
          <cell r="G808"/>
          <cell r="H808"/>
          <cell r="I808"/>
          <cell r="J808"/>
          <cell r="K808"/>
          <cell r="L808"/>
          <cell r="M808"/>
        </row>
        <row r="809">
          <cell r="A809">
            <v>20230806</v>
          </cell>
          <cell r="B809"/>
          <cell r="C809"/>
          <cell r="D809"/>
          <cell r="E809"/>
          <cell r="F809"/>
          <cell r="G809"/>
          <cell r="H809"/>
          <cell r="I809"/>
          <cell r="J809"/>
          <cell r="K809"/>
          <cell r="L809"/>
          <cell r="M809"/>
        </row>
        <row r="810">
          <cell r="A810">
            <v>20230807</v>
          </cell>
          <cell r="B810"/>
          <cell r="C810"/>
          <cell r="D810"/>
          <cell r="E810"/>
          <cell r="F810"/>
          <cell r="G810"/>
          <cell r="H810"/>
          <cell r="I810"/>
          <cell r="J810"/>
          <cell r="K810"/>
          <cell r="L810"/>
          <cell r="M810"/>
        </row>
        <row r="811">
          <cell r="A811">
            <v>20230808</v>
          </cell>
          <cell r="B811"/>
          <cell r="C811"/>
          <cell r="D811"/>
          <cell r="E811"/>
          <cell r="F811"/>
          <cell r="G811"/>
          <cell r="H811"/>
          <cell r="I811"/>
          <cell r="J811"/>
          <cell r="K811"/>
          <cell r="L811"/>
          <cell r="M811"/>
        </row>
        <row r="812">
          <cell r="A812">
            <v>20230809</v>
          </cell>
          <cell r="B812"/>
          <cell r="C812"/>
          <cell r="D812"/>
          <cell r="E812"/>
          <cell r="F812"/>
          <cell r="G812"/>
          <cell r="H812"/>
          <cell r="I812"/>
          <cell r="J812"/>
          <cell r="K812"/>
          <cell r="L812"/>
          <cell r="M812"/>
        </row>
        <row r="813">
          <cell r="A813">
            <v>20230810</v>
          </cell>
          <cell r="B813"/>
          <cell r="C813"/>
          <cell r="D813"/>
          <cell r="E813"/>
          <cell r="F813"/>
          <cell r="G813"/>
          <cell r="H813"/>
          <cell r="I813"/>
          <cell r="J813"/>
          <cell r="K813"/>
          <cell r="L813"/>
          <cell r="M813"/>
        </row>
        <row r="814">
          <cell r="A814">
            <v>20230811</v>
          </cell>
          <cell r="B814"/>
          <cell r="C814"/>
          <cell r="D814"/>
          <cell r="E814"/>
          <cell r="F814"/>
          <cell r="G814"/>
          <cell r="H814"/>
          <cell r="I814"/>
          <cell r="J814"/>
          <cell r="K814"/>
          <cell r="L814"/>
          <cell r="M814"/>
        </row>
        <row r="815">
          <cell r="A815">
            <v>20230812</v>
          </cell>
          <cell r="B815"/>
          <cell r="C815"/>
          <cell r="D815"/>
          <cell r="E815"/>
          <cell r="F815"/>
          <cell r="G815"/>
          <cell r="H815"/>
          <cell r="I815"/>
          <cell r="J815"/>
          <cell r="K815"/>
          <cell r="L815"/>
          <cell r="M815"/>
        </row>
        <row r="816">
          <cell r="A816">
            <v>20230813</v>
          </cell>
          <cell r="B816"/>
          <cell r="C816"/>
          <cell r="D816"/>
          <cell r="E816"/>
          <cell r="F816"/>
          <cell r="G816"/>
          <cell r="H816"/>
          <cell r="I816"/>
          <cell r="J816"/>
          <cell r="K816"/>
          <cell r="L816"/>
          <cell r="M816"/>
        </row>
        <row r="817">
          <cell r="A817">
            <v>20230814</v>
          </cell>
          <cell r="B817"/>
          <cell r="C817"/>
          <cell r="D817"/>
          <cell r="E817"/>
          <cell r="F817"/>
          <cell r="G817"/>
          <cell r="H817"/>
          <cell r="I817"/>
          <cell r="J817"/>
          <cell r="K817"/>
          <cell r="L817"/>
          <cell r="M817"/>
        </row>
        <row r="818">
          <cell r="A818">
            <v>20230815</v>
          </cell>
          <cell r="B818"/>
          <cell r="C818"/>
          <cell r="D818"/>
          <cell r="E818"/>
          <cell r="F818"/>
          <cell r="G818"/>
          <cell r="H818"/>
          <cell r="I818"/>
          <cell r="J818"/>
          <cell r="K818"/>
          <cell r="L818"/>
          <cell r="M818"/>
        </row>
        <row r="819">
          <cell r="A819">
            <v>20230816</v>
          </cell>
          <cell r="B819"/>
          <cell r="C819"/>
          <cell r="D819"/>
          <cell r="E819"/>
          <cell r="F819"/>
          <cell r="G819"/>
          <cell r="H819"/>
          <cell r="I819"/>
          <cell r="J819"/>
          <cell r="K819"/>
          <cell r="L819"/>
          <cell r="M819"/>
        </row>
        <row r="820">
          <cell r="A820">
            <v>20230817</v>
          </cell>
          <cell r="B820"/>
          <cell r="C820"/>
          <cell r="D820"/>
          <cell r="E820"/>
          <cell r="F820"/>
          <cell r="G820"/>
          <cell r="H820"/>
          <cell r="I820"/>
          <cell r="J820"/>
          <cell r="K820"/>
          <cell r="L820"/>
          <cell r="M820"/>
        </row>
        <row r="821">
          <cell r="A821">
            <v>20230818</v>
          </cell>
          <cell r="B821"/>
          <cell r="C821"/>
          <cell r="D821"/>
          <cell r="E821"/>
          <cell r="F821"/>
          <cell r="G821"/>
          <cell r="H821"/>
          <cell r="I821"/>
          <cell r="J821"/>
          <cell r="K821"/>
          <cell r="L821"/>
          <cell r="M821"/>
        </row>
        <row r="822">
          <cell r="A822">
            <v>20230819</v>
          </cell>
          <cell r="B822"/>
          <cell r="C822"/>
          <cell r="D822"/>
          <cell r="E822"/>
          <cell r="F822"/>
          <cell r="G822"/>
          <cell r="H822"/>
          <cell r="I822"/>
          <cell r="J822"/>
          <cell r="K822"/>
          <cell r="L822"/>
          <cell r="M822"/>
        </row>
        <row r="823">
          <cell r="A823">
            <v>20230820</v>
          </cell>
          <cell r="B823"/>
          <cell r="C823"/>
          <cell r="D823"/>
          <cell r="E823"/>
          <cell r="F823"/>
          <cell r="G823"/>
          <cell r="H823"/>
          <cell r="I823"/>
          <cell r="J823"/>
          <cell r="K823"/>
          <cell r="L823"/>
          <cell r="M823"/>
        </row>
        <row r="824">
          <cell r="A824">
            <v>20230821</v>
          </cell>
          <cell r="B824"/>
          <cell r="C824"/>
          <cell r="D824"/>
          <cell r="E824"/>
          <cell r="F824"/>
          <cell r="G824"/>
          <cell r="H824"/>
          <cell r="I824"/>
          <cell r="J824"/>
          <cell r="K824"/>
          <cell r="L824"/>
          <cell r="M824"/>
        </row>
        <row r="825">
          <cell r="A825">
            <v>20230822</v>
          </cell>
          <cell r="B825"/>
          <cell r="C825"/>
          <cell r="D825"/>
          <cell r="E825"/>
          <cell r="F825"/>
          <cell r="G825"/>
          <cell r="H825"/>
          <cell r="I825"/>
          <cell r="J825"/>
          <cell r="K825"/>
          <cell r="L825"/>
          <cell r="M825"/>
        </row>
        <row r="826">
          <cell r="A826">
            <v>20230823</v>
          </cell>
          <cell r="B826"/>
          <cell r="C826"/>
          <cell r="D826"/>
          <cell r="E826"/>
          <cell r="F826"/>
          <cell r="G826"/>
          <cell r="H826"/>
          <cell r="I826"/>
          <cell r="J826"/>
          <cell r="K826"/>
          <cell r="L826"/>
          <cell r="M826"/>
        </row>
        <row r="827">
          <cell r="A827">
            <v>20230824</v>
          </cell>
          <cell r="B827"/>
          <cell r="C827"/>
          <cell r="D827"/>
          <cell r="E827"/>
          <cell r="F827"/>
          <cell r="G827"/>
          <cell r="H827"/>
          <cell r="I827"/>
          <cell r="J827"/>
          <cell r="K827"/>
          <cell r="L827"/>
          <cell r="M827"/>
        </row>
        <row r="828">
          <cell r="A828">
            <v>20230825</v>
          </cell>
          <cell r="B828"/>
          <cell r="C828"/>
          <cell r="D828"/>
          <cell r="E828"/>
          <cell r="F828"/>
          <cell r="G828"/>
          <cell r="H828"/>
          <cell r="I828"/>
          <cell r="J828"/>
          <cell r="K828"/>
          <cell r="L828"/>
          <cell r="M828"/>
        </row>
        <row r="829">
          <cell r="A829">
            <v>20230826</v>
          </cell>
          <cell r="B829"/>
          <cell r="C829"/>
          <cell r="D829"/>
          <cell r="E829"/>
          <cell r="F829"/>
          <cell r="G829"/>
          <cell r="H829"/>
          <cell r="I829"/>
          <cell r="J829"/>
          <cell r="K829"/>
          <cell r="L829"/>
          <cell r="M829"/>
        </row>
        <row r="830">
          <cell r="A830">
            <v>20230827</v>
          </cell>
          <cell r="B830"/>
          <cell r="C830"/>
          <cell r="D830"/>
          <cell r="E830"/>
          <cell r="F830"/>
          <cell r="G830"/>
          <cell r="H830"/>
          <cell r="I830"/>
          <cell r="J830"/>
          <cell r="K830"/>
          <cell r="L830"/>
          <cell r="M830"/>
        </row>
        <row r="831">
          <cell r="A831">
            <v>20230828</v>
          </cell>
          <cell r="B831"/>
          <cell r="C831"/>
          <cell r="D831"/>
          <cell r="E831"/>
          <cell r="F831"/>
          <cell r="G831"/>
          <cell r="H831"/>
          <cell r="I831"/>
          <cell r="J831"/>
          <cell r="K831"/>
          <cell r="L831"/>
          <cell r="M831"/>
        </row>
        <row r="832">
          <cell r="A832">
            <v>20230829</v>
          </cell>
          <cell r="B832"/>
          <cell r="C832"/>
          <cell r="D832"/>
          <cell r="E832"/>
          <cell r="F832"/>
          <cell r="G832"/>
          <cell r="H832"/>
          <cell r="I832"/>
          <cell r="J832"/>
          <cell r="K832"/>
          <cell r="L832"/>
          <cell r="M832"/>
        </row>
        <row r="833">
          <cell r="A833">
            <v>20230830</v>
          </cell>
          <cell r="B833"/>
          <cell r="C833"/>
          <cell r="D833"/>
          <cell r="E833"/>
          <cell r="F833"/>
          <cell r="G833"/>
          <cell r="H833"/>
          <cell r="I833"/>
          <cell r="J833"/>
          <cell r="K833"/>
          <cell r="L833"/>
          <cell r="M833"/>
        </row>
        <row r="834">
          <cell r="A834">
            <v>20230831</v>
          </cell>
          <cell r="B834"/>
          <cell r="C834"/>
          <cell r="D834"/>
          <cell r="E834"/>
          <cell r="F834"/>
          <cell r="G834"/>
          <cell r="H834"/>
          <cell r="I834"/>
          <cell r="J834"/>
          <cell r="K834"/>
          <cell r="L834"/>
          <cell r="M834"/>
        </row>
        <row r="835">
          <cell r="A835">
            <v>20230832</v>
          </cell>
          <cell r="B835"/>
          <cell r="C835"/>
          <cell r="D835"/>
          <cell r="E835"/>
          <cell r="F835"/>
          <cell r="G835"/>
          <cell r="H835"/>
          <cell r="I835"/>
          <cell r="J835"/>
          <cell r="K835"/>
          <cell r="L835"/>
          <cell r="M835"/>
        </row>
        <row r="836">
          <cell r="A836">
            <v>20230833</v>
          </cell>
          <cell r="B836"/>
          <cell r="C836"/>
          <cell r="D836"/>
          <cell r="E836"/>
          <cell r="F836"/>
          <cell r="G836"/>
          <cell r="H836"/>
          <cell r="I836"/>
          <cell r="J836"/>
          <cell r="K836"/>
          <cell r="L836"/>
          <cell r="M836"/>
        </row>
        <row r="837">
          <cell r="A837">
            <v>20230834</v>
          </cell>
          <cell r="B837"/>
          <cell r="C837"/>
          <cell r="D837"/>
          <cell r="E837"/>
          <cell r="F837"/>
          <cell r="G837"/>
          <cell r="H837"/>
          <cell r="I837"/>
          <cell r="J837"/>
          <cell r="K837"/>
          <cell r="L837"/>
          <cell r="M837"/>
        </row>
        <row r="838">
          <cell r="A838">
            <v>20230835</v>
          </cell>
          <cell r="B838"/>
          <cell r="C838"/>
          <cell r="D838"/>
          <cell r="E838"/>
          <cell r="F838"/>
          <cell r="G838"/>
          <cell r="H838"/>
          <cell r="I838"/>
          <cell r="J838"/>
          <cell r="K838"/>
          <cell r="L838"/>
          <cell r="M838"/>
        </row>
        <row r="839">
          <cell r="A839">
            <v>20230836</v>
          </cell>
          <cell r="B839"/>
          <cell r="C839"/>
          <cell r="D839"/>
          <cell r="E839"/>
          <cell r="F839"/>
          <cell r="G839"/>
          <cell r="H839"/>
          <cell r="I839"/>
          <cell r="J839"/>
          <cell r="K839"/>
          <cell r="L839"/>
          <cell r="M839"/>
        </row>
        <row r="840">
          <cell r="A840">
            <v>20230837</v>
          </cell>
          <cell r="B840"/>
          <cell r="C840"/>
          <cell r="D840"/>
          <cell r="E840"/>
          <cell r="F840"/>
          <cell r="G840"/>
          <cell r="H840"/>
          <cell r="I840"/>
          <cell r="J840"/>
          <cell r="K840"/>
          <cell r="L840"/>
          <cell r="M840"/>
        </row>
        <row r="841">
          <cell r="A841">
            <v>20230838</v>
          </cell>
          <cell r="B841"/>
          <cell r="C841"/>
          <cell r="D841"/>
          <cell r="E841"/>
          <cell r="F841"/>
          <cell r="G841"/>
          <cell r="H841"/>
          <cell r="I841"/>
          <cell r="J841"/>
          <cell r="K841"/>
          <cell r="L841"/>
          <cell r="M841"/>
        </row>
        <row r="842">
          <cell r="A842">
            <v>20230839</v>
          </cell>
          <cell r="B842"/>
          <cell r="C842"/>
          <cell r="D842"/>
          <cell r="E842"/>
          <cell r="F842"/>
          <cell r="G842"/>
          <cell r="H842"/>
          <cell r="I842"/>
          <cell r="J842"/>
          <cell r="K842"/>
          <cell r="L842"/>
          <cell r="M842"/>
        </row>
        <row r="843">
          <cell r="A843">
            <v>20230840</v>
          </cell>
          <cell r="B843"/>
          <cell r="C843"/>
          <cell r="D843"/>
          <cell r="E843"/>
          <cell r="F843"/>
          <cell r="G843"/>
          <cell r="H843"/>
          <cell r="I843"/>
          <cell r="J843"/>
          <cell r="K843"/>
          <cell r="L843"/>
          <cell r="M843"/>
        </row>
        <row r="844">
          <cell r="A844">
            <v>20230841</v>
          </cell>
          <cell r="B844"/>
          <cell r="C844"/>
          <cell r="D844"/>
          <cell r="E844"/>
          <cell r="F844"/>
          <cell r="G844"/>
          <cell r="H844"/>
          <cell r="I844"/>
          <cell r="J844"/>
          <cell r="K844"/>
          <cell r="L844"/>
          <cell r="M844"/>
        </row>
        <row r="845">
          <cell r="A845">
            <v>20230842</v>
          </cell>
          <cell r="B845"/>
          <cell r="C845"/>
          <cell r="D845"/>
          <cell r="E845"/>
          <cell r="F845"/>
          <cell r="G845"/>
          <cell r="H845"/>
          <cell r="I845"/>
          <cell r="J845"/>
          <cell r="K845"/>
          <cell r="L845"/>
          <cell r="M845"/>
        </row>
        <row r="846">
          <cell r="A846">
            <v>20230843</v>
          </cell>
          <cell r="B846"/>
          <cell r="C846"/>
          <cell r="D846"/>
          <cell r="E846"/>
          <cell r="F846"/>
          <cell r="G846"/>
          <cell r="H846"/>
          <cell r="I846"/>
          <cell r="J846"/>
          <cell r="K846"/>
          <cell r="L846"/>
          <cell r="M846"/>
        </row>
        <row r="847">
          <cell r="A847">
            <v>20230844</v>
          </cell>
          <cell r="B847"/>
          <cell r="C847"/>
          <cell r="D847"/>
          <cell r="E847"/>
          <cell r="F847"/>
          <cell r="G847"/>
          <cell r="H847"/>
          <cell r="I847"/>
          <cell r="J847"/>
          <cell r="K847"/>
          <cell r="L847"/>
          <cell r="M847"/>
        </row>
        <row r="848">
          <cell r="A848">
            <v>20230845</v>
          </cell>
          <cell r="B848"/>
          <cell r="C848"/>
          <cell r="D848"/>
          <cell r="E848"/>
          <cell r="F848"/>
          <cell r="G848"/>
          <cell r="H848"/>
          <cell r="I848"/>
          <cell r="J848"/>
          <cell r="K848"/>
          <cell r="L848"/>
          <cell r="M848"/>
        </row>
        <row r="849">
          <cell r="A849">
            <v>20230846</v>
          </cell>
          <cell r="B849"/>
          <cell r="C849"/>
          <cell r="D849"/>
          <cell r="E849"/>
          <cell r="F849"/>
          <cell r="G849"/>
          <cell r="H849"/>
          <cell r="I849"/>
          <cell r="J849"/>
          <cell r="K849"/>
          <cell r="L849"/>
          <cell r="M849"/>
        </row>
        <row r="850">
          <cell r="A850">
            <v>20230847</v>
          </cell>
          <cell r="B850"/>
          <cell r="C850"/>
          <cell r="D850"/>
          <cell r="E850"/>
          <cell r="F850"/>
          <cell r="G850"/>
          <cell r="H850"/>
          <cell r="I850"/>
          <cell r="J850"/>
          <cell r="K850"/>
          <cell r="L850"/>
          <cell r="M850"/>
        </row>
        <row r="851">
          <cell r="A851">
            <v>20230848</v>
          </cell>
          <cell r="B851"/>
          <cell r="C851"/>
          <cell r="D851"/>
          <cell r="E851"/>
          <cell r="F851"/>
          <cell r="G851"/>
          <cell r="H851"/>
          <cell r="I851"/>
          <cell r="J851"/>
          <cell r="K851"/>
          <cell r="L851"/>
          <cell r="M851"/>
        </row>
        <row r="852">
          <cell r="A852">
            <v>20230849</v>
          </cell>
          <cell r="B852"/>
          <cell r="C852"/>
          <cell r="D852"/>
          <cell r="E852"/>
          <cell r="F852"/>
          <cell r="G852"/>
          <cell r="H852"/>
          <cell r="I852"/>
          <cell r="J852"/>
          <cell r="K852"/>
          <cell r="L852"/>
          <cell r="M852"/>
        </row>
        <row r="853">
          <cell r="A853">
            <v>20230850</v>
          </cell>
          <cell r="B853"/>
          <cell r="C853"/>
          <cell r="D853"/>
          <cell r="E853"/>
          <cell r="F853"/>
          <cell r="G853"/>
          <cell r="H853"/>
          <cell r="I853"/>
          <cell r="J853"/>
          <cell r="K853"/>
          <cell r="L853"/>
          <cell r="M853"/>
        </row>
        <row r="854">
          <cell r="A854">
            <v>20230851</v>
          </cell>
          <cell r="B854"/>
          <cell r="C854"/>
          <cell r="D854"/>
          <cell r="E854"/>
          <cell r="F854"/>
          <cell r="G854"/>
          <cell r="H854"/>
          <cell r="I854"/>
          <cell r="J854"/>
          <cell r="K854"/>
          <cell r="L854"/>
          <cell r="M854"/>
        </row>
        <row r="855">
          <cell r="A855">
            <v>20230852</v>
          </cell>
          <cell r="B855"/>
          <cell r="C855"/>
          <cell r="D855"/>
          <cell r="E855"/>
          <cell r="F855"/>
          <cell r="G855"/>
          <cell r="H855"/>
          <cell r="I855"/>
          <cell r="J855"/>
          <cell r="K855"/>
          <cell r="L855"/>
          <cell r="M855"/>
        </row>
        <row r="856">
          <cell r="A856">
            <v>20230853</v>
          </cell>
          <cell r="B856"/>
          <cell r="C856"/>
          <cell r="D856"/>
          <cell r="E856"/>
          <cell r="F856"/>
          <cell r="G856"/>
          <cell r="H856"/>
          <cell r="I856"/>
          <cell r="J856"/>
          <cell r="K856"/>
          <cell r="L856"/>
          <cell r="M856"/>
        </row>
        <row r="857">
          <cell r="A857">
            <v>20230854</v>
          </cell>
          <cell r="B857"/>
          <cell r="C857"/>
          <cell r="D857"/>
          <cell r="E857"/>
          <cell r="F857"/>
          <cell r="G857"/>
          <cell r="H857"/>
          <cell r="I857"/>
          <cell r="J857"/>
          <cell r="K857"/>
          <cell r="L857"/>
          <cell r="M857"/>
        </row>
        <row r="858">
          <cell r="A858">
            <v>20230855</v>
          </cell>
          <cell r="B858"/>
          <cell r="C858"/>
          <cell r="D858"/>
          <cell r="E858"/>
          <cell r="F858"/>
          <cell r="G858"/>
          <cell r="H858"/>
          <cell r="I858"/>
          <cell r="J858"/>
          <cell r="K858"/>
          <cell r="L858"/>
          <cell r="M858"/>
        </row>
        <row r="859">
          <cell r="A859">
            <v>20230856</v>
          </cell>
          <cell r="B859"/>
          <cell r="C859"/>
          <cell r="D859"/>
          <cell r="E859"/>
          <cell r="F859"/>
          <cell r="G859"/>
          <cell r="H859"/>
          <cell r="I859"/>
          <cell r="J859"/>
          <cell r="K859"/>
          <cell r="L859"/>
          <cell r="M859"/>
        </row>
        <row r="860">
          <cell r="A860">
            <v>20230857</v>
          </cell>
          <cell r="B860"/>
          <cell r="C860"/>
          <cell r="D860"/>
          <cell r="E860"/>
          <cell r="F860"/>
          <cell r="G860"/>
          <cell r="H860"/>
          <cell r="I860"/>
          <cell r="J860"/>
          <cell r="K860"/>
          <cell r="L860"/>
          <cell r="M860"/>
        </row>
        <row r="861">
          <cell r="A861">
            <v>20230858</v>
          </cell>
          <cell r="B861"/>
          <cell r="C861"/>
          <cell r="D861"/>
          <cell r="E861"/>
          <cell r="F861"/>
          <cell r="G861"/>
          <cell r="H861"/>
          <cell r="I861"/>
          <cell r="J861"/>
          <cell r="K861"/>
          <cell r="L861"/>
          <cell r="M861"/>
        </row>
        <row r="862">
          <cell r="A862">
            <v>20230859</v>
          </cell>
          <cell r="B862"/>
          <cell r="C862"/>
          <cell r="D862"/>
          <cell r="E862"/>
          <cell r="F862"/>
          <cell r="G862"/>
          <cell r="H862"/>
          <cell r="I862"/>
          <cell r="J862"/>
          <cell r="K862"/>
          <cell r="L862"/>
          <cell r="M862"/>
        </row>
        <row r="863">
          <cell r="A863">
            <v>20230860</v>
          </cell>
          <cell r="B863"/>
          <cell r="C863"/>
          <cell r="D863"/>
          <cell r="E863"/>
          <cell r="F863"/>
          <cell r="G863"/>
          <cell r="H863"/>
          <cell r="I863"/>
          <cell r="J863"/>
          <cell r="K863"/>
          <cell r="L863"/>
          <cell r="M863"/>
        </row>
        <row r="864">
          <cell r="A864">
            <v>20230861</v>
          </cell>
          <cell r="B864"/>
          <cell r="C864"/>
          <cell r="D864"/>
          <cell r="E864"/>
          <cell r="F864"/>
          <cell r="G864"/>
          <cell r="H864"/>
          <cell r="I864"/>
          <cell r="J864"/>
          <cell r="K864"/>
          <cell r="L864"/>
          <cell r="M864"/>
        </row>
        <row r="865">
          <cell r="A865">
            <v>20230862</v>
          </cell>
          <cell r="B865"/>
          <cell r="C865"/>
          <cell r="D865"/>
          <cell r="E865"/>
          <cell r="F865"/>
          <cell r="G865"/>
          <cell r="H865"/>
          <cell r="I865"/>
          <cell r="J865"/>
          <cell r="K865"/>
          <cell r="L865"/>
          <cell r="M865"/>
        </row>
        <row r="866">
          <cell r="A866">
            <v>20230863</v>
          </cell>
          <cell r="B866"/>
          <cell r="C866"/>
          <cell r="D866"/>
          <cell r="E866"/>
          <cell r="F866"/>
          <cell r="G866"/>
          <cell r="H866"/>
          <cell r="I866"/>
          <cell r="J866"/>
          <cell r="K866"/>
          <cell r="L866"/>
          <cell r="M866"/>
        </row>
        <row r="867">
          <cell r="A867">
            <v>20230864</v>
          </cell>
          <cell r="B867"/>
          <cell r="C867"/>
          <cell r="D867"/>
          <cell r="E867"/>
          <cell r="F867"/>
          <cell r="G867"/>
          <cell r="H867"/>
          <cell r="I867"/>
          <cell r="J867"/>
          <cell r="K867"/>
          <cell r="L867"/>
          <cell r="M867"/>
        </row>
        <row r="868">
          <cell r="A868">
            <v>20230865</v>
          </cell>
          <cell r="B868"/>
          <cell r="C868"/>
          <cell r="D868"/>
          <cell r="E868"/>
          <cell r="F868"/>
          <cell r="G868"/>
          <cell r="H868"/>
          <cell r="I868"/>
          <cell r="J868"/>
          <cell r="K868"/>
          <cell r="L868"/>
          <cell r="M868"/>
        </row>
        <row r="869">
          <cell r="A869">
            <v>20230866</v>
          </cell>
          <cell r="B869"/>
          <cell r="C869"/>
          <cell r="D869"/>
          <cell r="E869"/>
          <cell r="F869"/>
          <cell r="G869"/>
          <cell r="H869"/>
          <cell r="I869"/>
          <cell r="J869"/>
          <cell r="K869"/>
          <cell r="L869"/>
          <cell r="M869"/>
        </row>
        <row r="870">
          <cell r="A870">
            <v>20230867</v>
          </cell>
          <cell r="B870"/>
          <cell r="C870"/>
          <cell r="D870"/>
          <cell r="E870"/>
          <cell r="F870"/>
          <cell r="G870"/>
          <cell r="H870"/>
          <cell r="I870"/>
          <cell r="J870"/>
          <cell r="K870"/>
          <cell r="L870"/>
          <cell r="M870"/>
        </row>
        <row r="871">
          <cell r="A871">
            <v>20230868</v>
          </cell>
          <cell r="B871"/>
          <cell r="C871"/>
          <cell r="D871"/>
          <cell r="E871"/>
          <cell r="F871"/>
          <cell r="G871"/>
          <cell r="H871"/>
          <cell r="I871"/>
          <cell r="J871"/>
          <cell r="K871"/>
          <cell r="L871"/>
          <cell r="M871"/>
        </row>
        <row r="872">
          <cell r="A872">
            <v>20230869</v>
          </cell>
          <cell r="B872"/>
          <cell r="C872"/>
          <cell r="D872"/>
          <cell r="E872"/>
          <cell r="F872"/>
          <cell r="G872"/>
          <cell r="H872"/>
          <cell r="I872"/>
          <cell r="J872"/>
          <cell r="K872"/>
          <cell r="L872"/>
          <cell r="M872"/>
        </row>
        <row r="873">
          <cell r="A873">
            <v>20230870</v>
          </cell>
          <cell r="B873"/>
          <cell r="C873"/>
          <cell r="D873"/>
          <cell r="E873"/>
          <cell r="F873"/>
          <cell r="G873"/>
          <cell r="H873"/>
          <cell r="I873"/>
          <cell r="J873"/>
          <cell r="K873"/>
          <cell r="L873"/>
          <cell r="M873"/>
        </row>
        <row r="874">
          <cell r="A874">
            <v>20230871</v>
          </cell>
          <cell r="B874"/>
          <cell r="C874"/>
          <cell r="D874"/>
          <cell r="E874"/>
          <cell r="F874"/>
          <cell r="G874"/>
          <cell r="H874"/>
          <cell r="I874"/>
          <cell r="J874"/>
          <cell r="K874"/>
          <cell r="L874"/>
          <cell r="M874"/>
        </row>
        <row r="875">
          <cell r="A875">
            <v>20230872</v>
          </cell>
          <cell r="B875"/>
          <cell r="C875"/>
          <cell r="D875"/>
          <cell r="E875"/>
          <cell r="F875"/>
          <cell r="G875"/>
          <cell r="H875"/>
          <cell r="I875"/>
          <cell r="J875"/>
          <cell r="K875"/>
          <cell r="L875"/>
          <cell r="M875"/>
        </row>
        <row r="876">
          <cell r="A876">
            <v>20230873</v>
          </cell>
          <cell r="B876"/>
          <cell r="C876"/>
          <cell r="D876"/>
          <cell r="E876"/>
          <cell r="F876"/>
          <cell r="G876"/>
          <cell r="H876"/>
          <cell r="I876"/>
          <cell r="J876"/>
          <cell r="K876"/>
          <cell r="L876"/>
          <cell r="M876"/>
        </row>
        <row r="877">
          <cell r="A877">
            <v>20230874</v>
          </cell>
          <cell r="B877"/>
          <cell r="C877"/>
          <cell r="D877"/>
          <cell r="E877"/>
          <cell r="F877"/>
          <cell r="G877"/>
          <cell r="H877"/>
          <cell r="I877"/>
          <cell r="J877"/>
          <cell r="K877"/>
          <cell r="L877"/>
          <cell r="M877"/>
        </row>
        <row r="878">
          <cell r="A878">
            <v>20230875</v>
          </cell>
          <cell r="B878"/>
          <cell r="C878"/>
          <cell r="D878"/>
          <cell r="E878"/>
          <cell r="F878"/>
          <cell r="G878"/>
          <cell r="H878"/>
          <cell r="I878"/>
          <cell r="J878"/>
          <cell r="K878"/>
          <cell r="L878"/>
          <cell r="M878"/>
        </row>
        <row r="879">
          <cell r="A879">
            <v>20230876</v>
          </cell>
          <cell r="B879"/>
          <cell r="C879"/>
          <cell r="D879"/>
          <cell r="E879"/>
          <cell r="F879"/>
          <cell r="G879"/>
          <cell r="H879"/>
          <cell r="I879"/>
          <cell r="J879"/>
          <cell r="K879"/>
          <cell r="L879"/>
          <cell r="M879"/>
        </row>
        <row r="880">
          <cell r="A880">
            <v>20230877</v>
          </cell>
          <cell r="B880"/>
          <cell r="C880"/>
          <cell r="D880"/>
          <cell r="E880"/>
          <cell r="F880"/>
          <cell r="G880"/>
          <cell r="H880"/>
          <cell r="I880"/>
          <cell r="J880"/>
          <cell r="K880"/>
          <cell r="L880"/>
          <cell r="M880"/>
        </row>
        <row r="881">
          <cell r="A881">
            <v>20230878</v>
          </cell>
          <cell r="B881"/>
          <cell r="C881"/>
          <cell r="D881"/>
          <cell r="E881"/>
          <cell r="F881"/>
          <cell r="G881"/>
          <cell r="H881"/>
          <cell r="I881"/>
          <cell r="J881"/>
          <cell r="K881"/>
          <cell r="L881"/>
          <cell r="M881"/>
        </row>
        <row r="882">
          <cell r="A882">
            <v>20230879</v>
          </cell>
          <cell r="B882"/>
          <cell r="C882"/>
          <cell r="D882"/>
          <cell r="E882"/>
          <cell r="F882"/>
          <cell r="G882"/>
          <cell r="H882"/>
          <cell r="I882"/>
          <cell r="J882"/>
          <cell r="K882"/>
          <cell r="L882"/>
          <cell r="M882"/>
        </row>
        <row r="883">
          <cell r="A883">
            <v>20230880</v>
          </cell>
          <cell r="B883"/>
          <cell r="C883"/>
          <cell r="D883"/>
          <cell r="E883"/>
          <cell r="F883"/>
          <cell r="G883"/>
          <cell r="H883"/>
          <cell r="I883"/>
          <cell r="J883"/>
          <cell r="K883"/>
          <cell r="L883"/>
          <cell r="M883"/>
        </row>
        <row r="884">
          <cell r="A884">
            <v>20230881</v>
          </cell>
          <cell r="B884"/>
          <cell r="C884"/>
          <cell r="D884"/>
          <cell r="E884"/>
          <cell r="F884"/>
          <cell r="G884"/>
          <cell r="H884"/>
          <cell r="I884"/>
          <cell r="J884"/>
          <cell r="K884"/>
          <cell r="L884"/>
          <cell r="M884"/>
        </row>
        <row r="885">
          <cell r="A885">
            <v>20230882</v>
          </cell>
          <cell r="B885"/>
          <cell r="C885"/>
          <cell r="D885"/>
          <cell r="E885"/>
          <cell r="F885"/>
          <cell r="G885"/>
          <cell r="H885"/>
          <cell r="I885"/>
          <cell r="J885"/>
          <cell r="K885"/>
          <cell r="L885"/>
          <cell r="M885"/>
        </row>
        <row r="886">
          <cell r="A886">
            <v>20230883</v>
          </cell>
          <cell r="B886"/>
          <cell r="C886"/>
          <cell r="D886"/>
          <cell r="E886"/>
          <cell r="F886"/>
          <cell r="G886"/>
          <cell r="H886"/>
          <cell r="I886"/>
          <cell r="J886"/>
          <cell r="K886"/>
          <cell r="L886"/>
          <cell r="M886"/>
        </row>
        <row r="887">
          <cell r="A887">
            <v>20230884</v>
          </cell>
          <cell r="B887"/>
          <cell r="C887"/>
          <cell r="D887"/>
          <cell r="E887"/>
          <cell r="F887"/>
          <cell r="G887"/>
          <cell r="H887"/>
          <cell r="I887"/>
          <cell r="J887"/>
          <cell r="K887"/>
          <cell r="L887"/>
          <cell r="M887"/>
        </row>
        <row r="888">
          <cell r="A888">
            <v>20230885</v>
          </cell>
          <cell r="B888"/>
          <cell r="C888"/>
          <cell r="D888"/>
          <cell r="E888"/>
          <cell r="F888"/>
          <cell r="G888"/>
          <cell r="H888"/>
          <cell r="I888"/>
          <cell r="J888"/>
          <cell r="K888"/>
          <cell r="L888"/>
          <cell r="M888"/>
        </row>
        <row r="889">
          <cell r="A889">
            <v>20230886</v>
          </cell>
          <cell r="B889"/>
          <cell r="C889"/>
          <cell r="D889"/>
          <cell r="E889"/>
          <cell r="F889"/>
          <cell r="G889"/>
          <cell r="H889"/>
          <cell r="I889"/>
          <cell r="J889"/>
          <cell r="K889"/>
          <cell r="L889"/>
          <cell r="M889"/>
        </row>
        <row r="890">
          <cell r="A890">
            <v>20230887</v>
          </cell>
          <cell r="B890"/>
          <cell r="C890"/>
          <cell r="D890"/>
          <cell r="E890"/>
          <cell r="F890"/>
          <cell r="G890"/>
          <cell r="H890"/>
          <cell r="I890"/>
          <cell r="J890"/>
          <cell r="K890"/>
          <cell r="L890"/>
          <cell r="M890"/>
        </row>
        <row r="891">
          <cell r="A891">
            <v>20230888</v>
          </cell>
          <cell r="B891"/>
          <cell r="C891"/>
          <cell r="D891"/>
          <cell r="E891"/>
          <cell r="F891"/>
          <cell r="G891"/>
          <cell r="H891"/>
          <cell r="I891"/>
          <cell r="J891"/>
          <cell r="K891"/>
          <cell r="L891"/>
          <cell r="M891"/>
        </row>
        <row r="892">
          <cell r="A892">
            <v>20230889</v>
          </cell>
          <cell r="B892"/>
          <cell r="C892"/>
          <cell r="D892"/>
          <cell r="E892"/>
          <cell r="F892"/>
          <cell r="G892"/>
          <cell r="H892"/>
          <cell r="I892"/>
          <cell r="J892"/>
          <cell r="K892"/>
          <cell r="L892"/>
          <cell r="M892"/>
        </row>
        <row r="893">
          <cell r="A893">
            <v>20230890</v>
          </cell>
          <cell r="B893"/>
          <cell r="C893"/>
          <cell r="D893"/>
          <cell r="E893"/>
          <cell r="F893"/>
          <cell r="G893"/>
          <cell r="H893"/>
          <cell r="I893"/>
          <cell r="J893"/>
          <cell r="K893"/>
          <cell r="L893"/>
          <cell r="M893"/>
        </row>
        <row r="894">
          <cell r="A894">
            <v>20230891</v>
          </cell>
          <cell r="B894"/>
          <cell r="C894"/>
          <cell r="D894"/>
          <cell r="E894"/>
          <cell r="F894"/>
          <cell r="G894"/>
          <cell r="H894"/>
          <cell r="I894"/>
          <cell r="J894"/>
          <cell r="K894"/>
          <cell r="L894"/>
          <cell r="M894"/>
        </row>
        <row r="895">
          <cell r="A895">
            <v>20230892</v>
          </cell>
          <cell r="B895"/>
          <cell r="C895"/>
          <cell r="D895"/>
          <cell r="E895"/>
          <cell r="F895"/>
          <cell r="G895"/>
          <cell r="H895"/>
          <cell r="I895"/>
          <cell r="J895"/>
          <cell r="K895"/>
          <cell r="L895"/>
          <cell r="M895"/>
        </row>
        <row r="896">
          <cell r="A896">
            <v>20230893</v>
          </cell>
          <cell r="B896"/>
          <cell r="C896"/>
          <cell r="D896"/>
          <cell r="E896"/>
          <cell r="F896"/>
          <cell r="G896"/>
          <cell r="H896"/>
          <cell r="I896"/>
          <cell r="J896"/>
          <cell r="K896"/>
          <cell r="L896"/>
          <cell r="M896"/>
        </row>
        <row r="897">
          <cell r="A897">
            <v>20230894</v>
          </cell>
          <cell r="B897"/>
          <cell r="C897"/>
          <cell r="D897"/>
          <cell r="E897"/>
          <cell r="F897"/>
          <cell r="G897"/>
          <cell r="H897"/>
          <cell r="I897"/>
          <cell r="J897"/>
          <cell r="K897"/>
          <cell r="L897"/>
          <cell r="M897"/>
        </row>
        <row r="898">
          <cell r="A898">
            <v>20230895</v>
          </cell>
          <cell r="B898"/>
          <cell r="C898"/>
          <cell r="D898"/>
          <cell r="E898"/>
          <cell r="F898"/>
          <cell r="G898"/>
          <cell r="H898"/>
          <cell r="I898"/>
          <cell r="J898"/>
          <cell r="K898"/>
          <cell r="L898"/>
          <cell r="M898"/>
        </row>
        <row r="899">
          <cell r="A899">
            <v>20230896</v>
          </cell>
          <cell r="B899"/>
          <cell r="C899"/>
          <cell r="D899"/>
          <cell r="E899"/>
          <cell r="F899"/>
          <cell r="G899"/>
          <cell r="H899"/>
          <cell r="I899"/>
          <cell r="J899"/>
          <cell r="K899"/>
          <cell r="L899"/>
          <cell r="M899"/>
        </row>
        <row r="900">
          <cell r="A900">
            <v>20230897</v>
          </cell>
          <cell r="B900"/>
          <cell r="C900"/>
          <cell r="D900"/>
          <cell r="E900"/>
          <cell r="F900"/>
          <cell r="G900"/>
          <cell r="H900"/>
          <cell r="I900"/>
          <cell r="J900"/>
          <cell r="K900"/>
          <cell r="L900"/>
          <cell r="M900"/>
        </row>
        <row r="901">
          <cell r="A901">
            <v>20230898</v>
          </cell>
          <cell r="B901"/>
          <cell r="C901"/>
          <cell r="D901"/>
          <cell r="E901"/>
          <cell r="F901"/>
          <cell r="G901"/>
          <cell r="H901"/>
          <cell r="I901"/>
          <cell r="J901"/>
          <cell r="K901"/>
          <cell r="L901"/>
          <cell r="M901"/>
        </row>
        <row r="902">
          <cell r="A902">
            <v>20230899</v>
          </cell>
          <cell r="B902"/>
          <cell r="C902"/>
          <cell r="D902"/>
          <cell r="E902"/>
          <cell r="F902"/>
          <cell r="G902"/>
          <cell r="H902"/>
          <cell r="I902"/>
          <cell r="J902"/>
          <cell r="K902"/>
          <cell r="L902"/>
          <cell r="M902"/>
        </row>
        <row r="903">
          <cell r="A903">
            <v>20230900</v>
          </cell>
          <cell r="B903"/>
          <cell r="C903"/>
          <cell r="D903"/>
          <cell r="E903"/>
          <cell r="F903"/>
          <cell r="G903"/>
          <cell r="H903"/>
          <cell r="I903"/>
          <cell r="J903"/>
          <cell r="K903"/>
          <cell r="L903"/>
          <cell r="M903"/>
        </row>
        <row r="904">
          <cell r="A904">
            <v>20230901</v>
          </cell>
          <cell r="B904"/>
          <cell r="C904"/>
          <cell r="D904"/>
          <cell r="E904"/>
          <cell r="F904"/>
          <cell r="G904"/>
          <cell r="H904"/>
          <cell r="I904"/>
          <cell r="J904"/>
          <cell r="K904"/>
          <cell r="L904"/>
          <cell r="M904"/>
        </row>
        <row r="905">
          <cell r="A905">
            <v>20230902</v>
          </cell>
          <cell r="B905"/>
          <cell r="C905"/>
          <cell r="D905"/>
          <cell r="E905"/>
          <cell r="F905"/>
          <cell r="G905"/>
          <cell r="H905"/>
          <cell r="I905"/>
          <cell r="J905"/>
          <cell r="K905"/>
          <cell r="L905"/>
          <cell r="M905"/>
        </row>
        <row r="906">
          <cell r="A906">
            <v>20230903</v>
          </cell>
          <cell r="B906"/>
          <cell r="C906"/>
          <cell r="D906"/>
          <cell r="E906"/>
          <cell r="F906"/>
          <cell r="G906"/>
          <cell r="H906"/>
          <cell r="I906"/>
          <cell r="J906"/>
          <cell r="K906"/>
          <cell r="L906"/>
          <cell r="M906"/>
        </row>
        <row r="907">
          <cell r="A907">
            <v>20230904</v>
          </cell>
          <cell r="B907"/>
          <cell r="C907"/>
          <cell r="D907"/>
          <cell r="E907"/>
          <cell r="F907"/>
          <cell r="G907"/>
          <cell r="H907"/>
          <cell r="I907"/>
          <cell r="J907"/>
          <cell r="K907"/>
          <cell r="L907"/>
          <cell r="M907"/>
        </row>
        <row r="908">
          <cell r="A908">
            <v>20230905</v>
          </cell>
          <cell r="B908"/>
          <cell r="C908"/>
          <cell r="D908"/>
          <cell r="E908"/>
          <cell r="F908"/>
          <cell r="G908"/>
          <cell r="H908"/>
          <cell r="I908"/>
          <cell r="J908"/>
          <cell r="K908"/>
          <cell r="L908"/>
          <cell r="M908"/>
        </row>
        <row r="909">
          <cell r="A909">
            <v>20230906</v>
          </cell>
          <cell r="B909"/>
          <cell r="C909"/>
          <cell r="D909"/>
          <cell r="E909"/>
          <cell r="F909"/>
          <cell r="G909"/>
          <cell r="H909"/>
          <cell r="I909"/>
          <cell r="J909"/>
          <cell r="K909"/>
          <cell r="L909"/>
          <cell r="M909"/>
        </row>
        <row r="910">
          <cell r="A910">
            <v>20230907</v>
          </cell>
          <cell r="B910"/>
          <cell r="C910"/>
          <cell r="D910"/>
          <cell r="E910"/>
          <cell r="F910"/>
          <cell r="G910"/>
          <cell r="H910"/>
          <cell r="I910"/>
          <cell r="J910"/>
          <cell r="K910"/>
          <cell r="L910"/>
          <cell r="M910"/>
        </row>
        <row r="911">
          <cell r="A911">
            <v>20230908</v>
          </cell>
          <cell r="B911"/>
          <cell r="C911"/>
          <cell r="D911"/>
          <cell r="E911"/>
          <cell r="F911"/>
          <cell r="G911"/>
          <cell r="H911"/>
          <cell r="I911"/>
          <cell r="J911"/>
          <cell r="K911"/>
          <cell r="L911"/>
          <cell r="M911"/>
        </row>
        <row r="912">
          <cell r="A912">
            <v>20230909</v>
          </cell>
          <cell r="B912"/>
          <cell r="C912"/>
          <cell r="D912"/>
          <cell r="E912"/>
          <cell r="F912"/>
          <cell r="G912"/>
          <cell r="H912"/>
          <cell r="I912"/>
          <cell r="J912"/>
          <cell r="K912"/>
          <cell r="L912"/>
          <cell r="M912"/>
        </row>
        <row r="913">
          <cell r="A913">
            <v>20230910</v>
          </cell>
          <cell r="B913"/>
          <cell r="C913"/>
          <cell r="D913"/>
          <cell r="E913"/>
          <cell r="F913"/>
          <cell r="G913"/>
          <cell r="H913"/>
          <cell r="I913"/>
          <cell r="J913"/>
          <cell r="K913"/>
          <cell r="L913"/>
          <cell r="M913"/>
        </row>
        <row r="914">
          <cell r="A914">
            <v>20230911</v>
          </cell>
          <cell r="B914"/>
          <cell r="C914"/>
          <cell r="D914"/>
          <cell r="E914"/>
          <cell r="F914"/>
          <cell r="G914"/>
          <cell r="H914"/>
          <cell r="I914"/>
          <cell r="J914"/>
          <cell r="K914"/>
          <cell r="L914"/>
          <cell r="M914"/>
        </row>
        <row r="915">
          <cell r="A915">
            <v>20230912</v>
          </cell>
          <cell r="B915"/>
          <cell r="C915"/>
          <cell r="D915"/>
          <cell r="E915"/>
          <cell r="F915"/>
          <cell r="G915"/>
          <cell r="H915"/>
          <cell r="I915"/>
          <cell r="J915"/>
          <cell r="K915"/>
          <cell r="L915"/>
          <cell r="M915"/>
        </row>
        <row r="916">
          <cell r="A916">
            <v>20230913</v>
          </cell>
          <cell r="B916"/>
          <cell r="C916"/>
          <cell r="D916"/>
          <cell r="E916"/>
          <cell r="F916"/>
          <cell r="G916"/>
          <cell r="H916"/>
          <cell r="I916"/>
          <cell r="J916"/>
          <cell r="K916"/>
          <cell r="L916"/>
          <cell r="M916"/>
        </row>
        <row r="917">
          <cell r="A917">
            <v>20230914</v>
          </cell>
          <cell r="B917"/>
          <cell r="C917"/>
          <cell r="D917"/>
          <cell r="E917"/>
          <cell r="F917"/>
          <cell r="G917"/>
          <cell r="H917"/>
          <cell r="I917"/>
          <cell r="J917"/>
          <cell r="K917"/>
          <cell r="L917"/>
          <cell r="M917"/>
        </row>
        <row r="918">
          <cell r="A918">
            <v>20230915</v>
          </cell>
          <cell r="B918"/>
          <cell r="C918"/>
          <cell r="D918"/>
          <cell r="E918"/>
          <cell r="F918"/>
          <cell r="G918"/>
          <cell r="H918"/>
          <cell r="I918"/>
          <cell r="J918"/>
          <cell r="K918"/>
          <cell r="L918"/>
          <cell r="M918"/>
        </row>
        <row r="919">
          <cell r="A919">
            <v>20230916</v>
          </cell>
          <cell r="B919"/>
          <cell r="C919"/>
          <cell r="D919"/>
          <cell r="E919"/>
          <cell r="F919"/>
          <cell r="G919"/>
          <cell r="H919"/>
          <cell r="I919"/>
          <cell r="J919"/>
          <cell r="K919"/>
          <cell r="L919"/>
          <cell r="M919"/>
        </row>
        <row r="920">
          <cell r="A920">
            <v>20230917</v>
          </cell>
          <cell r="B920"/>
          <cell r="C920"/>
          <cell r="D920"/>
          <cell r="E920"/>
          <cell r="F920"/>
          <cell r="G920"/>
          <cell r="H920"/>
          <cell r="I920"/>
          <cell r="J920"/>
          <cell r="K920"/>
          <cell r="L920"/>
          <cell r="M920"/>
        </row>
        <row r="921">
          <cell r="A921">
            <v>20230918</v>
          </cell>
          <cell r="B921"/>
          <cell r="C921"/>
          <cell r="D921"/>
          <cell r="E921"/>
          <cell r="F921"/>
          <cell r="G921"/>
          <cell r="H921"/>
          <cell r="I921"/>
          <cell r="J921"/>
          <cell r="K921"/>
          <cell r="L921"/>
          <cell r="M921"/>
        </row>
        <row r="922">
          <cell r="A922">
            <v>20230919</v>
          </cell>
          <cell r="B922"/>
          <cell r="C922"/>
          <cell r="D922"/>
          <cell r="E922"/>
          <cell r="F922"/>
          <cell r="G922"/>
          <cell r="H922"/>
          <cell r="I922"/>
          <cell r="J922"/>
          <cell r="K922"/>
          <cell r="L922"/>
          <cell r="M922"/>
        </row>
        <row r="923">
          <cell r="A923">
            <v>20230920</v>
          </cell>
          <cell r="B923"/>
          <cell r="C923"/>
          <cell r="D923"/>
          <cell r="E923"/>
          <cell r="F923"/>
          <cell r="G923"/>
          <cell r="H923"/>
          <cell r="I923"/>
          <cell r="J923"/>
          <cell r="K923"/>
          <cell r="L923"/>
          <cell r="M923"/>
        </row>
        <row r="924">
          <cell r="A924">
            <v>20230921</v>
          </cell>
          <cell r="B924"/>
          <cell r="C924"/>
          <cell r="D924"/>
          <cell r="E924"/>
          <cell r="F924"/>
          <cell r="G924"/>
          <cell r="H924"/>
          <cell r="I924"/>
          <cell r="J924"/>
          <cell r="K924"/>
          <cell r="L924"/>
          <cell r="M924"/>
        </row>
        <row r="925">
          <cell r="A925">
            <v>20230922</v>
          </cell>
          <cell r="B925"/>
          <cell r="C925"/>
          <cell r="D925"/>
          <cell r="E925"/>
          <cell r="F925"/>
          <cell r="G925"/>
          <cell r="H925"/>
          <cell r="I925"/>
          <cell r="J925"/>
          <cell r="K925"/>
          <cell r="L925"/>
          <cell r="M925"/>
        </row>
        <row r="926">
          <cell r="A926">
            <v>20230923</v>
          </cell>
          <cell r="B926"/>
          <cell r="C926"/>
          <cell r="D926"/>
          <cell r="E926"/>
          <cell r="F926"/>
          <cell r="G926"/>
          <cell r="H926"/>
          <cell r="I926"/>
          <cell r="J926"/>
          <cell r="K926"/>
          <cell r="L926"/>
          <cell r="M926"/>
        </row>
        <row r="927">
          <cell r="A927">
            <v>20230924</v>
          </cell>
          <cell r="B927"/>
          <cell r="C927"/>
          <cell r="D927"/>
          <cell r="E927"/>
          <cell r="F927"/>
          <cell r="G927"/>
          <cell r="H927"/>
          <cell r="I927"/>
          <cell r="J927"/>
          <cell r="K927"/>
          <cell r="L927"/>
          <cell r="M927"/>
        </row>
        <row r="928">
          <cell r="A928">
            <v>20230925</v>
          </cell>
          <cell r="B928"/>
          <cell r="C928"/>
          <cell r="D928"/>
          <cell r="E928"/>
          <cell r="F928"/>
          <cell r="G928"/>
          <cell r="H928"/>
          <cell r="I928"/>
          <cell r="J928"/>
          <cell r="K928"/>
          <cell r="L928"/>
          <cell r="M928"/>
        </row>
        <row r="929">
          <cell r="A929">
            <v>20230926</v>
          </cell>
          <cell r="B929"/>
          <cell r="C929"/>
          <cell r="D929"/>
          <cell r="E929"/>
          <cell r="F929"/>
          <cell r="G929"/>
          <cell r="H929"/>
          <cell r="I929"/>
          <cell r="J929"/>
          <cell r="K929"/>
          <cell r="L929"/>
          <cell r="M929"/>
        </row>
        <row r="930">
          <cell r="A930">
            <v>20230927</v>
          </cell>
          <cell r="B930"/>
          <cell r="C930"/>
          <cell r="D930"/>
          <cell r="E930"/>
          <cell r="F930"/>
          <cell r="G930"/>
          <cell r="H930"/>
          <cell r="I930"/>
          <cell r="J930"/>
          <cell r="K930"/>
          <cell r="L930"/>
          <cell r="M930"/>
        </row>
        <row r="931">
          <cell r="A931">
            <v>20230928</v>
          </cell>
          <cell r="B931"/>
          <cell r="C931"/>
          <cell r="D931"/>
          <cell r="E931"/>
          <cell r="F931"/>
          <cell r="G931"/>
          <cell r="H931"/>
          <cell r="I931"/>
          <cell r="J931"/>
          <cell r="K931"/>
          <cell r="L931"/>
          <cell r="M931"/>
        </row>
        <row r="932">
          <cell r="A932">
            <v>20230929</v>
          </cell>
          <cell r="B932"/>
          <cell r="C932"/>
          <cell r="D932"/>
          <cell r="E932"/>
          <cell r="F932"/>
          <cell r="G932"/>
          <cell r="H932"/>
          <cell r="I932"/>
          <cell r="J932"/>
          <cell r="K932"/>
          <cell r="L932"/>
          <cell r="M932"/>
        </row>
        <row r="933">
          <cell r="A933">
            <v>20230930</v>
          </cell>
          <cell r="B933"/>
          <cell r="C933"/>
          <cell r="D933"/>
          <cell r="E933"/>
          <cell r="F933"/>
          <cell r="G933"/>
          <cell r="H933"/>
          <cell r="I933"/>
          <cell r="J933"/>
          <cell r="K933"/>
          <cell r="L933"/>
          <cell r="M933"/>
        </row>
        <row r="934">
          <cell r="A934">
            <v>20230931</v>
          </cell>
          <cell r="B934"/>
          <cell r="C934"/>
          <cell r="D934"/>
          <cell r="E934"/>
          <cell r="F934"/>
          <cell r="G934"/>
          <cell r="H934"/>
          <cell r="I934"/>
          <cell r="J934"/>
          <cell r="K934"/>
          <cell r="L934"/>
          <cell r="M934"/>
        </row>
        <row r="935">
          <cell r="A935">
            <v>20230932</v>
          </cell>
          <cell r="B935"/>
          <cell r="C935"/>
          <cell r="D935"/>
          <cell r="E935"/>
          <cell r="F935"/>
          <cell r="G935"/>
          <cell r="H935"/>
          <cell r="I935"/>
          <cell r="J935"/>
          <cell r="K935"/>
          <cell r="L935"/>
          <cell r="M935"/>
        </row>
        <row r="936">
          <cell r="A936">
            <v>20230933</v>
          </cell>
          <cell r="B936"/>
          <cell r="C936"/>
          <cell r="D936"/>
          <cell r="E936"/>
          <cell r="F936"/>
          <cell r="G936"/>
          <cell r="H936"/>
          <cell r="I936"/>
          <cell r="J936"/>
          <cell r="K936"/>
          <cell r="L936"/>
          <cell r="M936"/>
        </row>
        <row r="937">
          <cell r="A937">
            <v>20230934</v>
          </cell>
          <cell r="B937"/>
          <cell r="C937"/>
          <cell r="D937"/>
          <cell r="E937"/>
          <cell r="F937"/>
          <cell r="G937"/>
          <cell r="H937"/>
          <cell r="I937"/>
          <cell r="J937"/>
          <cell r="K937"/>
          <cell r="L937"/>
          <cell r="M937"/>
        </row>
        <row r="938">
          <cell r="A938">
            <v>20230935</v>
          </cell>
          <cell r="B938"/>
          <cell r="C938"/>
          <cell r="D938"/>
          <cell r="E938"/>
          <cell r="F938"/>
          <cell r="G938"/>
          <cell r="H938"/>
          <cell r="I938"/>
          <cell r="J938"/>
          <cell r="K938"/>
          <cell r="L938"/>
          <cell r="M938"/>
        </row>
        <row r="939">
          <cell r="A939">
            <v>20230936</v>
          </cell>
          <cell r="B939"/>
          <cell r="C939"/>
          <cell r="D939"/>
          <cell r="E939"/>
          <cell r="F939"/>
          <cell r="G939"/>
          <cell r="H939"/>
          <cell r="I939"/>
          <cell r="J939"/>
          <cell r="K939"/>
          <cell r="L939"/>
          <cell r="M939"/>
        </row>
        <row r="940">
          <cell r="A940">
            <v>20230937</v>
          </cell>
          <cell r="B940"/>
          <cell r="C940"/>
          <cell r="D940"/>
          <cell r="E940"/>
          <cell r="F940"/>
          <cell r="G940"/>
          <cell r="H940"/>
          <cell r="I940"/>
          <cell r="J940"/>
          <cell r="K940"/>
          <cell r="L940"/>
          <cell r="M940"/>
        </row>
        <row r="941">
          <cell r="A941">
            <v>20230938</v>
          </cell>
          <cell r="B941"/>
          <cell r="C941"/>
          <cell r="D941"/>
          <cell r="E941"/>
          <cell r="F941"/>
          <cell r="G941"/>
          <cell r="H941"/>
          <cell r="I941"/>
          <cell r="J941"/>
          <cell r="K941"/>
          <cell r="L941"/>
          <cell r="M941"/>
        </row>
        <row r="942">
          <cell r="A942">
            <v>20230939</v>
          </cell>
          <cell r="B942"/>
          <cell r="C942"/>
          <cell r="D942"/>
          <cell r="E942"/>
          <cell r="F942"/>
          <cell r="G942"/>
          <cell r="H942"/>
          <cell r="I942"/>
          <cell r="J942"/>
          <cell r="K942"/>
          <cell r="L942"/>
          <cell r="M942"/>
        </row>
        <row r="943">
          <cell r="A943">
            <v>20230940</v>
          </cell>
          <cell r="B943"/>
          <cell r="C943"/>
          <cell r="D943"/>
          <cell r="E943"/>
          <cell r="F943"/>
          <cell r="G943"/>
          <cell r="H943"/>
          <cell r="I943"/>
          <cell r="J943"/>
          <cell r="K943"/>
          <cell r="L943"/>
          <cell r="M943"/>
        </row>
        <row r="944">
          <cell r="A944">
            <v>20230941</v>
          </cell>
          <cell r="B944"/>
          <cell r="C944"/>
          <cell r="D944"/>
          <cell r="E944"/>
          <cell r="F944"/>
          <cell r="G944"/>
          <cell r="H944"/>
          <cell r="I944"/>
          <cell r="J944"/>
          <cell r="K944"/>
          <cell r="L944"/>
          <cell r="M944"/>
        </row>
        <row r="945">
          <cell r="A945">
            <v>20230942</v>
          </cell>
          <cell r="B945"/>
          <cell r="C945"/>
          <cell r="D945"/>
          <cell r="E945"/>
          <cell r="F945"/>
          <cell r="G945"/>
          <cell r="H945"/>
          <cell r="I945"/>
          <cell r="J945"/>
          <cell r="K945"/>
          <cell r="L945"/>
          <cell r="M945"/>
        </row>
        <row r="946">
          <cell r="A946">
            <v>20230943</v>
          </cell>
          <cell r="B946"/>
          <cell r="C946"/>
          <cell r="D946"/>
          <cell r="E946"/>
          <cell r="F946"/>
          <cell r="G946"/>
          <cell r="H946"/>
          <cell r="I946"/>
          <cell r="J946"/>
          <cell r="K946"/>
          <cell r="L946"/>
          <cell r="M946"/>
        </row>
        <row r="947">
          <cell r="A947">
            <v>20230944</v>
          </cell>
          <cell r="B947"/>
          <cell r="C947"/>
          <cell r="D947"/>
          <cell r="E947"/>
          <cell r="F947"/>
          <cell r="G947"/>
          <cell r="H947"/>
          <cell r="I947"/>
          <cell r="J947"/>
          <cell r="K947"/>
          <cell r="L947"/>
          <cell r="M947"/>
        </row>
        <row r="948">
          <cell r="A948">
            <v>20230945</v>
          </cell>
          <cell r="B948"/>
          <cell r="C948"/>
          <cell r="D948"/>
          <cell r="E948"/>
          <cell r="F948"/>
          <cell r="G948"/>
          <cell r="H948"/>
          <cell r="I948"/>
          <cell r="J948"/>
          <cell r="K948"/>
          <cell r="L948"/>
          <cell r="M948"/>
        </row>
        <row r="949">
          <cell r="A949">
            <v>20230946</v>
          </cell>
          <cell r="B949"/>
          <cell r="C949"/>
          <cell r="D949"/>
          <cell r="E949"/>
          <cell r="F949"/>
          <cell r="G949"/>
          <cell r="H949"/>
          <cell r="I949"/>
          <cell r="J949"/>
          <cell r="K949"/>
          <cell r="L949"/>
          <cell r="M949"/>
        </row>
        <row r="950">
          <cell r="A950">
            <v>20230947</v>
          </cell>
          <cell r="B950"/>
          <cell r="C950"/>
          <cell r="D950"/>
          <cell r="E950"/>
          <cell r="F950"/>
          <cell r="G950"/>
          <cell r="H950"/>
          <cell r="I950"/>
          <cell r="J950"/>
          <cell r="K950"/>
          <cell r="L950"/>
          <cell r="M950"/>
        </row>
        <row r="951">
          <cell r="A951">
            <v>20230948</v>
          </cell>
          <cell r="B951"/>
          <cell r="C951"/>
          <cell r="D951"/>
          <cell r="E951"/>
          <cell r="F951"/>
          <cell r="G951"/>
          <cell r="H951"/>
          <cell r="I951"/>
          <cell r="J951"/>
          <cell r="K951"/>
          <cell r="L951"/>
          <cell r="M951"/>
        </row>
        <row r="952">
          <cell r="A952">
            <v>20230949</v>
          </cell>
          <cell r="B952"/>
          <cell r="C952"/>
          <cell r="D952"/>
          <cell r="E952"/>
          <cell r="F952"/>
          <cell r="G952"/>
          <cell r="H952"/>
          <cell r="I952"/>
          <cell r="J952"/>
          <cell r="K952"/>
          <cell r="L952"/>
          <cell r="M952"/>
        </row>
        <row r="953">
          <cell r="A953">
            <v>20230950</v>
          </cell>
          <cell r="B953"/>
          <cell r="C953"/>
          <cell r="D953"/>
          <cell r="E953"/>
          <cell r="F953"/>
          <cell r="G953"/>
          <cell r="H953"/>
          <cell r="I953"/>
          <cell r="J953"/>
          <cell r="K953"/>
          <cell r="L953"/>
          <cell r="M953"/>
        </row>
        <row r="954">
          <cell r="A954">
            <v>20230951</v>
          </cell>
          <cell r="B954"/>
          <cell r="C954"/>
          <cell r="D954"/>
          <cell r="E954"/>
          <cell r="F954"/>
          <cell r="G954"/>
          <cell r="H954"/>
          <cell r="I954"/>
          <cell r="J954"/>
          <cell r="K954"/>
          <cell r="L954"/>
          <cell r="M954"/>
        </row>
        <row r="955">
          <cell r="A955">
            <v>20230952</v>
          </cell>
          <cell r="B955"/>
          <cell r="C955"/>
          <cell r="D955"/>
          <cell r="E955"/>
          <cell r="F955"/>
          <cell r="G955"/>
          <cell r="H955"/>
          <cell r="I955"/>
          <cell r="J955"/>
          <cell r="K955"/>
          <cell r="L955"/>
          <cell r="M955"/>
        </row>
        <row r="956">
          <cell r="A956">
            <v>20230953</v>
          </cell>
          <cell r="B956"/>
          <cell r="C956"/>
          <cell r="D956"/>
          <cell r="E956"/>
          <cell r="F956"/>
          <cell r="G956"/>
          <cell r="H956"/>
          <cell r="I956"/>
          <cell r="J956"/>
          <cell r="K956"/>
          <cell r="L956"/>
          <cell r="M956"/>
        </row>
        <row r="957">
          <cell r="A957">
            <v>20230954</v>
          </cell>
          <cell r="B957"/>
          <cell r="C957"/>
          <cell r="D957"/>
          <cell r="E957"/>
          <cell r="F957"/>
          <cell r="G957"/>
          <cell r="H957"/>
          <cell r="I957"/>
          <cell r="J957"/>
          <cell r="K957"/>
          <cell r="L957"/>
          <cell r="M957"/>
        </row>
        <row r="958">
          <cell r="A958">
            <v>20230955</v>
          </cell>
          <cell r="B958"/>
          <cell r="C958"/>
          <cell r="D958"/>
          <cell r="E958"/>
          <cell r="F958"/>
          <cell r="G958"/>
          <cell r="H958"/>
          <cell r="I958"/>
          <cell r="J958"/>
          <cell r="K958"/>
          <cell r="L958"/>
          <cell r="M958"/>
        </row>
        <row r="959">
          <cell r="A959">
            <v>20230956</v>
          </cell>
          <cell r="B959"/>
          <cell r="C959"/>
          <cell r="D959"/>
          <cell r="E959"/>
          <cell r="F959"/>
          <cell r="G959"/>
          <cell r="H959"/>
          <cell r="I959"/>
          <cell r="J959"/>
          <cell r="K959"/>
          <cell r="L959"/>
          <cell r="M959"/>
        </row>
        <row r="960">
          <cell r="A960">
            <v>20230957</v>
          </cell>
          <cell r="B960"/>
          <cell r="C960"/>
          <cell r="D960"/>
          <cell r="E960"/>
          <cell r="F960"/>
          <cell r="G960"/>
          <cell r="H960"/>
          <cell r="I960"/>
          <cell r="J960"/>
          <cell r="K960"/>
          <cell r="L960"/>
          <cell r="M960"/>
        </row>
        <row r="961">
          <cell r="A961">
            <v>20230958</v>
          </cell>
          <cell r="B961"/>
          <cell r="C961"/>
          <cell r="D961"/>
          <cell r="E961"/>
          <cell r="F961"/>
          <cell r="G961"/>
          <cell r="H961"/>
          <cell r="I961"/>
          <cell r="J961"/>
          <cell r="K961"/>
          <cell r="L961"/>
          <cell r="M961"/>
        </row>
        <row r="962">
          <cell r="A962">
            <v>20230959</v>
          </cell>
          <cell r="B962"/>
          <cell r="C962"/>
          <cell r="D962"/>
          <cell r="E962"/>
          <cell r="F962"/>
          <cell r="G962"/>
          <cell r="H962"/>
          <cell r="I962"/>
          <cell r="J962"/>
          <cell r="K962"/>
          <cell r="L962"/>
          <cell r="M962"/>
        </row>
        <row r="963">
          <cell r="A963">
            <v>20230960</v>
          </cell>
          <cell r="B963"/>
          <cell r="C963"/>
          <cell r="D963"/>
          <cell r="E963"/>
          <cell r="F963"/>
          <cell r="G963"/>
          <cell r="H963"/>
          <cell r="I963"/>
          <cell r="J963"/>
          <cell r="K963"/>
          <cell r="L963"/>
          <cell r="M963"/>
        </row>
        <row r="964">
          <cell r="A964">
            <v>20230961</v>
          </cell>
          <cell r="B964"/>
          <cell r="C964"/>
          <cell r="D964"/>
          <cell r="E964"/>
          <cell r="F964"/>
          <cell r="G964"/>
          <cell r="H964"/>
          <cell r="I964"/>
          <cell r="J964"/>
          <cell r="K964"/>
          <cell r="L964"/>
          <cell r="M964"/>
        </row>
        <row r="965">
          <cell r="A965">
            <v>20230962</v>
          </cell>
          <cell r="B965"/>
          <cell r="C965"/>
          <cell r="D965"/>
          <cell r="E965"/>
          <cell r="F965"/>
          <cell r="G965"/>
          <cell r="H965"/>
          <cell r="I965"/>
          <cell r="J965"/>
          <cell r="K965"/>
          <cell r="L965"/>
          <cell r="M965"/>
        </row>
        <row r="966">
          <cell r="A966">
            <v>20230963</v>
          </cell>
          <cell r="B966"/>
          <cell r="C966"/>
          <cell r="D966"/>
          <cell r="E966"/>
          <cell r="F966"/>
          <cell r="G966"/>
          <cell r="H966"/>
          <cell r="I966"/>
          <cell r="J966"/>
          <cell r="K966"/>
          <cell r="L966"/>
          <cell r="M966"/>
        </row>
        <row r="967">
          <cell r="A967">
            <v>20230964</v>
          </cell>
          <cell r="B967"/>
          <cell r="C967"/>
          <cell r="D967"/>
          <cell r="E967"/>
          <cell r="F967"/>
          <cell r="G967"/>
          <cell r="H967"/>
          <cell r="I967"/>
          <cell r="J967"/>
          <cell r="K967"/>
          <cell r="L967"/>
          <cell r="M967"/>
        </row>
        <row r="968">
          <cell r="A968">
            <v>20230965</v>
          </cell>
          <cell r="B968"/>
          <cell r="C968"/>
          <cell r="D968"/>
          <cell r="E968"/>
          <cell r="F968"/>
          <cell r="G968"/>
          <cell r="H968"/>
          <cell r="I968"/>
          <cell r="J968"/>
          <cell r="K968"/>
          <cell r="L968"/>
          <cell r="M968"/>
        </row>
        <row r="969">
          <cell r="A969">
            <v>20230966</v>
          </cell>
          <cell r="B969"/>
          <cell r="C969"/>
          <cell r="D969"/>
          <cell r="E969"/>
          <cell r="F969"/>
          <cell r="G969"/>
          <cell r="H969"/>
          <cell r="I969"/>
          <cell r="J969"/>
          <cell r="K969"/>
          <cell r="L969"/>
          <cell r="M969"/>
        </row>
        <row r="970">
          <cell r="A970">
            <v>20230967</v>
          </cell>
          <cell r="B970"/>
          <cell r="C970"/>
          <cell r="D970"/>
          <cell r="E970"/>
          <cell r="F970"/>
          <cell r="G970"/>
          <cell r="H970"/>
          <cell r="I970"/>
          <cell r="J970"/>
          <cell r="K970"/>
          <cell r="L970"/>
          <cell r="M970"/>
        </row>
        <row r="971">
          <cell r="A971">
            <v>20230968</v>
          </cell>
          <cell r="B971"/>
          <cell r="C971"/>
          <cell r="D971"/>
          <cell r="E971"/>
          <cell r="F971"/>
          <cell r="G971"/>
          <cell r="H971"/>
          <cell r="I971"/>
          <cell r="J971"/>
          <cell r="K971"/>
          <cell r="L971"/>
          <cell r="M971"/>
        </row>
        <row r="972">
          <cell r="A972">
            <v>20230969</v>
          </cell>
          <cell r="B972"/>
          <cell r="C972"/>
          <cell r="D972"/>
          <cell r="E972"/>
          <cell r="F972"/>
          <cell r="G972"/>
          <cell r="H972"/>
          <cell r="I972"/>
          <cell r="J972"/>
          <cell r="K972"/>
          <cell r="L972"/>
          <cell r="M972"/>
        </row>
        <row r="973">
          <cell r="A973">
            <v>20230970</v>
          </cell>
          <cell r="B973"/>
          <cell r="C973"/>
          <cell r="D973"/>
          <cell r="E973"/>
          <cell r="F973"/>
          <cell r="G973"/>
          <cell r="H973"/>
          <cell r="I973"/>
          <cell r="J973"/>
          <cell r="K973"/>
          <cell r="L973"/>
          <cell r="M973"/>
        </row>
        <row r="974">
          <cell r="A974">
            <v>20230971</v>
          </cell>
          <cell r="B974"/>
          <cell r="C974"/>
          <cell r="D974"/>
          <cell r="E974"/>
          <cell r="F974"/>
          <cell r="G974"/>
          <cell r="H974"/>
          <cell r="I974"/>
          <cell r="J974"/>
          <cell r="K974"/>
          <cell r="L974"/>
          <cell r="M974"/>
        </row>
        <row r="975">
          <cell r="A975">
            <v>20230972</v>
          </cell>
          <cell r="B975"/>
          <cell r="C975"/>
          <cell r="D975"/>
          <cell r="E975"/>
          <cell r="F975"/>
          <cell r="G975"/>
          <cell r="H975"/>
          <cell r="I975"/>
          <cell r="J975"/>
          <cell r="K975"/>
          <cell r="L975"/>
          <cell r="M975"/>
        </row>
        <row r="976">
          <cell r="A976">
            <v>20230973</v>
          </cell>
          <cell r="B976"/>
          <cell r="C976"/>
          <cell r="D976"/>
          <cell r="E976"/>
          <cell r="F976"/>
          <cell r="G976"/>
          <cell r="H976"/>
          <cell r="I976"/>
          <cell r="J976"/>
          <cell r="K976"/>
          <cell r="L976"/>
          <cell r="M976"/>
        </row>
        <row r="977">
          <cell r="A977">
            <v>20230974</v>
          </cell>
          <cell r="B977"/>
          <cell r="C977"/>
          <cell r="D977"/>
          <cell r="E977"/>
          <cell r="F977"/>
          <cell r="G977"/>
          <cell r="H977"/>
          <cell r="I977"/>
          <cell r="J977"/>
          <cell r="K977"/>
          <cell r="L977"/>
          <cell r="M977"/>
        </row>
        <row r="978">
          <cell r="A978">
            <v>20230975</v>
          </cell>
          <cell r="B978"/>
          <cell r="C978"/>
          <cell r="D978"/>
          <cell r="E978"/>
          <cell r="F978"/>
          <cell r="G978"/>
          <cell r="H978"/>
          <cell r="I978"/>
          <cell r="J978"/>
          <cell r="K978"/>
          <cell r="L978"/>
          <cell r="M978"/>
        </row>
        <row r="979">
          <cell r="A979">
            <v>20230976</v>
          </cell>
          <cell r="B979"/>
          <cell r="C979"/>
          <cell r="D979"/>
          <cell r="E979"/>
          <cell r="F979"/>
          <cell r="G979"/>
          <cell r="H979"/>
          <cell r="I979"/>
          <cell r="J979"/>
          <cell r="K979"/>
          <cell r="L979"/>
          <cell r="M979"/>
        </row>
        <row r="980">
          <cell r="A980">
            <v>20230977</v>
          </cell>
          <cell r="B980"/>
          <cell r="C980"/>
          <cell r="D980"/>
          <cell r="E980"/>
          <cell r="F980"/>
          <cell r="G980"/>
          <cell r="H980"/>
          <cell r="I980"/>
          <cell r="J980"/>
          <cell r="K980"/>
          <cell r="L980"/>
          <cell r="M980"/>
        </row>
        <row r="981">
          <cell r="A981">
            <v>20230978</v>
          </cell>
          <cell r="B981"/>
          <cell r="C981"/>
          <cell r="D981"/>
          <cell r="E981"/>
          <cell r="F981"/>
          <cell r="G981"/>
          <cell r="H981"/>
          <cell r="I981"/>
          <cell r="J981"/>
          <cell r="K981"/>
          <cell r="L981"/>
          <cell r="M981"/>
        </row>
        <row r="982">
          <cell r="A982">
            <v>20230979</v>
          </cell>
          <cell r="B982"/>
          <cell r="C982"/>
          <cell r="D982"/>
          <cell r="E982"/>
          <cell r="F982"/>
          <cell r="G982"/>
          <cell r="H982"/>
          <cell r="I982"/>
          <cell r="J982"/>
          <cell r="K982"/>
          <cell r="L982"/>
          <cell r="M982"/>
        </row>
        <row r="983">
          <cell r="A983">
            <v>20230980</v>
          </cell>
          <cell r="B983"/>
          <cell r="C983"/>
          <cell r="D983"/>
          <cell r="E983"/>
          <cell r="F983"/>
          <cell r="G983"/>
          <cell r="H983"/>
          <cell r="I983"/>
          <cell r="J983"/>
          <cell r="K983"/>
          <cell r="L983"/>
          <cell r="M983"/>
        </row>
        <row r="984">
          <cell r="A984">
            <v>20230981</v>
          </cell>
          <cell r="B984"/>
          <cell r="C984"/>
          <cell r="D984"/>
          <cell r="E984"/>
          <cell r="F984"/>
          <cell r="G984"/>
          <cell r="H984"/>
          <cell r="I984"/>
          <cell r="J984"/>
          <cell r="K984"/>
          <cell r="L984"/>
          <cell r="M984"/>
        </row>
        <row r="985">
          <cell r="A985">
            <v>20230982</v>
          </cell>
          <cell r="B985"/>
          <cell r="C985"/>
          <cell r="D985"/>
          <cell r="E985"/>
          <cell r="F985"/>
          <cell r="G985"/>
          <cell r="H985"/>
          <cell r="I985"/>
          <cell r="J985"/>
          <cell r="K985"/>
          <cell r="L985"/>
          <cell r="M985"/>
        </row>
        <row r="986">
          <cell r="A986">
            <v>20230983</v>
          </cell>
          <cell r="B986"/>
          <cell r="C986"/>
          <cell r="D986"/>
          <cell r="E986"/>
          <cell r="F986"/>
          <cell r="G986"/>
          <cell r="H986"/>
          <cell r="I986"/>
          <cell r="J986"/>
          <cell r="K986"/>
          <cell r="L986"/>
          <cell r="M986"/>
        </row>
        <row r="987">
          <cell r="A987">
            <v>20230984</v>
          </cell>
          <cell r="B987"/>
          <cell r="C987"/>
          <cell r="D987"/>
          <cell r="E987"/>
          <cell r="F987"/>
          <cell r="G987"/>
          <cell r="H987"/>
          <cell r="I987"/>
          <cell r="J987"/>
          <cell r="K987"/>
          <cell r="L987"/>
          <cell r="M987"/>
        </row>
        <row r="988">
          <cell r="A988">
            <v>20230985</v>
          </cell>
          <cell r="B988"/>
          <cell r="C988"/>
          <cell r="D988"/>
          <cell r="E988"/>
          <cell r="F988"/>
          <cell r="G988"/>
          <cell r="H988"/>
          <cell r="I988"/>
          <cell r="J988"/>
          <cell r="K988"/>
          <cell r="L988"/>
          <cell r="M988"/>
        </row>
        <row r="989">
          <cell r="A989">
            <v>20230986</v>
          </cell>
          <cell r="B989"/>
          <cell r="C989"/>
          <cell r="D989"/>
          <cell r="E989"/>
          <cell r="F989"/>
          <cell r="G989"/>
          <cell r="H989"/>
          <cell r="I989"/>
          <cell r="J989"/>
          <cell r="K989"/>
          <cell r="L989"/>
          <cell r="M989"/>
        </row>
        <row r="990">
          <cell r="A990">
            <v>20230987</v>
          </cell>
          <cell r="B990"/>
          <cell r="C990"/>
          <cell r="D990"/>
          <cell r="E990"/>
          <cell r="F990"/>
          <cell r="G990"/>
          <cell r="H990"/>
          <cell r="I990"/>
          <cell r="J990"/>
          <cell r="K990"/>
          <cell r="L990"/>
          <cell r="M990"/>
        </row>
        <row r="991">
          <cell r="A991">
            <v>20230988</v>
          </cell>
          <cell r="B991"/>
          <cell r="C991"/>
          <cell r="D991"/>
          <cell r="E991"/>
          <cell r="F991"/>
          <cell r="G991"/>
          <cell r="H991"/>
          <cell r="I991"/>
          <cell r="J991"/>
          <cell r="K991"/>
          <cell r="L991"/>
          <cell r="M991"/>
        </row>
        <row r="992">
          <cell r="A992">
            <v>20230989</v>
          </cell>
          <cell r="B992"/>
          <cell r="C992"/>
          <cell r="D992"/>
          <cell r="E992"/>
          <cell r="F992"/>
          <cell r="G992"/>
          <cell r="H992"/>
          <cell r="I992"/>
          <cell r="J992"/>
          <cell r="K992"/>
          <cell r="L992"/>
          <cell r="M992"/>
        </row>
        <row r="993">
          <cell r="A993">
            <v>20230990</v>
          </cell>
          <cell r="B993"/>
          <cell r="C993"/>
          <cell r="D993"/>
          <cell r="E993"/>
          <cell r="F993"/>
          <cell r="G993"/>
          <cell r="H993"/>
          <cell r="I993"/>
          <cell r="J993"/>
          <cell r="K993"/>
          <cell r="L993"/>
          <cell r="M993"/>
        </row>
        <row r="994">
          <cell r="A994">
            <v>20230991</v>
          </cell>
          <cell r="B994"/>
          <cell r="C994"/>
          <cell r="D994"/>
          <cell r="E994"/>
          <cell r="F994"/>
          <cell r="G994"/>
          <cell r="H994"/>
          <cell r="I994"/>
          <cell r="J994"/>
          <cell r="K994"/>
          <cell r="L994"/>
          <cell r="M994"/>
        </row>
        <row r="995">
          <cell r="A995">
            <v>20230992</v>
          </cell>
          <cell r="B995"/>
          <cell r="C995"/>
          <cell r="D995"/>
          <cell r="E995"/>
          <cell r="F995"/>
          <cell r="G995"/>
          <cell r="H995"/>
          <cell r="I995"/>
          <cell r="J995"/>
          <cell r="K995"/>
          <cell r="L995"/>
          <cell r="M995"/>
        </row>
        <row r="996">
          <cell r="A996">
            <v>20230993</v>
          </cell>
          <cell r="B996"/>
          <cell r="C996"/>
          <cell r="D996"/>
          <cell r="E996"/>
          <cell r="F996"/>
          <cell r="G996"/>
          <cell r="H996"/>
          <cell r="I996"/>
          <cell r="J996"/>
          <cell r="K996"/>
          <cell r="L996"/>
          <cell r="M996"/>
        </row>
        <row r="997">
          <cell r="A997">
            <v>20230994</v>
          </cell>
          <cell r="B997"/>
          <cell r="C997"/>
          <cell r="D997"/>
          <cell r="E997"/>
          <cell r="F997"/>
          <cell r="G997"/>
          <cell r="H997"/>
          <cell r="I997"/>
          <cell r="J997"/>
          <cell r="K997"/>
          <cell r="L997"/>
          <cell r="M997"/>
        </row>
        <row r="998">
          <cell r="A998">
            <v>20230995</v>
          </cell>
          <cell r="B998"/>
          <cell r="C998"/>
          <cell r="D998"/>
          <cell r="E998"/>
          <cell r="F998"/>
          <cell r="G998"/>
          <cell r="H998"/>
          <cell r="I998"/>
          <cell r="J998"/>
          <cell r="K998"/>
          <cell r="L998"/>
          <cell r="M998"/>
        </row>
        <row r="999">
          <cell r="A999">
            <v>20230996</v>
          </cell>
          <cell r="B999"/>
          <cell r="C999"/>
          <cell r="D999"/>
          <cell r="E999"/>
          <cell r="F999"/>
          <cell r="G999"/>
          <cell r="H999"/>
          <cell r="I999"/>
          <cell r="J999"/>
          <cell r="K999"/>
          <cell r="L999"/>
          <cell r="M999"/>
        </row>
        <row r="1000">
          <cell r="A1000">
            <v>20230997</v>
          </cell>
          <cell r="B1000"/>
          <cell r="C1000"/>
          <cell r="D1000"/>
          <cell r="E1000"/>
          <cell r="F1000"/>
          <cell r="G1000"/>
          <cell r="H1000"/>
          <cell r="I1000"/>
          <cell r="J1000"/>
          <cell r="K1000"/>
          <cell r="L1000"/>
          <cell r="M1000"/>
        </row>
        <row r="1001">
          <cell r="A1001">
            <v>20230998</v>
          </cell>
          <cell r="B1001"/>
          <cell r="C1001"/>
          <cell r="D1001"/>
          <cell r="E1001"/>
          <cell r="F1001"/>
          <cell r="G1001"/>
          <cell r="H1001"/>
          <cell r="I1001"/>
          <cell r="J1001"/>
          <cell r="K1001"/>
          <cell r="L1001"/>
          <cell r="M1001"/>
        </row>
        <row r="1002">
          <cell r="A1002">
            <v>20230999</v>
          </cell>
          <cell r="B1002"/>
          <cell r="C1002"/>
          <cell r="D1002"/>
          <cell r="E1002"/>
          <cell r="F1002"/>
          <cell r="G1002"/>
          <cell r="H1002"/>
          <cell r="I1002"/>
          <cell r="J1002"/>
          <cell r="K1002"/>
          <cell r="L1002"/>
          <cell r="M1002"/>
        </row>
        <row r="1003">
          <cell r="A1003">
            <v>20231000</v>
          </cell>
          <cell r="B1003"/>
          <cell r="C1003"/>
          <cell r="D1003"/>
          <cell r="E1003"/>
          <cell r="F1003"/>
          <cell r="G1003"/>
          <cell r="H1003"/>
          <cell r="I1003"/>
          <cell r="J1003"/>
          <cell r="K1003"/>
          <cell r="L1003"/>
          <cell r="M1003"/>
        </row>
        <row r="1004">
          <cell r="A1004">
            <v>20231001</v>
          </cell>
          <cell r="B1004"/>
          <cell r="C1004"/>
          <cell r="D1004"/>
          <cell r="E1004"/>
          <cell r="F1004"/>
          <cell r="G1004"/>
          <cell r="H1004"/>
          <cell r="I1004"/>
          <cell r="J1004"/>
          <cell r="K1004"/>
          <cell r="L1004"/>
          <cell r="M1004"/>
        </row>
        <row r="1005">
          <cell r="A1005">
            <v>20231002</v>
          </cell>
          <cell r="B1005"/>
          <cell r="C1005"/>
          <cell r="D1005"/>
          <cell r="E1005"/>
          <cell r="F1005"/>
          <cell r="G1005"/>
          <cell r="H1005"/>
          <cell r="I1005"/>
          <cell r="J1005"/>
          <cell r="K1005"/>
          <cell r="L1005"/>
          <cell r="M1005"/>
        </row>
        <row r="1006">
          <cell r="A1006">
            <v>20231003</v>
          </cell>
          <cell r="B1006"/>
          <cell r="C1006"/>
          <cell r="D1006"/>
          <cell r="E1006"/>
          <cell r="F1006"/>
          <cell r="G1006"/>
          <cell r="H1006"/>
          <cell r="I1006"/>
          <cell r="J1006"/>
          <cell r="K1006"/>
          <cell r="L1006"/>
          <cell r="M1006"/>
        </row>
        <row r="1007">
          <cell r="A1007">
            <v>20231004</v>
          </cell>
          <cell r="B1007"/>
          <cell r="C1007"/>
          <cell r="D1007"/>
          <cell r="E1007"/>
          <cell r="F1007"/>
          <cell r="G1007"/>
          <cell r="H1007"/>
          <cell r="I1007"/>
          <cell r="J1007"/>
          <cell r="K1007"/>
          <cell r="L1007"/>
          <cell r="M1007"/>
        </row>
        <row r="1008">
          <cell r="A1008">
            <v>20231005</v>
          </cell>
          <cell r="B1008"/>
          <cell r="C1008"/>
          <cell r="D1008"/>
          <cell r="E1008"/>
          <cell r="F1008"/>
          <cell r="G1008"/>
          <cell r="H1008"/>
          <cell r="I1008"/>
          <cell r="J1008"/>
          <cell r="K1008"/>
          <cell r="L1008"/>
          <cell r="M1008"/>
        </row>
        <row r="1009">
          <cell r="A1009">
            <v>20231006</v>
          </cell>
          <cell r="B1009"/>
          <cell r="C1009"/>
          <cell r="D1009"/>
          <cell r="E1009"/>
          <cell r="F1009"/>
          <cell r="G1009"/>
          <cell r="H1009"/>
          <cell r="I1009"/>
          <cell r="J1009"/>
          <cell r="K1009"/>
          <cell r="L1009"/>
          <cell r="M1009"/>
        </row>
        <row r="1010">
          <cell r="A1010">
            <v>20231007</v>
          </cell>
          <cell r="B1010"/>
          <cell r="C1010"/>
          <cell r="D1010"/>
          <cell r="E1010"/>
          <cell r="F1010"/>
          <cell r="G1010"/>
          <cell r="H1010"/>
          <cell r="I1010"/>
          <cell r="J1010"/>
          <cell r="K1010"/>
          <cell r="L1010"/>
          <cell r="M1010"/>
        </row>
        <row r="1011">
          <cell r="A1011">
            <v>20231008</v>
          </cell>
          <cell r="B1011"/>
          <cell r="C1011"/>
          <cell r="D1011"/>
          <cell r="E1011"/>
          <cell r="F1011"/>
          <cell r="G1011"/>
          <cell r="H1011"/>
          <cell r="I1011"/>
          <cell r="J1011"/>
          <cell r="K1011"/>
          <cell r="L1011"/>
          <cell r="M1011"/>
        </row>
        <row r="1012">
          <cell r="A1012">
            <v>20231009</v>
          </cell>
          <cell r="B1012"/>
          <cell r="C1012"/>
          <cell r="D1012"/>
          <cell r="E1012"/>
          <cell r="F1012"/>
          <cell r="G1012"/>
          <cell r="H1012"/>
          <cell r="I1012"/>
          <cell r="J1012"/>
          <cell r="K1012"/>
          <cell r="L1012"/>
          <cell r="M1012"/>
        </row>
        <row r="1013">
          <cell r="A1013">
            <v>20231010</v>
          </cell>
          <cell r="B1013"/>
          <cell r="C1013"/>
          <cell r="D1013"/>
          <cell r="E1013"/>
          <cell r="F1013"/>
          <cell r="G1013"/>
          <cell r="H1013"/>
          <cell r="I1013"/>
          <cell r="J1013"/>
          <cell r="K1013"/>
          <cell r="L1013"/>
          <cell r="M1013"/>
        </row>
        <row r="1014">
          <cell r="A1014">
            <v>20231011</v>
          </cell>
          <cell r="B1014"/>
          <cell r="C1014"/>
          <cell r="D1014"/>
          <cell r="E1014"/>
          <cell r="F1014"/>
          <cell r="G1014"/>
          <cell r="H1014"/>
          <cell r="I1014"/>
          <cell r="J1014"/>
          <cell r="K1014"/>
          <cell r="L1014"/>
          <cell r="M1014"/>
        </row>
        <row r="1015">
          <cell r="A1015">
            <v>20231012</v>
          </cell>
          <cell r="B1015"/>
          <cell r="C1015"/>
          <cell r="D1015"/>
          <cell r="E1015"/>
          <cell r="F1015"/>
          <cell r="G1015"/>
          <cell r="H1015"/>
          <cell r="I1015"/>
          <cell r="J1015"/>
          <cell r="K1015"/>
          <cell r="L1015"/>
          <cell r="M1015"/>
        </row>
        <row r="1016">
          <cell r="A1016">
            <v>20231013</v>
          </cell>
          <cell r="B1016"/>
          <cell r="C1016"/>
          <cell r="D1016"/>
          <cell r="E1016"/>
          <cell r="F1016"/>
          <cell r="G1016"/>
          <cell r="H1016"/>
          <cell r="I1016"/>
          <cell r="J1016"/>
          <cell r="K1016"/>
          <cell r="L1016"/>
          <cell r="M1016"/>
        </row>
        <row r="1017">
          <cell r="A1017">
            <v>20231014</v>
          </cell>
          <cell r="B1017"/>
          <cell r="C1017"/>
          <cell r="D1017"/>
          <cell r="E1017"/>
          <cell r="F1017"/>
          <cell r="G1017"/>
          <cell r="H1017"/>
          <cell r="I1017"/>
          <cell r="J1017"/>
          <cell r="K1017"/>
          <cell r="L1017"/>
          <cell r="M1017"/>
        </row>
        <row r="1018">
          <cell r="A1018">
            <v>20231015</v>
          </cell>
          <cell r="B1018"/>
          <cell r="C1018"/>
          <cell r="D1018"/>
          <cell r="E1018"/>
          <cell r="F1018"/>
          <cell r="G1018"/>
          <cell r="H1018"/>
          <cell r="I1018"/>
          <cell r="J1018"/>
          <cell r="K1018"/>
          <cell r="L1018"/>
          <cell r="M1018"/>
        </row>
        <row r="1019">
          <cell r="A1019">
            <v>20231016</v>
          </cell>
          <cell r="B1019"/>
          <cell r="C1019"/>
          <cell r="D1019"/>
          <cell r="E1019"/>
          <cell r="F1019"/>
          <cell r="G1019"/>
          <cell r="H1019"/>
          <cell r="I1019"/>
          <cell r="J1019"/>
          <cell r="K1019"/>
          <cell r="L1019"/>
          <cell r="M1019"/>
        </row>
        <row r="1020">
          <cell r="A1020">
            <v>20231017</v>
          </cell>
          <cell r="B1020"/>
          <cell r="C1020"/>
          <cell r="D1020"/>
          <cell r="E1020"/>
          <cell r="F1020"/>
          <cell r="G1020"/>
          <cell r="H1020"/>
          <cell r="I1020"/>
          <cell r="J1020"/>
          <cell r="K1020"/>
          <cell r="L1020"/>
          <cell r="M1020"/>
        </row>
        <row r="1021">
          <cell r="A1021">
            <v>20231018</v>
          </cell>
          <cell r="B1021"/>
          <cell r="C1021"/>
          <cell r="D1021"/>
          <cell r="E1021"/>
          <cell r="F1021"/>
          <cell r="G1021"/>
          <cell r="H1021"/>
          <cell r="I1021"/>
          <cell r="J1021"/>
          <cell r="K1021"/>
          <cell r="L1021"/>
          <cell r="M1021"/>
        </row>
        <row r="1022">
          <cell r="A1022">
            <v>20231019</v>
          </cell>
          <cell r="B1022"/>
          <cell r="C1022"/>
          <cell r="D1022"/>
          <cell r="E1022"/>
          <cell r="F1022"/>
          <cell r="G1022"/>
          <cell r="H1022"/>
          <cell r="I1022"/>
          <cell r="J1022"/>
          <cell r="K1022"/>
          <cell r="L1022"/>
          <cell r="M1022"/>
        </row>
        <row r="1023">
          <cell r="A1023">
            <v>20231020</v>
          </cell>
          <cell r="B1023"/>
          <cell r="C1023"/>
          <cell r="D1023"/>
          <cell r="E1023"/>
          <cell r="F1023"/>
          <cell r="G1023"/>
          <cell r="H1023"/>
          <cell r="I1023"/>
          <cell r="J1023"/>
          <cell r="K1023"/>
          <cell r="L1023"/>
          <cell r="M1023"/>
        </row>
        <row r="1024">
          <cell r="A1024">
            <v>20231021</v>
          </cell>
          <cell r="B1024"/>
          <cell r="C1024"/>
          <cell r="D1024"/>
          <cell r="E1024"/>
          <cell r="F1024"/>
          <cell r="G1024"/>
          <cell r="H1024"/>
          <cell r="I1024"/>
          <cell r="J1024"/>
          <cell r="K1024"/>
          <cell r="L1024"/>
          <cell r="M1024"/>
        </row>
        <row r="1025">
          <cell r="A1025">
            <v>20231022</v>
          </cell>
          <cell r="B1025"/>
          <cell r="C1025"/>
          <cell r="D1025"/>
          <cell r="E1025"/>
          <cell r="F1025"/>
          <cell r="G1025"/>
          <cell r="H1025"/>
          <cell r="I1025"/>
          <cell r="J1025"/>
          <cell r="K1025"/>
          <cell r="L1025"/>
          <cell r="M1025"/>
        </row>
        <row r="1026">
          <cell r="A1026">
            <v>20231023</v>
          </cell>
          <cell r="B1026"/>
          <cell r="C1026"/>
          <cell r="D1026"/>
          <cell r="E1026"/>
          <cell r="F1026"/>
          <cell r="G1026"/>
          <cell r="H1026"/>
          <cell r="I1026"/>
          <cell r="J1026"/>
          <cell r="K1026"/>
          <cell r="L1026"/>
          <cell r="M1026"/>
        </row>
        <row r="1027">
          <cell r="A1027">
            <v>20231024</v>
          </cell>
          <cell r="B1027"/>
          <cell r="C1027"/>
          <cell r="D1027"/>
          <cell r="E1027"/>
          <cell r="F1027"/>
          <cell r="G1027"/>
          <cell r="H1027"/>
          <cell r="I1027"/>
          <cell r="J1027"/>
          <cell r="K1027"/>
          <cell r="L1027"/>
          <cell r="M1027"/>
        </row>
        <row r="1028">
          <cell r="A1028">
            <v>20231025</v>
          </cell>
          <cell r="B1028"/>
          <cell r="C1028"/>
          <cell r="D1028"/>
          <cell r="E1028"/>
          <cell r="F1028"/>
          <cell r="G1028"/>
          <cell r="H1028"/>
          <cell r="I1028"/>
          <cell r="J1028"/>
          <cell r="K1028"/>
          <cell r="L1028"/>
          <cell r="M1028"/>
        </row>
        <row r="1029">
          <cell r="A1029">
            <v>20231026</v>
          </cell>
          <cell r="B1029"/>
          <cell r="C1029"/>
          <cell r="D1029"/>
          <cell r="E1029"/>
          <cell r="F1029"/>
          <cell r="G1029"/>
          <cell r="H1029"/>
          <cell r="I1029"/>
          <cell r="J1029"/>
          <cell r="K1029"/>
          <cell r="L1029"/>
          <cell r="M1029"/>
        </row>
        <row r="1030">
          <cell r="A1030">
            <v>20231027</v>
          </cell>
          <cell r="B1030"/>
          <cell r="C1030"/>
          <cell r="D1030"/>
          <cell r="E1030"/>
          <cell r="F1030"/>
          <cell r="G1030"/>
          <cell r="H1030"/>
          <cell r="I1030"/>
          <cell r="J1030"/>
          <cell r="K1030"/>
          <cell r="L1030"/>
          <cell r="M1030"/>
        </row>
        <row r="1031">
          <cell r="A1031">
            <v>20231028</v>
          </cell>
          <cell r="B1031"/>
          <cell r="C1031"/>
          <cell r="D1031"/>
          <cell r="E1031"/>
          <cell r="F1031"/>
          <cell r="G1031"/>
          <cell r="H1031"/>
          <cell r="I1031"/>
          <cell r="J1031"/>
          <cell r="K1031"/>
          <cell r="L1031"/>
          <cell r="M1031"/>
        </row>
        <row r="1032">
          <cell r="A1032">
            <v>20231029</v>
          </cell>
          <cell r="B1032"/>
          <cell r="C1032"/>
          <cell r="D1032"/>
          <cell r="E1032"/>
          <cell r="F1032"/>
          <cell r="G1032"/>
          <cell r="H1032"/>
          <cell r="I1032"/>
          <cell r="J1032"/>
          <cell r="K1032"/>
          <cell r="L1032"/>
          <cell r="M1032"/>
        </row>
        <row r="1033">
          <cell r="A1033">
            <v>20231030</v>
          </cell>
          <cell r="B1033"/>
          <cell r="C1033"/>
          <cell r="D1033"/>
          <cell r="E1033"/>
          <cell r="F1033"/>
          <cell r="G1033"/>
          <cell r="H1033"/>
          <cell r="I1033"/>
          <cell r="J1033"/>
          <cell r="K1033"/>
          <cell r="L1033"/>
          <cell r="M1033"/>
        </row>
        <row r="1034">
          <cell r="A1034">
            <v>20231031</v>
          </cell>
          <cell r="B1034"/>
          <cell r="C1034"/>
          <cell r="D1034"/>
          <cell r="E1034"/>
          <cell r="F1034"/>
          <cell r="G1034"/>
          <cell r="H1034"/>
          <cell r="I1034"/>
          <cell r="J1034"/>
          <cell r="K1034"/>
          <cell r="L1034"/>
          <cell r="M1034"/>
        </row>
        <row r="1035">
          <cell r="A1035">
            <v>20231032</v>
          </cell>
          <cell r="B1035"/>
          <cell r="C1035"/>
          <cell r="D1035"/>
          <cell r="E1035"/>
          <cell r="F1035"/>
          <cell r="G1035"/>
          <cell r="H1035"/>
          <cell r="I1035"/>
          <cell r="J1035"/>
          <cell r="K1035"/>
          <cell r="L1035"/>
          <cell r="M1035"/>
        </row>
        <row r="1036">
          <cell r="A1036">
            <v>20231033</v>
          </cell>
          <cell r="B1036"/>
          <cell r="C1036"/>
          <cell r="D1036"/>
          <cell r="E1036"/>
          <cell r="F1036"/>
          <cell r="G1036"/>
          <cell r="H1036"/>
          <cell r="I1036"/>
          <cell r="J1036"/>
          <cell r="K1036"/>
          <cell r="L1036"/>
          <cell r="M1036"/>
        </row>
        <row r="1037">
          <cell r="A1037">
            <v>20231034</v>
          </cell>
          <cell r="B1037"/>
          <cell r="C1037"/>
          <cell r="D1037"/>
          <cell r="E1037"/>
          <cell r="F1037"/>
          <cell r="G1037"/>
          <cell r="H1037"/>
          <cell r="I1037"/>
          <cell r="J1037"/>
          <cell r="K1037"/>
          <cell r="L1037"/>
          <cell r="M1037"/>
        </row>
        <row r="1038">
          <cell r="A1038">
            <v>20231035</v>
          </cell>
          <cell r="B1038"/>
          <cell r="C1038"/>
          <cell r="D1038"/>
          <cell r="E1038"/>
          <cell r="F1038"/>
          <cell r="G1038"/>
          <cell r="H1038"/>
          <cell r="I1038"/>
          <cell r="J1038"/>
          <cell r="K1038"/>
          <cell r="L1038"/>
          <cell r="M1038"/>
        </row>
        <row r="1039">
          <cell r="A1039">
            <v>20231036</v>
          </cell>
          <cell r="B1039"/>
          <cell r="C1039"/>
          <cell r="D1039"/>
          <cell r="E1039"/>
          <cell r="F1039"/>
          <cell r="G1039"/>
          <cell r="H1039"/>
          <cell r="I1039"/>
          <cell r="J1039"/>
          <cell r="K1039"/>
          <cell r="L1039"/>
          <cell r="M1039"/>
        </row>
        <row r="1040">
          <cell r="A1040">
            <v>20231037</v>
          </cell>
          <cell r="B1040"/>
          <cell r="C1040"/>
          <cell r="D1040"/>
          <cell r="E1040"/>
          <cell r="F1040"/>
          <cell r="G1040"/>
          <cell r="H1040"/>
          <cell r="I1040"/>
          <cell r="J1040"/>
          <cell r="K1040"/>
          <cell r="L1040"/>
          <cell r="M1040"/>
        </row>
        <row r="1041">
          <cell r="A1041">
            <v>20231038</v>
          </cell>
          <cell r="B1041"/>
          <cell r="C1041"/>
          <cell r="D1041"/>
          <cell r="E1041"/>
          <cell r="F1041"/>
          <cell r="G1041"/>
          <cell r="H1041"/>
          <cell r="I1041"/>
          <cell r="J1041"/>
          <cell r="K1041"/>
          <cell r="L1041"/>
          <cell r="M1041"/>
        </row>
        <row r="1042">
          <cell r="A1042">
            <v>20231039</v>
          </cell>
          <cell r="B1042"/>
          <cell r="C1042"/>
          <cell r="D1042"/>
          <cell r="E1042"/>
          <cell r="F1042"/>
          <cell r="G1042"/>
          <cell r="H1042"/>
          <cell r="I1042"/>
          <cell r="J1042"/>
          <cell r="K1042"/>
          <cell r="L1042"/>
          <cell r="M1042"/>
        </row>
        <row r="1043">
          <cell r="A1043">
            <v>20231040</v>
          </cell>
          <cell r="B1043"/>
          <cell r="C1043"/>
          <cell r="D1043"/>
          <cell r="E1043"/>
          <cell r="F1043"/>
          <cell r="G1043"/>
          <cell r="H1043"/>
          <cell r="I1043"/>
          <cell r="J1043"/>
          <cell r="K1043"/>
          <cell r="L1043"/>
          <cell r="M1043"/>
        </row>
        <row r="1044">
          <cell r="A1044">
            <v>20231041</v>
          </cell>
          <cell r="B1044"/>
          <cell r="C1044"/>
          <cell r="D1044"/>
          <cell r="E1044"/>
          <cell r="F1044"/>
          <cell r="G1044"/>
          <cell r="H1044"/>
          <cell r="I1044"/>
          <cell r="J1044"/>
          <cell r="K1044"/>
          <cell r="L1044"/>
          <cell r="M1044"/>
        </row>
        <row r="1045">
          <cell r="A1045">
            <v>20231042</v>
          </cell>
          <cell r="B1045"/>
          <cell r="C1045"/>
          <cell r="D1045"/>
          <cell r="E1045"/>
          <cell r="F1045"/>
          <cell r="G1045"/>
          <cell r="H1045"/>
          <cell r="I1045"/>
          <cell r="J1045"/>
          <cell r="K1045"/>
          <cell r="L1045"/>
          <cell r="M1045"/>
        </row>
        <row r="1046">
          <cell r="A1046">
            <v>20231043</v>
          </cell>
          <cell r="B1046"/>
          <cell r="C1046"/>
          <cell r="D1046"/>
          <cell r="E1046"/>
          <cell r="F1046"/>
          <cell r="G1046"/>
          <cell r="H1046"/>
          <cell r="I1046"/>
          <cell r="J1046"/>
          <cell r="K1046"/>
          <cell r="L1046"/>
          <cell r="M1046"/>
        </row>
        <row r="1047">
          <cell r="A1047">
            <v>20231044</v>
          </cell>
          <cell r="B1047"/>
          <cell r="C1047"/>
          <cell r="D1047"/>
          <cell r="E1047"/>
          <cell r="F1047"/>
          <cell r="G1047"/>
          <cell r="H1047"/>
          <cell r="I1047"/>
          <cell r="J1047"/>
          <cell r="K1047"/>
          <cell r="L1047"/>
          <cell r="M1047"/>
        </row>
        <row r="1048">
          <cell r="A1048">
            <v>20231045</v>
          </cell>
          <cell r="B1048"/>
          <cell r="C1048"/>
          <cell r="D1048"/>
          <cell r="E1048"/>
          <cell r="F1048"/>
          <cell r="G1048"/>
          <cell r="H1048"/>
          <cell r="I1048"/>
          <cell r="J1048"/>
          <cell r="K1048"/>
          <cell r="L1048"/>
          <cell r="M1048"/>
        </row>
        <row r="1049">
          <cell r="A1049">
            <v>20231046</v>
          </cell>
          <cell r="B1049"/>
          <cell r="C1049"/>
          <cell r="D1049"/>
          <cell r="E1049"/>
          <cell r="F1049"/>
          <cell r="G1049"/>
          <cell r="H1049"/>
          <cell r="I1049"/>
          <cell r="J1049"/>
          <cell r="K1049"/>
          <cell r="L1049"/>
          <cell r="M1049"/>
        </row>
        <row r="1050">
          <cell r="A1050">
            <v>20231047</v>
          </cell>
          <cell r="B1050"/>
          <cell r="C1050"/>
          <cell r="D1050"/>
          <cell r="E1050"/>
          <cell r="F1050"/>
          <cell r="G1050"/>
          <cell r="H1050"/>
          <cell r="I1050"/>
          <cell r="J1050"/>
          <cell r="K1050"/>
          <cell r="L1050"/>
          <cell r="M1050"/>
        </row>
        <row r="1051">
          <cell r="A1051">
            <v>20231048</v>
          </cell>
          <cell r="B1051"/>
          <cell r="C1051"/>
          <cell r="D1051"/>
          <cell r="E1051"/>
          <cell r="F1051"/>
          <cell r="G1051"/>
          <cell r="H1051"/>
          <cell r="I1051"/>
          <cell r="J1051"/>
          <cell r="K1051"/>
          <cell r="L1051"/>
          <cell r="M1051"/>
        </row>
        <row r="1052">
          <cell r="A1052">
            <v>20231049</v>
          </cell>
          <cell r="B1052"/>
          <cell r="C1052"/>
          <cell r="D1052"/>
          <cell r="E1052"/>
          <cell r="F1052"/>
          <cell r="G1052"/>
          <cell r="H1052"/>
          <cell r="I1052"/>
          <cell r="J1052"/>
          <cell r="K1052"/>
          <cell r="L1052"/>
          <cell r="M1052"/>
        </row>
        <row r="1053">
          <cell r="A1053">
            <v>20231050</v>
          </cell>
          <cell r="B1053"/>
          <cell r="C1053"/>
          <cell r="D1053"/>
          <cell r="E1053"/>
          <cell r="F1053"/>
          <cell r="G1053"/>
          <cell r="H1053"/>
          <cell r="I1053"/>
          <cell r="J1053"/>
          <cell r="K1053"/>
          <cell r="L1053"/>
          <cell r="M1053"/>
        </row>
        <row r="1054">
          <cell r="A1054">
            <v>20231051</v>
          </cell>
          <cell r="B1054"/>
          <cell r="C1054"/>
          <cell r="D1054"/>
          <cell r="E1054"/>
          <cell r="F1054"/>
          <cell r="G1054"/>
          <cell r="H1054"/>
          <cell r="I1054"/>
          <cell r="J1054"/>
          <cell r="K1054"/>
          <cell r="L1054"/>
          <cell r="M1054"/>
        </row>
        <row r="1055">
          <cell r="A1055">
            <v>20231052</v>
          </cell>
          <cell r="B1055"/>
          <cell r="C1055"/>
          <cell r="D1055"/>
          <cell r="E1055"/>
          <cell r="F1055"/>
          <cell r="G1055"/>
          <cell r="H1055"/>
          <cell r="I1055"/>
          <cell r="J1055"/>
          <cell r="K1055"/>
          <cell r="L1055"/>
          <cell r="M1055"/>
        </row>
        <row r="1056">
          <cell r="A1056">
            <v>20231053</v>
          </cell>
          <cell r="B1056"/>
          <cell r="C1056"/>
          <cell r="D1056"/>
          <cell r="E1056"/>
          <cell r="F1056"/>
          <cell r="G1056"/>
          <cell r="H1056"/>
          <cell r="I1056"/>
          <cell r="J1056"/>
          <cell r="K1056"/>
          <cell r="L1056"/>
          <cell r="M1056"/>
        </row>
        <row r="1057">
          <cell r="A1057">
            <v>20231054</v>
          </cell>
          <cell r="B1057"/>
          <cell r="C1057"/>
          <cell r="D1057"/>
          <cell r="E1057"/>
          <cell r="F1057"/>
          <cell r="G1057"/>
          <cell r="H1057"/>
          <cell r="I1057"/>
          <cell r="J1057"/>
          <cell r="K1057"/>
          <cell r="L1057"/>
          <cell r="M1057"/>
        </row>
        <row r="1058">
          <cell r="A1058">
            <v>20231055</v>
          </cell>
          <cell r="B1058"/>
          <cell r="C1058"/>
          <cell r="D1058"/>
          <cell r="E1058"/>
          <cell r="F1058"/>
          <cell r="G1058"/>
          <cell r="H1058"/>
          <cell r="I1058"/>
          <cell r="J1058"/>
          <cell r="K1058"/>
          <cell r="L1058"/>
          <cell r="M1058"/>
        </row>
        <row r="1059">
          <cell r="A1059">
            <v>20231056</v>
          </cell>
          <cell r="B1059"/>
          <cell r="C1059"/>
          <cell r="D1059"/>
          <cell r="E1059"/>
          <cell r="F1059"/>
          <cell r="G1059"/>
          <cell r="H1059"/>
          <cell r="I1059"/>
          <cell r="J1059"/>
          <cell r="K1059"/>
          <cell r="L1059"/>
          <cell r="M1059"/>
        </row>
        <row r="1060">
          <cell r="A1060">
            <v>20231057</v>
          </cell>
          <cell r="B1060"/>
          <cell r="C1060"/>
          <cell r="D1060"/>
          <cell r="E1060"/>
          <cell r="F1060"/>
          <cell r="G1060"/>
          <cell r="H1060"/>
          <cell r="I1060"/>
          <cell r="J1060"/>
          <cell r="K1060"/>
          <cell r="L1060"/>
          <cell r="M1060"/>
        </row>
        <row r="1061">
          <cell r="A1061">
            <v>20231058</v>
          </cell>
          <cell r="B1061"/>
          <cell r="C1061"/>
          <cell r="D1061"/>
          <cell r="E1061"/>
          <cell r="F1061"/>
          <cell r="G1061"/>
          <cell r="H1061"/>
          <cell r="I1061"/>
          <cell r="J1061"/>
          <cell r="K1061"/>
          <cell r="L1061"/>
          <cell r="M1061"/>
        </row>
        <row r="1062">
          <cell r="A1062">
            <v>20231059</v>
          </cell>
          <cell r="B1062"/>
          <cell r="C1062"/>
          <cell r="D1062"/>
          <cell r="E1062"/>
          <cell r="F1062"/>
          <cell r="G1062"/>
          <cell r="H1062"/>
          <cell r="I1062"/>
          <cell r="J1062"/>
          <cell r="K1062"/>
          <cell r="L1062"/>
          <cell r="M1062"/>
        </row>
        <row r="1063">
          <cell r="A1063">
            <v>20231060</v>
          </cell>
          <cell r="B1063"/>
          <cell r="C1063"/>
          <cell r="D1063"/>
          <cell r="E1063"/>
          <cell r="F1063"/>
          <cell r="G1063"/>
          <cell r="H1063"/>
          <cell r="I1063"/>
          <cell r="J1063"/>
          <cell r="K1063"/>
          <cell r="L1063"/>
          <cell r="M1063"/>
        </row>
        <row r="1064">
          <cell r="A1064">
            <v>20231061</v>
          </cell>
          <cell r="B1064"/>
          <cell r="C1064"/>
          <cell r="D1064"/>
          <cell r="E1064"/>
          <cell r="F1064"/>
          <cell r="G1064"/>
          <cell r="H1064"/>
          <cell r="I1064"/>
          <cell r="J1064"/>
          <cell r="K1064"/>
          <cell r="L1064"/>
          <cell r="M1064"/>
        </row>
        <row r="1065">
          <cell r="A1065">
            <v>20231062</v>
          </cell>
          <cell r="B1065"/>
          <cell r="C1065"/>
          <cell r="D1065"/>
          <cell r="E1065"/>
          <cell r="F1065"/>
          <cell r="G1065"/>
          <cell r="H1065"/>
          <cell r="I1065"/>
          <cell r="J1065"/>
          <cell r="K1065"/>
          <cell r="L1065"/>
          <cell r="M1065"/>
        </row>
        <row r="1066">
          <cell r="A1066">
            <v>20231063</v>
          </cell>
          <cell r="B1066"/>
          <cell r="C1066"/>
          <cell r="D1066"/>
          <cell r="E1066"/>
          <cell r="F1066"/>
          <cell r="G1066"/>
          <cell r="H1066"/>
          <cell r="I1066"/>
          <cell r="J1066"/>
          <cell r="K1066"/>
          <cell r="L1066"/>
          <cell r="M1066"/>
        </row>
        <row r="1067">
          <cell r="A1067">
            <v>20231064</v>
          </cell>
          <cell r="B1067"/>
          <cell r="C1067"/>
          <cell r="D1067"/>
          <cell r="E1067"/>
          <cell r="F1067"/>
          <cell r="G1067"/>
          <cell r="H1067"/>
          <cell r="I1067"/>
          <cell r="J1067"/>
          <cell r="K1067"/>
          <cell r="L1067"/>
          <cell r="M1067"/>
        </row>
        <row r="1068">
          <cell r="A1068">
            <v>20231065</v>
          </cell>
          <cell r="B1068"/>
          <cell r="C1068"/>
          <cell r="D1068"/>
          <cell r="E1068"/>
          <cell r="F1068"/>
          <cell r="G1068"/>
          <cell r="H1068"/>
          <cell r="I1068"/>
          <cell r="J1068"/>
          <cell r="K1068"/>
          <cell r="L1068"/>
          <cell r="M1068"/>
        </row>
        <row r="1069">
          <cell r="A1069">
            <v>20231066</v>
          </cell>
          <cell r="B1069"/>
          <cell r="C1069"/>
          <cell r="D1069"/>
          <cell r="E1069"/>
          <cell r="F1069"/>
          <cell r="G1069"/>
          <cell r="H1069"/>
          <cell r="I1069"/>
          <cell r="J1069"/>
          <cell r="K1069"/>
          <cell r="L1069"/>
          <cell r="M1069"/>
        </row>
        <row r="1070">
          <cell r="A1070">
            <v>20231067</v>
          </cell>
          <cell r="B1070"/>
          <cell r="C1070"/>
          <cell r="D1070"/>
          <cell r="E1070"/>
          <cell r="F1070"/>
          <cell r="G1070"/>
          <cell r="H1070"/>
          <cell r="I1070"/>
          <cell r="J1070"/>
          <cell r="K1070"/>
          <cell r="L1070"/>
          <cell r="M1070"/>
        </row>
        <row r="1071">
          <cell r="A1071">
            <v>20231068</v>
          </cell>
          <cell r="B1071"/>
          <cell r="C1071"/>
          <cell r="D1071"/>
          <cell r="E1071"/>
          <cell r="F1071"/>
          <cell r="G1071"/>
          <cell r="H1071"/>
          <cell r="I1071"/>
          <cell r="J1071"/>
          <cell r="K1071"/>
          <cell r="L1071"/>
          <cell r="M1071"/>
        </row>
        <row r="1072">
          <cell r="A1072">
            <v>20231069</v>
          </cell>
          <cell r="B1072"/>
          <cell r="C1072"/>
          <cell r="D1072"/>
          <cell r="E1072"/>
          <cell r="F1072"/>
          <cell r="G1072"/>
          <cell r="H1072"/>
          <cell r="I1072"/>
          <cell r="J1072"/>
          <cell r="K1072"/>
          <cell r="L1072"/>
          <cell r="M1072"/>
        </row>
        <row r="1073">
          <cell r="A1073">
            <v>20231070</v>
          </cell>
          <cell r="B1073"/>
          <cell r="C1073"/>
          <cell r="D1073"/>
          <cell r="E1073"/>
          <cell r="F1073"/>
          <cell r="G1073"/>
          <cell r="H1073"/>
          <cell r="I1073"/>
          <cell r="J1073"/>
          <cell r="K1073"/>
          <cell r="L1073"/>
          <cell r="M1073"/>
        </row>
        <row r="1074">
          <cell r="A1074">
            <v>20231071</v>
          </cell>
          <cell r="B1074"/>
          <cell r="C1074"/>
          <cell r="D1074"/>
          <cell r="E1074"/>
          <cell r="F1074"/>
          <cell r="G1074"/>
          <cell r="H1074"/>
          <cell r="I1074"/>
          <cell r="J1074"/>
          <cell r="K1074"/>
          <cell r="L1074"/>
          <cell r="M1074"/>
        </row>
        <row r="1075">
          <cell r="A1075">
            <v>20231072</v>
          </cell>
          <cell r="B1075"/>
          <cell r="C1075"/>
          <cell r="D1075"/>
          <cell r="E1075"/>
          <cell r="F1075"/>
          <cell r="G1075"/>
          <cell r="H1075"/>
          <cell r="I1075"/>
          <cell r="J1075"/>
          <cell r="K1075"/>
          <cell r="L1075"/>
          <cell r="M1075"/>
        </row>
        <row r="1076">
          <cell r="A1076">
            <v>20231073</v>
          </cell>
          <cell r="B1076"/>
          <cell r="C1076"/>
          <cell r="D1076"/>
          <cell r="E1076"/>
          <cell r="F1076"/>
          <cell r="G1076"/>
          <cell r="H1076"/>
          <cell r="I1076"/>
          <cell r="J1076"/>
          <cell r="K1076"/>
          <cell r="L1076"/>
          <cell r="M1076"/>
        </row>
        <row r="1077">
          <cell r="A1077">
            <v>20231074</v>
          </cell>
          <cell r="B1077"/>
          <cell r="C1077"/>
          <cell r="D1077"/>
          <cell r="E1077"/>
          <cell r="F1077"/>
          <cell r="G1077"/>
          <cell r="H1077"/>
          <cell r="I1077"/>
          <cell r="J1077"/>
          <cell r="K1077"/>
          <cell r="L1077"/>
          <cell r="M1077"/>
        </row>
        <row r="1078">
          <cell r="A1078">
            <v>20231075</v>
          </cell>
          <cell r="B1078"/>
          <cell r="C1078"/>
          <cell r="D1078"/>
          <cell r="E1078"/>
          <cell r="F1078"/>
          <cell r="G1078"/>
          <cell r="H1078"/>
          <cell r="I1078"/>
          <cell r="J1078"/>
          <cell r="K1078"/>
          <cell r="L1078"/>
          <cell r="M1078"/>
        </row>
        <row r="1079">
          <cell r="A1079">
            <v>20231076</v>
          </cell>
          <cell r="B1079"/>
          <cell r="C1079"/>
          <cell r="D1079"/>
          <cell r="E1079"/>
          <cell r="F1079"/>
          <cell r="G1079"/>
          <cell r="H1079"/>
          <cell r="I1079"/>
          <cell r="J1079"/>
          <cell r="K1079"/>
          <cell r="L1079"/>
          <cell r="M1079"/>
        </row>
        <row r="1080">
          <cell r="A1080">
            <v>20231077</v>
          </cell>
          <cell r="B1080"/>
          <cell r="C1080"/>
          <cell r="D1080"/>
          <cell r="E1080"/>
          <cell r="F1080"/>
          <cell r="G1080"/>
          <cell r="H1080"/>
          <cell r="I1080"/>
          <cell r="J1080"/>
          <cell r="K1080"/>
          <cell r="L1080"/>
          <cell r="M1080"/>
        </row>
        <row r="1081">
          <cell r="A1081">
            <v>20231078</v>
          </cell>
          <cell r="B1081"/>
          <cell r="C1081"/>
          <cell r="D1081"/>
          <cell r="E1081"/>
          <cell r="F1081"/>
          <cell r="G1081"/>
          <cell r="H1081"/>
          <cell r="I1081"/>
          <cell r="J1081"/>
          <cell r="K1081"/>
          <cell r="L1081"/>
          <cell r="M1081"/>
        </row>
        <row r="1082">
          <cell r="A1082">
            <v>20231079</v>
          </cell>
          <cell r="B1082"/>
          <cell r="C1082"/>
          <cell r="D1082"/>
          <cell r="E1082"/>
          <cell r="F1082"/>
          <cell r="G1082"/>
          <cell r="H1082"/>
          <cell r="I1082"/>
          <cell r="J1082"/>
          <cell r="K1082"/>
          <cell r="L1082"/>
          <cell r="M1082"/>
        </row>
        <row r="1083">
          <cell r="A1083">
            <v>20231080</v>
          </cell>
          <cell r="B1083"/>
          <cell r="C1083"/>
          <cell r="D1083"/>
          <cell r="E1083"/>
          <cell r="F1083"/>
          <cell r="G1083"/>
          <cell r="H1083"/>
          <cell r="I1083"/>
          <cell r="J1083"/>
          <cell r="K1083"/>
          <cell r="L1083"/>
          <cell r="M1083"/>
        </row>
        <row r="1084">
          <cell r="A1084">
            <v>20231081</v>
          </cell>
          <cell r="B1084"/>
          <cell r="C1084"/>
          <cell r="D1084"/>
          <cell r="E1084"/>
          <cell r="F1084"/>
          <cell r="G1084"/>
          <cell r="H1084"/>
          <cell r="I1084"/>
          <cell r="J1084"/>
          <cell r="K1084"/>
          <cell r="L1084"/>
          <cell r="M1084"/>
        </row>
        <row r="1085">
          <cell r="A1085">
            <v>20231082</v>
          </cell>
          <cell r="B1085"/>
          <cell r="C1085"/>
          <cell r="D1085"/>
          <cell r="E1085"/>
          <cell r="F1085"/>
          <cell r="G1085"/>
          <cell r="H1085"/>
          <cell r="I1085"/>
          <cell r="J1085"/>
          <cell r="K1085"/>
          <cell r="L1085"/>
          <cell r="M1085"/>
        </row>
        <row r="1086">
          <cell r="A1086">
            <v>20231083</v>
          </cell>
          <cell r="B1086"/>
          <cell r="C1086"/>
          <cell r="D1086"/>
          <cell r="E1086"/>
          <cell r="F1086"/>
          <cell r="G1086"/>
          <cell r="H1086"/>
          <cell r="I1086"/>
          <cell r="J1086"/>
          <cell r="K1086"/>
          <cell r="L1086"/>
          <cell r="M1086"/>
        </row>
        <row r="1087">
          <cell r="A1087">
            <v>20231084</v>
          </cell>
          <cell r="B1087"/>
          <cell r="C1087"/>
          <cell r="D1087"/>
          <cell r="E1087"/>
          <cell r="F1087"/>
          <cell r="G1087"/>
          <cell r="H1087"/>
          <cell r="I1087"/>
          <cell r="J1087"/>
          <cell r="K1087"/>
          <cell r="L1087"/>
          <cell r="M1087"/>
        </row>
        <row r="1088">
          <cell r="A1088">
            <v>20231085</v>
          </cell>
          <cell r="B1088"/>
          <cell r="C1088"/>
          <cell r="D1088"/>
          <cell r="E1088"/>
          <cell r="F1088"/>
          <cell r="G1088"/>
          <cell r="H1088"/>
          <cell r="I1088"/>
          <cell r="J1088"/>
          <cell r="K1088"/>
          <cell r="L1088"/>
          <cell r="M1088"/>
        </row>
        <row r="1089">
          <cell r="A1089">
            <v>20231086</v>
          </cell>
          <cell r="B1089"/>
          <cell r="C1089"/>
          <cell r="D1089"/>
          <cell r="E1089"/>
          <cell r="F1089"/>
          <cell r="G1089"/>
          <cell r="H1089"/>
          <cell r="I1089"/>
          <cell r="J1089"/>
          <cell r="K1089"/>
          <cell r="L1089"/>
          <cell r="M1089"/>
        </row>
        <row r="1090">
          <cell r="A1090">
            <v>20231087</v>
          </cell>
          <cell r="B1090"/>
          <cell r="C1090"/>
          <cell r="D1090"/>
          <cell r="E1090"/>
          <cell r="F1090"/>
          <cell r="G1090"/>
          <cell r="H1090"/>
          <cell r="I1090"/>
          <cell r="J1090"/>
          <cell r="K1090"/>
          <cell r="L1090"/>
          <cell r="M1090"/>
        </row>
        <row r="1091">
          <cell r="A1091">
            <v>20231088</v>
          </cell>
          <cell r="B1091"/>
          <cell r="C1091"/>
          <cell r="D1091"/>
          <cell r="E1091"/>
          <cell r="F1091"/>
          <cell r="G1091"/>
          <cell r="H1091"/>
          <cell r="I1091"/>
          <cell r="J1091"/>
          <cell r="K1091"/>
          <cell r="L1091"/>
          <cell r="M1091"/>
        </row>
        <row r="1092">
          <cell r="A1092">
            <v>20231089</v>
          </cell>
          <cell r="B1092"/>
          <cell r="C1092"/>
          <cell r="D1092"/>
          <cell r="E1092"/>
          <cell r="F1092"/>
          <cell r="G1092"/>
          <cell r="H1092"/>
          <cell r="I1092"/>
          <cell r="J1092"/>
          <cell r="K1092"/>
          <cell r="L1092"/>
          <cell r="M1092"/>
        </row>
        <row r="1093">
          <cell r="A1093">
            <v>20231090</v>
          </cell>
          <cell r="B1093"/>
          <cell r="C1093"/>
          <cell r="D1093"/>
          <cell r="E1093"/>
          <cell r="F1093"/>
          <cell r="G1093"/>
          <cell r="H1093"/>
          <cell r="I1093"/>
          <cell r="J1093"/>
          <cell r="K1093"/>
          <cell r="L1093"/>
          <cell r="M1093"/>
        </row>
        <row r="1094">
          <cell r="A1094">
            <v>20231091</v>
          </cell>
          <cell r="B1094"/>
          <cell r="C1094"/>
          <cell r="D1094"/>
          <cell r="E1094"/>
          <cell r="F1094"/>
          <cell r="G1094"/>
          <cell r="H1094"/>
          <cell r="I1094"/>
          <cell r="J1094"/>
          <cell r="K1094"/>
          <cell r="L1094"/>
          <cell r="M1094"/>
        </row>
        <row r="1095">
          <cell r="A1095">
            <v>20231092</v>
          </cell>
          <cell r="B1095"/>
          <cell r="C1095"/>
          <cell r="D1095"/>
          <cell r="E1095"/>
          <cell r="F1095"/>
          <cell r="G1095"/>
          <cell r="H1095"/>
          <cell r="I1095"/>
          <cell r="J1095"/>
          <cell r="K1095"/>
          <cell r="L1095"/>
          <cell r="M1095"/>
        </row>
        <row r="1096">
          <cell r="A1096">
            <v>20231093</v>
          </cell>
          <cell r="B1096"/>
          <cell r="C1096"/>
          <cell r="D1096"/>
          <cell r="E1096"/>
          <cell r="F1096"/>
          <cell r="G1096"/>
          <cell r="H1096"/>
          <cell r="I1096"/>
          <cell r="J1096"/>
          <cell r="K1096"/>
          <cell r="L1096"/>
          <cell r="M1096"/>
        </row>
        <row r="1097">
          <cell r="A1097">
            <v>20231094</v>
          </cell>
          <cell r="B1097"/>
          <cell r="C1097"/>
          <cell r="D1097"/>
          <cell r="E1097"/>
          <cell r="F1097"/>
          <cell r="G1097"/>
          <cell r="H1097"/>
          <cell r="I1097"/>
          <cell r="J1097"/>
          <cell r="K1097"/>
          <cell r="L1097"/>
          <cell r="M1097"/>
        </row>
        <row r="1098">
          <cell r="A1098">
            <v>20231095</v>
          </cell>
          <cell r="B1098"/>
          <cell r="C1098"/>
          <cell r="D1098"/>
          <cell r="E1098"/>
          <cell r="F1098"/>
          <cell r="G1098"/>
          <cell r="H1098"/>
          <cell r="I1098"/>
          <cell r="J1098"/>
          <cell r="K1098"/>
          <cell r="L1098"/>
          <cell r="M1098"/>
        </row>
        <row r="1099">
          <cell r="A1099">
            <v>20231096</v>
          </cell>
          <cell r="B1099"/>
          <cell r="C1099"/>
          <cell r="D1099"/>
          <cell r="E1099"/>
          <cell r="F1099"/>
          <cell r="G1099"/>
          <cell r="H1099"/>
          <cell r="I1099"/>
          <cell r="J1099"/>
          <cell r="K1099"/>
          <cell r="L1099"/>
          <cell r="M1099"/>
        </row>
        <row r="1100">
          <cell r="A1100">
            <v>20231097</v>
          </cell>
          <cell r="B1100"/>
          <cell r="C1100"/>
          <cell r="D1100"/>
          <cell r="E1100"/>
          <cell r="F1100"/>
          <cell r="G1100"/>
          <cell r="H1100"/>
          <cell r="I1100"/>
          <cell r="J1100"/>
          <cell r="K1100"/>
          <cell r="L1100"/>
          <cell r="M1100"/>
        </row>
        <row r="1101">
          <cell r="A1101">
            <v>20231098</v>
          </cell>
          <cell r="B1101"/>
          <cell r="C1101"/>
          <cell r="D1101"/>
          <cell r="E1101"/>
          <cell r="F1101"/>
          <cell r="G1101"/>
          <cell r="H1101"/>
          <cell r="I1101"/>
          <cell r="J1101"/>
          <cell r="K1101"/>
          <cell r="L1101"/>
          <cell r="M1101"/>
        </row>
        <row r="1102">
          <cell r="A1102">
            <v>20231099</v>
          </cell>
          <cell r="B1102"/>
          <cell r="C1102"/>
          <cell r="D1102"/>
          <cell r="E1102"/>
          <cell r="F1102"/>
          <cell r="G1102"/>
          <cell r="H1102"/>
          <cell r="I1102"/>
          <cell r="J1102"/>
          <cell r="K1102"/>
          <cell r="L1102"/>
          <cell r="M1102"/>
        </row>
        <row r="1103">
          <cell r="A1103">
            <v>20231100</v>
          </cell>
          <cell r="B1103"/>
          <cell r="C1103"/>
          <cell r="D1103"/>
          <cell r="E1103"/>
          <cell r="F1103"/>
          <cell r="G1103"/>
          <cell r="H1103"/>
          <cell r="I1103"/>
          <cell r="J1103"/>
          <cell r="K1103"/>
          <cell r="L1103"/>
          <cell r="M1103"/>
        </row>
        <row r="1104">
          <cell r="A1104">
            <v>20231101</v>
          </cell>
          <cell r="B1104"/>
          <cell r="C1104"/>
          <cell r="D1104"/>
          <cell r="E1104"/>
          <cell r="F1104"/>
          <cell r="G1104"/>
          <cell r="H1104"/>
          <cell r="I1104"/>
          <cell r="J1104"/>
          <cell r="K1104"/>
          <cell r="L1104"/>
          <cell r="M1104"/>
        </row>
        <row r="1105">
          <cell r="A1105">
            <v>20231102</v>
          </cell>
          <cell r="B1105"/>
          <cell r="C1105"/>
          <cell r="D1105"/>
          <cell r="E1105"/>
          <cell r="F1105"/>
          <cell r="G1105"/>
          <cell r="H1105"/>
          <cell r="I1105"/>
          <cell r="J1105"/>
          <cell r="K1105"/>
          <cell r="L1105"/>
          <cell r="M1105"/>
        </row>
        <row r="1106">
          <cell r="A1106">
            <v>20231103</v>
          </cell>
          <cell r="B1106"/>
          <cell r="C1106"/>
          <cell r="D1106"/>
          <cell r="E1106"/>
          <cell r="F1106"/>
          <cell r="G1106"/>
          <cell r="H1106"/>
          <cell r="I1106"/>
          <cell r="J1106"/>
          <cell r="K1106"/>
          <cell r="L1106"/>
          <cell r="M1106"/>
        </row>
        <row r="1107">
          <cell r="A1107">
            <v>20231104</v>
          </cell>
          <cell r="B1107"/>
          <cell r="C1107"/>
          <cell r="D1107"/>
          <cell r="E1107"/>
          <cell r="F1107"/>
          <cell r="G1107"/>
          <cell r="H1107"/>
          <cell r="I1107"/>
          <cell r="J1107"/>
          <cell r="K1107"/>
          <cell r="L1107"/>
          <cell r="M1107"/>
        </row>
        <row r="1108">
          <cell r="A1108">
            <v>20231105</v>
          </cell>
          <cell r="B1108"/>
          <cell r="C1108"/>
          <cell r="D1108"/>
          <cell r="E1108"/>
          <cell r="F1108"/>
          <cell r="G1108"/>
          <cell r="H1108"/>
          <cell r="I1108"/>
          <cell r="J1108"/>
          <cell r="K1108"/>
          <cell r="L1108"/>
          <cell r="M1108"/>
        </row>
        <row r="1109">
          <cell r="A1109">
            <v>20231106</v>
          </cell>
          <cell r="B1109"/>
          <cell r="C1109"/>
          <cell r="D1109"/>
          <cell r="E1109"/>
          <cell r="F1109"/>
          <cell r="G1109"/>
          <cell r="H1109"/>
          <cell r="I1109"/>
          <cell r="J1109"/>
          <cell r="K1109"/>
          <cell r="L1109"/>
          <cell r="M1109"/>
        </row>
        <row r="1110">
          <cell r="A1110">
            <v>20231107</v>
          </cell>
          <cell r="B1110"/>
          <cell r="C1110"/>
          <cell r="D1110"/>
          <cell r="E1110"/>
          <cell r="F1110"/>
          <cell r="G1110"/>
          <cell r="H1110"/>
          <cell r="I1110"/>
          <cell r="J1110"/>
          <cell r="K1110"/>
          <cell r="L1110"/>
          <cell r="M1110"/>
        </row>
        <row r="1111">
          <cell r="A1111">
            <v>20231108</v>
          </cell>
          <cell r="B1111"/>
          <cell r="C1111"/>
          <cell r="D1111"/>
          <cell r="E1111"/>
          <cell r="F1111"/>
          <cell r="G1111"/>
          <cell r="H1111"/>
          <cell r="I1111"/>
          <cell r="J1111"/>
          <cell r="K1111"/>
          <cell r="L1111"/>
          <cell r="M1111"/>
        </row>
        <row r="1112">
          <cell r="A1112">
            <v>20231109</v>
          </cell>
          <cell r="B1112"/>
          <cell r="C1112"/>
          <cell r="D1112"/>
          <cell r="E1112"/>
          <cell r="F1112"/>
          <cell r="G1112"/>
          <cell r="H1112"/>
          <cell r="I1112"/>
          <cell r="J1112"/>
          <cell r="K1112"/>
          <cell r="L1112"/>
          <cell r="M1112"/>
        </row>
        <row r="1113">
          <cell r="A1113">
            <v>20231110</v>
          </cell>
          <cell r="B1113"/>
          <cell r="C1113"/>
          <cell r="D1113"/>
          <cell r="E1113"/>
          <cell r="F1113"/>
          <cell r="G1113"/>
          <cell r="H1113"/>
          <cell r="I1113"/>
          <cell r="J1113"/>
          <cell r="K1113"/>
          <cell r="L1113"/>
          <cell r="M1113"/>
        </row>
        <row r="1114">
          <cell r="A1114">
            <v>20231111</v>
          </cell>
          <cell r="B1114"/>
          <cell r="C1114"/>
          <cell r="D1114"/>
          <cell r="E1114"/>
          <cell r="F1114"/>
          <cell r="G1114"/>
          <cell r="H1114"/>
          <cell r="I1114"/>
          <cell r="J1114"/>
          <cell r="K1114"/>
          <cell r="L1114"/>
          <cell r="M1114"/>
        </row>
        <row r="1115">
          <cell r="A1115">
            <v>20231112</v>
          </cell>
          <cell r="B1115"/>
          <cell r="C1115"/>
          <cell r="D1115"/>
          <cell r="E1115"/>
          <cell r="F1115"/>
          <cell r="G1115"/>
          <cell r="H1115"/>
          <cell r="I1115"/>
          <cell r="J1115"/>
          <cell r="K1115"/>
          <cell r="L1115"/>
          <cell r="M1115"/>
        </row>
        <row r="1116">
          <cell r="A1116">
            <v>20231113</v>
          </cell>
          <cell r="B1116"/>
          <cell r="C1116"/>
          <cell r="D1116"/>
          <cell r="E1116"/>
          <cell r="F1116"/>
          <cell r="G1116"/>
          <cell r="H1116"/>
          <cell r="I1116"/>
          <cell r="J1116"/>
          <cell r="K1116"/>
          <cell r="L1116"/>
          <cell r="M1116"/>
        </row>
        <row r="1117">
          <cell r="A1117">
            <v>20231114</v>
          </cell>
          <cell r="B1117"/>
          <cell r="C1117"/>
          <cell r="D1117"/>
          <cell r="E1117"/>
          <cell r="F1117"/>
          <cell r="G1117"/>
          <cell r="H1117"/>
          <cell r="I1117"/>
          <cell r="J1117"/>
          <cell r="K1117"/>
          <cell r="L1117"/>
          <cell r="M1117"/>
        </row>
        <row r="1118">
          <cell r="A1118">
            <v>20231115</v>
          </cell>
          <cell r="B1118"/>
          <cell r="C1118"/>
          <cell r="D1118"/>
          <cell r="E1118"/>
          <cell r="F1118"/>
          <cell r="G1118"/>
          <cell r="H1118"/>
          <cell r="I1118"/>
          <cell r="J1118"/>
          <cell r="K1118"/>
          <cell r="L1118"/>
          <cell r="M1118"/>
        </row>
        <row r="1119">
          <cell r="A1119">
            <v>20231116</v>
          </cell>
          <cell r="B1119"/>
          <cell r="C1119"/>
          <cell r="D1119"/>
          <cell r="E1119"/>
          <cell r="F1119"/>
          <cell r="G1119"/>
          <cell r="H1119"/>
          <cell r="I1119"/>
          <cell r="J1119"/>
          <cell r="K1119"/>
          <cell r="L1119"/>
          <cell r="M1119"/>
        </row>
        <row r="1120">
          <cell r="A1120">
            <v>20231117</v>
          </cell>
          <cell r="B1120"/>
          <cell r="C1120"/>
          <cell r="D1120"/>
          <cell r="E1120"/>
          <cell r="F1120"/>
          <cell r="G1120"/>
          <cell r="H1120"/>
          <cell r="I1120"/>
          <cell r="J1120"/>
          <cell r="K1120"/>
          <cell r="L1120"/>
          <cell r="M1120"/>
        </row>
        <row r="1121">
          <cell r="A1121">
            <v>20231118</v>
          </cell>
          <cell r="B1121"/>
          <cell r="C1121"/>
          <cell r="D1121"/>
          <cell r="E1121"/>
          <cell r="F1121"/>
          <cell r="G1121"/>
          <cell r="H1121"/>
          <cell r="I1121"/>
          <cell r="J1121"/>
          <cell r="K1121"/>
          <cell r="L1121"/>
          <cell r="M1121"/>
        </row>
        <row r="1122">
          <cell r="A1122">
            <v>20231119</v>
          </cell>
          <cell r="B1122"/>
          <cell r="C1122"/>
          <cell r="D1122"/>
          <cell r="E1122"/>
          <cell r="F1122"/>
          <cell r="G1122"/>
          <cell r="H1122"/>
          <cell r="I1122"/>
          <cell r="J1122"/>
          <cell r="K1122"/>
          <cell r="L1122"/>
          <cell r="M1122"/>
        </row>
        <row r="1123">
          <cell r="A1123">
            <v>20231120</v>
          </cell>
          <cell r="B1123"/>
          <cell r="C1123"/>
          <cell r="D1123"/>
          <cell r="E1123"/>
          <cell r="F1123"/>
          <cell r="G1123"/>
          <cell r="H1123"/>
          <cell r="I1123"/>
          <cell r="J1123"/>
          <cell r="K1123"/>
          <cell r="L1123"/>
          <cell r="M1123"/>
        </row>
        <row r="1124">
          <cell r="A1124">
            <v>20231121</v>
          </cell>
          <cell r="B1124"/>
          <cell r="C1124"/>
          <cell r="D1124"/>
          <cell r="E1124"/>
          <cell r="F1124"/>
          <cell r="G1124"/>
          <cell r="H1124"/>
          <cell r="I1124"/>
          <cell r="J1124"/>
          <cell r="K1124"/>
          <cell r="L1124"/>
          <cell r="M1124"/>
        </row>
        <row r="1125">
          <cell r="A1125">
            <v>20231122</v>
          </cell>
          <cell r="B1125"/>
          <cell r="C1125"/>
          <cell r="D1125"/>
          <cell r="E1125"/>
          <cell r="F1125"/>
          <cell r="G1125"/>
          <cell r="H1125"/>
          <cell r="I1125"/>
          <cell r="J1125"/>
          <cell r="K1125"/>
          <cell r="L1125"/>
          <cell r="M1125"/>
        </row>
        <row r="1126">
          <cell r="A1126">
            <v>20231123</v>
          </cell>
          <cell r="B1126"/>
          <cell r="C1126"/>
          <cell r="D1126"/>
          <cell r="E1126"/>
          <cell r="F1126"/>
          <cell r="G1126"/>
          <cell r="H1126"/>
          <cell r="I1126"/>
          <cell r="J1126"/>
          <cell r="K1126"/>
          <cell r="L1126"/>
          <cell r="M1126"/>
        </row>
        <row r="1127">
          <cell r="A1127">
            <v>20231124</v>
          </cell>
          <cell r="B1127"/>
          <cell r="C1127"/>
          <cell r="D1127"/>
          <cell r="E1127"/>
          <cell r="F1127"/>
          <cell r="G1127"/>
          <cell r="H1127"/>
          <cell r="I1127"/>
          <cell r="J1127"/>
          <cell r="K1127"/>
          <cell r="L1127"/>
          <cell r="M1127"/>
        </row>
        <row r="1128">
          <cell r="A1128">
            <v>20231125</v>
          </cell>
          <cell r="B1128"/>
          <cell r="C1128"/>
          <cell r="D1128"/>
          <cell r="E1128"/>
          <cell r="F1128"/>
          <cell r="G1128"/>
          <cell r="H1128"/>
          <cell r="I1128"/>
          <cell r="J1128"/>
          <cell r="K1128"/>
          <cell r="L1128"/>
          <cell r="M1128"/>
        </row>
        <row r="1129">
          <cell r="A1129">
            <v>20231126</v>
          </cell>
          <cell r="B1129"/>
          <cell r="C1129"/>
          <cell r="D1129"/>
          <cell r="E1129"/>
          <cell r="F1129"/>
          <cell r="G1129"/>
          <cell r="H1129"/>
          <cell r="I1129"/>
          <cell r="J1129"/>
          <cell r="K1129"/>
          <cell r="L1129"/>
          <cell r="M1129"/>
        </row>
        <row r="1130">
          <cell r="A1130">
            <v>20231127</v>
          </cell>
          <cell r="B1130"/>
          <cell r="C1130"/>
          <cell r="D1130"/>
          <cell r="E1130"/>
          <cell r="F1130"/>
          <cell r="G1130"/>
          <cell r="H1130"/>
          <cell r="I1130"/>
          <cell r="J1130"/>
          <cell r="K1130"/>
          <cell r="L1130"/>
          <cell r="M1130"/>
        </row>
        <row r="1131">
          <cell r="A1131">
            <v>20231128</v>
          </cell>
          <cell r="B1131"/>
          <cell r="C1131"/>
          <cell r="D1131"/>
          <cell r="E1131"/>
          <cell r="F1131"/>
          <cell r="G1131"/>
          <cell r="H1131"/>
          <cell r="I1131"/>
          <cell r="J1131"/>
          <cell r="K1131"/>
          <cell r="L1131"/>
          <cell r="M1131"/>
        </row>
        <row r="1132">
          <cell r="A1132">
            <v>20231129</v>
          </cell>
          <cell r="B1132"/>
          <cell r="C1132"/>
          <cell r="D1132"/>
          <cell r="E1132"/>
          <cell r="F1132"/>
          <cell r="G1132"/>
          <cell r="H1132"/>
          <cell r="I1132"/>
          <cell r="J1132"/>
          <cell r="K1132"/>
          <cell r="L1132"/>
          <cell r="M1132"/>
        </row>
        <row r="1133">
          <cell r="A1133">
            <v>20231130</v>
          </cell>
          <cell r="B1133"/>
          <cell r="C1133"/>
          <cell r="D1133"/>
          <cell r="E1133"/>
          <cell r="F1133"/>
          <cell r="G1133"/>
          <cell r="H1133"/>
          <cell r="I1133"/>
          <cell r="J1133"/>
          <cell r="K1133"/>
          <cell r="L1133"/>
          <cell r="M1133"/>
        </row>
        <row r="1134">
          <cell r="A1134">
            <v>20231131</v>
          </cell>
          <cell r="B1134"/>
          <cell r="C1134"/>
          <cell r="D1134"/>
          <cell r="E1134"/>
          <cell r="F1134"/>
          <cell r="G1134"/>
          <cell r="H1134"/>
          <cell r="I1134"/>
          <cell r="J1134"/>
          <cell r="K1134"/>
          <cell r="L1134"/>
          <cell r="M1134"/>
        </row>
        <row r="1135">
          <cell r="A1135">
            <v>20231132</v>
          </cell>
          <cell r="B1135"/>
          <cell r="C1135"/>
          <cell r="D1135"/>
          <cell r="E1135"/>
          <cell r="F1135"/>
          <cell r="G1135"/>
          <cell r="H1135"/>
          <cell r="I1135"/>
          <cell r="J1135"/>
          <cell r="K1135"/>
          <cell r="L1135"/>
          <cell r="M1135"/>
        </row>
        <row r="1136">
          <cell r="A1136">
            <v>20231133</v>
          </cell>
          <cell r="B1136"/>
          <cell r="C1136"/>
          <cell r="D1136"/>
          <cell r="E1136"/>
          <cell r="F1136"/>
          <cell r="G1136"/>
          <cell r="H1136"/>
          <cell r="I1136"/>
          <cell r="J1136"/>
          <cell r="K1136"/>
          <cell r="L1136"/>
          <cell r="M1136"/>
        </row>
        <row r="1137">
          <cell r="A1137">
            <v>20231134</v>
          </cell>
          <cell r="B1137"/>
          <cell r="C1137"/>
          <cell r="D1137"/>
          <cell r="E1137"/>
          <cell r="F1137"/>
          <cell r="G1137"/>
          <cell r="H1137"/>
          <cell r="I1137"/>
          <cell r="J1137"/>
          <cell r="K1137"/>
          <cell r="L1137"/>
          <cell r="M1137"/>
        </row>
        <row r="1138">
          <cell r="A1138">
            <v>20231135</v>
          </cell>
          <cell r="B1138"/>
          <cell r="C1138"/>
          <cell r="D1138"/>
          <cell r="E1138"/>
          <cell r="F1138"/>
          <cell r="G1138"/>
          <cell r="H1138"/>
          <cell r="I1138"/>
          <cell r="J1138"/>
          <cell r="K1138"/>
          <cell r="L1138"/>
          <cell r="M1138"/>
        </row>
        <row r="1139">
          <cell r="A1139">
            <v>20231136</v>
          </cell>
          <cell r="B1139"/>
          <cell r="C1139"/>
          <cell r="D1139"/>
          <cell r="E1139"/>
          <cell r="F1139"/>
          <cell r="G1139"/>
          <cell r="H1139"/>
          <cell r="I1139"/>
          <cell r="J1139"/>
          <cell r="K1139"/>
          <cell r="L1139"/>
          <cell r="M1139"/>
        </row>
        <row r="1140">
          <cell r="A1140">
            <v>20231137</v>
          </cell>
          <cell r="B1140"/>
          <cell r="C1140"/>
          <cell r="D1140"/>
          <cell r="E1140"/>
          <cell r="F1140"/>
          <cell r="G1140"/>
          <cell r="H1140"/>
          <cell r="I1140"/>
          <cell r="J1140"/>
          <cell r="K1140"/>
          <cell r="L1140"/>
          <cell r="M1140"/>
        </row>
        <row r="1141">
          <cell r="A1141">
            <v>20231138</v>
          </cell>
          <cell r="B1141"/>
          <cell r="C1141"/>
          <cell r="D1141"/>
          <cell r="E1141"/>
          <cell r="F1141"/>
          <cell r="G1141"/>
          <cell r="H1141"/>
          <cell r="I1141"/>
          <cell r="J1141"/>
          <cell r="K1141"/>
          <cell r="L1141"/>
          <cell r="M1141"/>
        </row>
        <row r="1142">
          <cell r="A1142">
            <v>20231139</v>
          </cell>
          <cell r="B1142"/>
          <cell r="C1142"/>
          <cell r="D1142"/>
          <cell r="E1142"/>
          <cell r="F1142"/>
          <cell r="G1142"/>
          <cell r="H1142"/>
          <cell r="I1142"/>
          <cell r="J1142"/>
          <cell r="K1142"/>
          <cell r="L1142"/>
          <cell r="M1142"/>
        </row>
        <row r="1143">
          <cell r="A1143">
            <v>20231140</v>
          </cell>
          <cell r="B1143"/>
          <cell r="C1143"/>
          <cell r="D1143"/>
          <cell r="E1143"/>
          <cell r="F1143"/>
          <cell r="G1143"/>
          <cell r="H1143"/>
          <cell r="I1143"/>
          <cell r="J1143"/>
          <cell r="K1143"/>
          <cell r="L1143"/>
          <cell r="M1143"/>
        </row>
        <row r="1144">
          <cell r="A1144">
            <v>20231141</v>
          </cell>
          <cell r="B1144"/>
          <cell r="C1144"/>
          <cell r="D1144"/>
          <cell r="E1144"/>
          <cell r="F1144"/>
          <cell r="G1144"/>
          <cell r="H1144"/>
          <cell r="I1144"/>
          <cell r="J1144"/>
          <cell r="K1144"/>
          <cell r="L1144"/>
          <cell r="M1144"/>
        </row>
        <row r="1145">
          <cell r="A1145">
            <v>20231142</v>
          </cell>
          <cell r="B1145"/>
          <cell r="C1145"/>
          <cell r="D1145"/>
          <cell r="E1145"/>
          <cell r="F1145"/>
          <cell r="G1145"/>
          <cell r="H1145"/>
          <cell r="I1145"/>
          <cell r="J1145"/>
          <cell r="K1145"/>
          <cell r="L1145"/>
          <cell r="M1145"/>
        </row>
        <row r="1146">
          <cell r="A1146">
            <v>20231143</v>
          </cell>
          <cell r="B1146"/>
          <cell r="C1146"/>
          <cell r="D1146"/>
          <cell r="E1146"/>
          <cell r="F1146"/>
          <cell r="G1146"/>
          <cell r="H1146"/>
          <cell r="I1146"/>
          <cell r="J1146"/>
          <cell r="K1146"/>
          <cell r="L1146"/>
          <cell r="M1146"/>
        </row>
        <row r="1147">
          <cell r="A1147">
            <v>20231144</v>
          </cell>
          <cell r="B1147"/>
          <cell r="C1147"/>
          <cell r="D1147"/>
          <cell r="E1147"/>
          <cell r="F1147"/>
          <cell r="G1147"/>
          <cell r="H1147"/>
          <cell r="I1147"/>
          <cell r="J1147"/>
          <cell r="K1147"/>
          <cell r="L1147"/>
          <cell r="M1147"/>
        </row>
        <row r="1148">
          <cell r="A1148">
            <v>20231145</v>
          </cell>
          <cell r="B1148"/>
          <cell r="C1148"/>
          <cell r="D1148"/>
          <cell r="E1148"/>
          <cell r="F1148"/>
          <cell r="G1148"/>
          <cell r="H1148"/>
          <cell r="I1148"/>
          <cell r="J1148"/>
          <cell r="K1148"/>
          <cell r="L1148"/>
          <cell r="M1148"/>
        </row>
        <row r="1149">
          <cell r="A1149">
            <v>20231146</v>
          </cell>
          <cell r="B1149"/>
          <cell r="C1149"/>
          <cell r="D1149"/>
          <cell r="E1149"/>
          <cell r="F1149"/>
          <cell r="G1149"/>
          <cell r="H1149"/>
          <cell r="I1149"/>
          <cell r="J1149"/>
          <cell r="K1149"/>
          <cell r="L1149"/>
          <cell r="M1149"/>
        </row>
        <row r="1150">
          <cell r="A1150">
            <v>20231147</v>
          </cell>
          <cell r="B1150"/>
          <cell r="C1150"/>
          <cell r="D1150"/>
          <cell r="E1150"/>
          <cell r="F1150"/>
          <cell r="G1150"/>
          <cell r="H1150"/>
          <cell r="I1150"/>
          <cell r="J1150"/>
          <cell r="K1150"/>
          <cell r="L1150"/>
          <cell r="M1150"/>
        </row>
        <row r="1151">
          <cell r="A1151">
            <v>20231148</v>
          </cell>
          <cell r="B1151"/>
          <cell r="C1151"/>
          <cell r="D1151"/>
          <cell r="E1151"/>
          <cell r="F1151"/>
          <cell r="G1151"/>
          <cell r="H1151"/>
          <cell r="I1151"/>
          <cell r="J1151"/>
          <cell r="K1151"/>
          <cell r="L1151"/>
          <cell r="M1151"/>
        </row>
        <row r="1152">
          <cell r="A1152">
            <v>20231149</v>
          </cell>
          <cell r="B1152"/>
          <cell r="C1152"/>
          <cell r="D1152"/>
          <cell r="E1152"/>
          <cell r="F1152"/>
          <cell r="G1152"/>
          <cell r="H1152"/>
          <cell r="I1152"/>
          <cell r="J1152"/>
          <cell r="K1152"/>
          <cell r="L1152"/>
          <cell r="M1152"/>
        </row>
        <row r="1153">
          <cell r="A1153">
            <v>20231150</v>
          </cell>
          <cell r="B1153"/>
          <cell r="C1153"/>
          <cell r="D1153"/>
          <cell r="E1153"/>
          <cell r="F1153"/>
          <cell r="G1153"/>
          <cell r="H1153"/>
          <cell r="I1153"/>
          <cell r="J1153"/>
          <cell r="K1153"/>
          <cell r="L1153"/>
          <cell r="M1153"/>
        </row>
        <row r="1154">
          <cell r="A1154">
            <v>20231151</v>
          </cell>
          <cell r="B1154"/>
          <cell r="C1154"/>
          <cell r="D1154"/>
          <cell r="E1154"/>
          <cell r="F1154"/>
          <cell r="G1154"/>
          <cell r="H1154"/>
          <cell r="I1154"/>
          <cell r="J1154"/>
          <cell r="K1154"/>
          <cell r="L1154"/>
          <cell r="M1154"/>
        </row>
        <row r="1155">
          <cell r="A1155">
            <v>20231152</v>
          </cell>
          <cell r="B1155"/>
          <cell r="C1155"/>
          <cell r="D1155"/>
          <cell r="E1155"/>
          <cell r="F1155"/>
          <cell r="G1155"/>
          <cell r="H1155"/>
          <cell r="I1155"/>
          <cell r="J1155"/>
          <cell r="K1155"/>
          <cell r="L1155"/>
          <cell r="M1155"/>
        </row>
        <row r="1156">
          <cell r="A1156">
            <v>20231153</v>
          </cell>
          <cell r="B1156"/>
          <cell r="C1156"/>
          <cell r="D1156"/>
          <cell r="E1156"/>
          <cell r="F1156"/>
          <cell r="G1156"/>
          <cell r="H1156"/>
          <cell r="I1156"/>
          <cell r="J1156"/>
          <cell r="K1156"/>
          <cell r="L1156"/>
          <cell r="M1156"/>
        </row>
        <row r="1157">
          <cell r="A1157">
            <v>20231154</v>
          </cell>
          <cell r="B1157"/>
          <cell r="C1157"/>
          <cell r="D1157"/>
          <cell r="E1157"/>
          <cell r="F1157"/>
          <cell r="G1157"/>
          <cell r="H1157"/>
          <cell r="I1157"/>
          <cell r="J1157"/>
          <cell r="K1157"/>
          <cell r="L1157"/>
          <cell r="M1157"/>
        </row>
        <row r="1158">
          <cell r="A1158">
            <v>20231155</v>
          </cell>
          <cell r="B1158"/>
          <cell r="C1158"/>
          <cell r="D1158"/>
          <cell r="E1158"/>
          <cell r="F1158"/>
          <cell r="G1158"/>
          <cell r="H1158"/>
          <cell r="I1158"/>
          <cell r="J1158"/>
          <cell r="K1158"/>
          <cell r="L1158"/>
          <cell r="M1158"/>
        </row>
        <row r="1159">
          <cell r="A1159">
            <v>20231156</v>
          </cell>
          <cell r="B1159"/>
          <cell r="C1159"/>
          <cell r="D1159"/>
          <cell r="E1159"/>
          <cell r="F1159"/>
          <cell r="G1159"/>
          <cell r="H1159"/>
          <cell r="I1159"/>
          <cell r="J1159"/>
          <cell r="K1159"/>
          <cell r="L1159"/>
          <cell r="M1159"/>
        </row>
        <row r="1160">
          <cell r="A1160">
            <v>20231157</v>
          </cell>
          <cell r="B1160"/>
          <cell r="C1160"/>
          <cell r="D1160"/>
          <cell r="E1160"/>
          <cell r="F1160"/>
          <cell r="G1160"/>
          <cell r="H1160"/>
          <cell r="I1160"/>
          <cell r="J1160"/>
          <cell r="K1160"/>
          <cell r="L1160"/>
          <cell r="M1160"/>
        </row>
        <row r="1161">
          <cell r="A1161">
            <v>20231158</v>
          </cell>
          <cell r="B1161"/>
          <cell r="C1161"/>
          <cell r="D1161"/>
          <cell r="E1161"/>
          <cell r="F1161"/>
          <cell r="G1161"/>
          <cell r="H1161"/>
          <cell r="I1161"/>
          <cell r="J1161"/>
          <cell r="K1161"/>
          <cell r="L1161"/>
          <cell r="M1161"/>
        </row>
        <row r="1162">
          <cell r="A1162">
            <v>20231159</v>
          </cell>
          <cell r="B1162"/>
          <cell r="C1162"/>
          <cell r="D1162"/>
          <cell r="E1162"/>
          <cell r="F1162"/>
          <cell r="G1162"/>
          <cell r="H1162"/>
          <cell r="I1162"/>
          <cell r="J1162"/>
          <cell r="K1162"/>
          <cell r="L1162"/>
          <cell r="M1162"/>
        </row>
        <row r="1163">
          <cell r="A1163">
            <v>20231160</v>
          </cell>
          <cell r="B1163"/>
          <cell r="C1163"/>
          <cell r="D1163"/>
          <cell r="E1163"/>
          <cell r="F1163"/>
          <cell r="G1163"/>
          <cell r="H1163"/>
          <cell r="I1163"/>
          <cell r="J1163"/>
          <cell r="K1163"/>
          <cell r="L1163"/>
          <cell r="M1163"/>
        </row>
        <row r="1164">
          <cell r="A1164">
            <v>20231161</v>
          </cell>
          <cell r="B1164"/>
          <cell r="C1164"/>
          <cell r="D1164"/>
          <cell r="E1164"/>
          <cell r="F1164"/>
          <cell r="G1164"/>
          <cell r="H1164"/>
          <cell r="I1164"/>
          <cell r="J1164"/>
          <cell r="K1164"/>
          <cell r="L1164"/>
          <cell r="M1164"/>
        </row>
        <row r="1165">
          <cell r="A1165">
            <v>20231162</v>
          </cell>
          <cell r="B1165"/>
          <cell r="C1165"/>
          <cell r="D1165"/>
          <cell r="E1165"/>
          <cell r="F1165"/>
          <cell r="G1165"/>
          <cell r="H1165"/>
          <cell r="I1165"/>
          <cell r="J1165"/>
          <cell r="K1165"/>
          <cell r="L1165"/>
          <cell r="M1165"/>
        </row>
        <row r="1166">
          <cell r="A1166">
            <v>20231163</v>
          </cell>
          <cell r="B1166"/>
          <cell r="C1166"/>
          <cell r="D1166"/>
          <cell r="E1166"/>
          <cell r="F1166"/>
          <cell r="G1166"/>
          <cell r="H1166"/>
          <cell r="I1166"/>
          <cell r="J1166"/>
          <cell r="K1166"/>
          <cell r="L1166"/>
          <cell r="M1166"/>
        </row>
        <row r="1167">
          <cell r="A1167">
            <v>20231164</v>
          </cell>
          <cell r="B1167"/>
          <cell r="C1167"/>
          <cell r="D1167"/>
          <cell r="E1167"/>
          <cell r="F1167"/>
          <cell r="G1167"/>
          <cell r="H1167"/>
          <cell r="I1167"/>
          <cell r="J1167"/>
          <cell r="K1167"/>
          <cell r="L1167"/>
          <cell r="M1167"/>
        </row>
        <row r="1168">
          <cell r="A1168">
            <v>20231165</v>
          </cell>
          <cell r="B1168"/>
          <cell r="C1168"/>
          <cell r="D1168"/>
          <cell r="E1168"/>
          <cell r="F1168"/>
          <cell r="G1168"/>
          <cell r="H1168"/>
          <cell r="I1168"/>
          <cell r="J1168"/>
          <cell r="K1168"/>
          <cell r="L1168"/>
          <cell r="M1168"/>
        </row>
        <row r="1169">
          <cell r="A1169">
            <v>20231166</v>
          </cell>
          <cell r="B1169"/>
          <cell r="C1169"/>
          <cell r="D1169"/>
          <cell r="E1169"/>
          <cell r="F1169"/>
          <cell r="G1169"/>
          <cell r="H1169"/>
          <cell r="I1169"/>
          <cell r="J1169"/>
          <cell r="K1169"/>
          <cell r="L1169"/>
          <cell r="M1169"/>
        </row>
        <row r="1170">
          <cell r="A1170">
            <v>20231167</v>
          </cell>
          <cell r="B1170"/>
          <cell r="C1170"/>
          <cell r="D1170"/>
          <cell r="E1170"/>
          <cell r="F1170"/>
          <cell r="G1170"/>
          <cell r="H1170"/>
          <cell r="I1170"/>
          <cell r="J1170"/>
          <cell r="K1170"/>
          <cell r="L1170"/>
          <cell r="M1170"/>
        </row>
        <row r="1171">
          <cell r="A1171">
            <v>20231168</v>
          </cell>
          <cell r="B1171"/>
          <cell r="C1171"/>
          <cell r="D1171"/>
          <cell r="E1171"/>
          <cell r="F1171"/>
          <cell r="G1171"/>
          <cell r="H1171"/>
          <cell r="I1171"/>
          <cell r="J1171"/>
          <cell r="K1171"/>
          <cell r="L1171"/>
          <cell r="M1171"/>
        </row>
        <row r="1172">
          <cell r="A1172">
            <v>20231169</v>
          </cell>
          <cell r="B1172"/>
          <cell r="C1172"/>
          <cell r="D1172"/>
          <cell r="E1172"/>
          <cell r="F1172"/>
          <cell r="G1172"/>
          <cell r="H1172"/>
          <cell r="I1172"/>
          <cell r="J1172"/>
          <cell r="K1172"/>
          <cell r="L1172"/>
          <cell r="M1172"/>
        </row>
        <row r="1173">
          <cell r="A1173">
            <v>20231170</v>
          </cell>
          <cell r="B1173"/>
          <cell r="C1173"/>
          <cell r="D1173"/>
          <cell r="E1173"/>
          <cell r="F1173"/>
          <cell r="G1173"/>
          <cell r="H1173"/>
          <cell r="I1173"/>
          <cell r="J1173"/>
          <cell r="K1173"/>
          <cell r="L1173"/>
          <cell r="M1173"/>
        </row>
        <row r="1174">
          <cell r="A1174">
            <v>20231171</v>
          </cell>
          <cell r="B1174"/>
          <cell r="C1174"/>
          <cell r="D1174"/>
          <cell r="E1174"/>
          <cell r="F1174"/>
          <cell r="G1174"/>
          <cell r="H1174"/>
          <cell r="I1174"/>
          <cell r="J1174"/>
          <cell r="K1174"/>
          <cell r="L1174"/>
          <cell r="M1174"/>
        </row>
        <row r="1175">
          <cell r="A1175">
            <v>20231172</v>
          </cell>
          <cell r="B1175"/>
          <cell r="C1175"/>
          <cell r="D1175"/>
          <cell r="E1175"/>
          <cell r="F1175"/>
          <cell r="G1175"/>
          <cell r="H1175"/>
          <cell r="I1175"/>
          <cell r="J1175"/>
          <cell r="K1175"/>
          <cell r="L1175"/>
          <cell r="M1175"/>
        </row>
        <row r="1176">
          <cell r="A1176">
            <v>20231173</v>
          </cell>
          <cell r="B1176"/>
          <cell r="C1176"/>
          <cell r="D1176"/>
          <cell r="E1176"/>
          <cell r="F1176"/>
          <cell r="G1176"/>
          <cell r="H1176"/>
          <cell r="I1176"/>
          <cell r="J1176"/>
          <cell r="K1176"/>
          <cell r="L1176"/>
          <cell r="M1176"/>
        </row>
        <row r="1177">
          <cell r="A1177">
            <v>20231174</v>
          </cell>
          <cell r="B1177"/>
          <cell r="C1177"/>
          <cell r="D1177"/>
          <cell r="E1177"/>
          <cell r="F1177"/>
          <cell r="G1177"/>
          <cell r="H1177"/>
          <cell r="I1177"/>
          <cell r="J1177"/>
          <cell r="K1177"/>
          <cell r="L1177"/>
          <cell r="M1177"/>
        </row>
        <row r="1178">
          <cell r="A1178">
            <v>20231175</v>
          </cell>
          <cell r="B1178"/>
          <cell r="C1178"/>
          <cell r="D1178"/>
          <cell r="E1178"/>
          <cell r="F1178"/>
          <cell r="G1178"/>
          <cell r="H1178"/>
          <cell r="I1178"/>
          <cell r="J1178"/>
          <cell r="K1178"/>
          <cell r="L1178"/>
          <cell r="M1178"/>
        </row>
        <row r="1179">
          <cell r="A1179">
            <v>20231176</v>
          </cell>
          <cell r="B1179"/>
          <cell r="C1179"/>
          <cell r="D1179"/>
          <cell r="E1179"/>
          <cell r="F1179"/>
          <cell r="G1179"/>
          <cell r="H1179"/>
          <cell r="I1179"/>
          <cell r="J1179"/>
          <cell r="K1179"/>
          <cell r="L1179"/>
          <cell r="M1179"/>
        </row>
        <row r="1180">
          <cell r="A1180">
            <v>20231177</v>
          </cell>
          <cell r="B1180"/>
          <cell r="C1180"/>
          <cell r="D1180"/>
          <cell r="E1180"/>
          <cell r="F1180"/>
          <cell r="G1180"/>
          <cell r="H1180"/>
          <cell r="I1180"/>
          <cell r="J1180"/>
          <cell r="K1180"/>
          <cell r="L1180"/>
          <cell r="M1180"/>
        </row>
        <row r="1181">
          <cell r="A1181">
            <v>20231178</v>
          </cell>
          <cell r="B1181"/>
          <cell r="C1181"/>
          <cell r="D1181"/>
          <cell r="E1181"/>
          <cell r="F1181"/>
          <cell r="G1181"/>
          <cell r="H1181"/>
          <cell r="I1181"/>
          <cell r="J1181"/>
          <cell r="K1181"/>
          <cell r="L1181"/>
          <cell r="M1181"/>
        </row>
        <row r="1182">
          <cell r="A1182">
            <v>20231179</v>
          </cell>
          <cell r="B1182"/>
          <cell r="C1182"/>
          <cell r="D1182"/>
          <cell r="E1182"/>
          <cell r="F1182"/>
          <cell r="G1182"/>
          <cell r="H1182"/>
          <cell r="I1182"/>
          <cell r="J1182"/>
          <cell r="K1182"/>
          <cell r="L1182"/>
          <cell r="M1182"/>
        </row>
        <row r="1183">
          <cell r="A1183">
            <v>20231180</v>
          </cell>
          <cell r="B1183"/>
          <cell r="C1183"/>
          <cell r="D1183"/>
          <cell r="E1183"/>
          <cell r="F1183"/>
          <cell r="G1183"/>
          <cell r="H1183"/>
          <cell r="I1183"/>
          <cell r="J1183"/>
          <cell r="K1183"/>
          <cell r="L1183"/>
          <cell r="M1183"/>
        </row>
        <row r="1184">
          <cell r="A1184">
            <v>20231181</v>
          </cell>
          <cell r="B1184"/>
          <cell r="C1184"/>
          <cell r="D1184"/>
          <cell r="E1184"/>
          <cell r="F1184"/>
          <cell r="G1184"/>
          <cell r="H1184"/>
          <cell r="I1184"/>
          <cell r="J1184"/>
          <cell r="K1184"/>
          <cell r="L1184"/>
          <cell r="M1184"/>
        </row>
        <row r="1185">
          <cell r="A1185">
            <v>20231182</v>
          </cell>
          <cell r="B1185"/>
          <cell r="C1185"/>
          <cell r="D1185"/>
          <cell r="E1185"/>
          <cell r="F1185"/>
          <cell r="G1185"/>
          <cell r="H1185"/>
          <cell r="I1185"/>
          <cell r="J1185"/>
          <cell r="K1185"/>
          <cell r="L1185"/>
          <cell r="M1185"/>
        </row>
        <row r="1186">
          <cell r="A1186">
            <v>20231183</v>
          </cell>
          <cell r="B1186"/>
          <cell r="C1186"/>
          <cell r="D1186"/>
          <cell r="E1186"/>
          <cell r="F1186"/>
          <cell r="G1186"/>
          <cell r="H1186"/>
          <cell r="I1186"/>
          <cell r="J1186"/>
          <cell r="K1186"/>
          <cell r="L1186"/>
          <cell r="M1186"/>
        </row>
        <row r="1187">
          <cell r="A1187">
            <v>20231184</v>
          </cell>
          <cell r="B1187"/>
          <cell r="C1187"/>
          <cell r="D1187"/>
          <cell r="E1187"/>
          <cell r="F1187"/>
          <cell r="G1187"/>
          <cell r="H1187"/>
          <cell r="I1187"/>
          <cell r="J1187"/>
          <cell r="K1187"/>
          <cell r="L1187"/>
          <cell r="M1187"/>
        </row>
        <row r="1188">
          <cell r="A1188">
            <v>20231185</v>
          </cell>
          <cell r="B1188"/>
          <cell r="C1188"/>
          <cell r="D1188"/>
          <cell r="E1188"/>
          <cell r="F1188"/>
          <cell r="G1188"/>
          <cell r="H1188"/>
          <cell r="I1188"/>
          <cell r="J1188"/>
          <cell r="K1188"/>
          <cell r="L1188"/>
          <cell r="M1188"/>
        </row>
        <row r="1189">
          <cell r="A1189">
            <v>20231186</v>
          </cell>
          <cell r="B1189"/>
          <cell r="C1189"/>
          <cell r="D1189"/>
          <cell r="E1189"/>
          <cell r="F1189"/>
          <cell r="G1189"/>
          <cell r="H1189"/>
          <cell r="I1189"/>
          <cell r="J1189"/>
          <cell r="K1189"/>
          <cell r="L1189"/>
          <cell r="M1189"/>
        </row>
        <row r="1190">
          <cell r="A1190">
            <v>20231187</v>
          </cell>
          <cell r="B1190"/>
          <cell r="C1190"/>
          <cell r="D1190"/>
          <cell r="E1190"/>
          <cell r="F1190"/>
          <cell r="G1190"/>
          <cell r="H1190"/>
          <cell r="I1190"/>
          <cell r="J1190"/>
          <cell r="K1190"/>
          <cell r="L1190"/>
          <cell r="M1190"/>
        </row>
        <row r="1191">
          <cell r="A1191">
            <v>20231188</v>
          </cell>
          <cell r="B1191"/>
          <cell r="C1191"/>
          <cell r="D1191"/>
          <cell r="E1191"/>
          <cell r="F1191"/>
          <cell r="G1191"/>
          <cell r="H1191"/>
          <cell r="I1191"/>
          <cell r="J1191"/>
          <cell r="K1191"/>
          <cell r="L1191"/>
          <cell r="M1191"/>
        </row>
        <row r="1192">
          <cell r="A1192">
            <v>20231189</v>
          </cell>
          <cell r="B1192"/>
          <cell r="C1192"/>
          <cell r="D1192"/>
          <cell r="E1192"/>
          <cell r="F1192"/>
          <cell r="G1192"/>
          <cell r="H1192"/>
          <cell r="I1192"/>
          <cell r="J1192"/>
          <cell r="K1192"/>
          <cell r="L1192"/>
          <cell r="M1192"/>
        </row>
        <row r="1193">
          <cell r="A1193">
            <v>20231190</v>
          </cell>
          <cell r="B1193"/>
          <cell r="C1193"/>
          <cell r="D1193"/>
          <cell r="E1193"/>
          <cell r="F1193"/>
          <cell r="G1193"/>
          <cell r="H1193"/>
          <cell r="I1193"/>
          <cell r="J1193"/>
          <cell r="K1193"/>
          <cell r="L1193"/>
          <cell r="M1193"/>
        </row>
        <row r="1194">
          <cell r="A1194">
            <v>20231191</v>
          </cell>
          <cell r="B1194"/>
          <cell r="C1194"/>
          <cell r="D1194"/>
          <cell r="E1194"/>
          <cell r="F1194"/>
          <cell r="G1194"/>
          <cell r="H1194"/>
          <cell r="I1194"/>
          <cell r="J1194"/>
          <cell r="K1194"/>
          <cell r="L1194"/>
          <cell r="M1194"/>
        </row>
        <row r="1195">
          <cell r="A1195">
            <v>20231192</v>
          </cell>
          <cell r="B1195"/>
          <cell r="C1195"/>
          <cell r="D1195"/>
          <cell r="E1195"/>
          <cell r="F1195"/>
          <cell r="G1195"/>
          <cell r="H1195"/>
          <cell r="I1195"/>
          <cell r="J1195"/>
          <cell r="K1195"/>
          <cell r="L1195"/>
          <cell r="M1195"/>
        </row>
        <row r="1196">
          <cell r="A1196">
            <v>20231193</v>
          </cell>
          <cell r="B1196"/>
          <cell r="C1196"/>
          <cell r="D1196"/>
          <cell r="E1196"/>
          <cell r="F1196"/>
          <cell r="G1196"/>
          <cell r="H1196"/>
          <cell r="I1196"/>
          <cell r="J1196"/>
          <cell r="K1196"/>
          <cell r="L1196"/>
          <cell r="M1196"/>
        </row>
        <row r="1197">
          <cell r="A1197">
            <v>20231194</v>
          </cell>
          <cell r="B1197"/>
          <cell r="C1197"/>
          <cell r="D1197"/>
          <cell r="E1197"/>
          <cell r="F1197"/>
          <cell r="G1197"/>
          <cell r="H1197"/>
          <cell r="I1197"/>
          <cell r="J1197"/>
          <cell r="K1197"/>
          <cell r="L1197"/>
          <cell r="M1197"/>
        </row>
        <row r="1198">
          <cell r="A1198">
            <v>20231195</v>
          </cell>
          <cell r="B1198"/>
          <cell r="C1198"/>
          <cell r="D1198"/>
          <cell r="E1198"/>
          <cell r="F1198"/>
          <cell r="G1198"/>
          <cell r="H1198"/>
          <cell r="I1198"/>
          <cell r="J1198"/>
          <cell r="K1198"/>
          <cell r="L1198"/>
          <cell r="M1198"/>
        </row>
        <row r="1199">
          <cell r="A1199">
            <v>20231196</v>
          </cell>
          <cell r="B1199"/>
          <cell r="C1199"/>
          <cell r="D1199"/>
          <cell r="E1199"/>
          <cell r="F1199"/>
          <cell r="G1199"/>
          <cell r="H1199"/>
          <cell r="I1199"/>
          <cell r="J1199"/>
          <cell r="K1199"/>
          <cell r="L1199"/>
          <cell r="M1199"/>
        </row>
        <row r="1200">
          <cell r="A1200">
            <v>20231197</v>
          </cell>
          <cell r="B1200"/>
          <cell r="C1200"/>
          <cell r="D1200"/>
          <cell r="E1200"/>
          <cell r="F1200"/>
          <cell r="G1200"/>
          <cell r="H1200"/>
          <cell r="I1200"/>
          <cell r="J1200"/>
          <cell r="K1200"/>
          <cell r="L1200"/>
          <cell r="M1200"/>
        </row>
        <row r="1201">
          <cell r="A1201">
            <v>20231198</v>
          </cell>
          <cell r="B1201"/>
          <cell r="C1201"/>
          <cell r="D1201"/>
          <cell r="E1201"/>
          <cell r="F1201"/>
          <cell r="G1201"/>
          <cell r="H1201"/>
          <cell r="I1201"/>
          <cell r="J1201"/>
          <cell r="K1201"/>
          <cell r="L1201"/>
          <cell r="M1201"/>
        </row>
        <row r="1202">
          <cell r="A1202">
            <v>20231199</v>
          </cell>
          <cell r="B1202"/>
          <cell r="C1202"/>
          <cell r="D1202"/>
          <cell r="E1202"/>
          <cell r="F1202"/>
          <cell r="G1202"/>
          <cell r="H1202"/>
          <cell r="I1202"/>
          <cell r="J1202"/>
          <cell r="K1202"/>
          <cell r="L1202"/>
          <cell r="M1202"/>
        </row>
        <row r="1203">
          <cell r="A1203">
            <v>20231200</v>
          </cell>
          <cell r="B1203"/>
          <cell r="C1203"/>
          <cell r="D1203"/>
          <cell r="E1203"/>
          <cell r="F1203"/>
          <cell r="G1203"/>
          <cell r="H1203"/>
          <cell r="I1203"/>
          <cell r="J1203"/>
          <cell r="K1203"/>
          <cell r="L1203"/>
          <cell r="M1203"/>
        </row>
        <row r="1204">
          <cell r="A1204">
            <v>20231201</v>
          </cell>
          <cell r="B1204"/>
          <cell r="C1204"/>
          <cell r="D1204"/>
          <cell r="E1204"/>
          <cell r="F1204"/>
          <cell r="G1204"/>
          <cell r="H1204"/>
          <cell r="I1204"/>
          <cell r="J1204"/>
          <cell r="K1204"/>
          <cell r="L1204"/>
          <cell r="M1204"/>
        </row>
        <row r="1205">
          <cell r="A1205">
            <v>20231202</v>
          </cell>
          <cell r="B1205"/>
          <cell r="C1205"/>
          <cell r="D1205"/>
          <cell r="E1205"/>
          <cell r="F1205"/>
          <cell r="G1205"/>
          <cell r="H1205"/>
          <cell r="I1205"/>
          <cell r="J1205"/>
          <cell r="K1205"/>
          <cell r="L1205"/>
          <cell r="M1205"/>
        </row>
        <row r="1206">
          <cell r="A1206">
            <v>20231203</v>
          </cell>
          <cell r="B1206"/>
          <cell r="C1206"/>
          <cell r="D1206"/>
          <cell r="E1206"/>
          <cell r="F1206"/>
          <cell r="G1206"/>
          <cell r="H1206"/>
          <cell r="I1206"/>
          <cell r="J1206"/>
          <cell r="K1206"/>
          <cell r="L1206"/>
          <cell r="M1206"/>
        </row>
        <row r="1207">
          <cell r="A1207">
            <v>20231204</v>
          </cell>
          <cell r="B1207"/>
          <cell r="C1207"/>
          <cell r="D1207"/>
          <cell r="E1207"/>
          <cell r="F1207"/>
          <cell r="G1207"/>
          <cell r="H1207"/>
          <cell r="I1207"/>
          <cell r="J1207"/>
          <cell r="K1207"/>
          <cell r="L1207"/>
          <cell r="M1207"/>
        </row>
        <row r="1208">
          <cell r="A1208">
            <v>20231205</v>
          </cell>
          <cell r="B1208"/>
          <cell r="C1208"/>
          <cell r="D1208"/>
          <cell r="E1208"/>
          <cell r="F1208"/>
          <cell r="G1208"/>
          <cell r="H1208"/>
          <cell r="I1208"/>
          <cell r="J1208"/>
          <cell r="K1208"/>
          <cell r="L1208"/>
          <cell r="M1208"/>
        </row>
        <row r="1209">
          <cell r="A1209">
            <v>20231206</v>
          </cell>
          <cell r="B1209"/>
          <cell r="C1209"/>
          <cell r="D1209"/>
          <cell r="E1209"/>
          <cell r="F1209"/>
          <cell r="G1209"/>
          <cell r="H1209"/>
          <cell r="I1209"/>
          <cell r="J1209"/>
          <cell r="K1209"/>
          <cell r="L1209"/>
          <cell r="M1209"/>
        </row>
        <row r="1210">
          <cell r="A1210">
            <v>20231207</v>
          </cell>
          <cell r="B1210"/>
          <cell r="C1210"/>
          <cell r="D1210"/>
          <cell r="E1210"/>
          <cell r="F1210"/>
          <cell r="G1210"/>
          <cell r="H1210"/>
          <cell r="I1210"/>
          <cell r="J1210"/>
          <cell r="K1210"/>
          <cell r="L1210"/>
          <cell r="M1210"/>
        </row>
        <row r="1211">
          <cell r="A1211">
            <v>20231208</v>
          </cell>
          <cell r="B1211"/>
          <cell r="C1211"/>
          <cell r="D1211"/>
          <cell r="E1211"/>
          <cell r="F1211"/>
          <cell r="G1211"/>
          <cell r="H1211"/>
          <cell r="I1211"/>
          <cell r="J1211"/>
          <cell r="K1211"/>
          <cell r="L1211"/>
          <cell r="M1211"/>
        </row>
        <row r="1212">
          <cell r="A1212">
            <v>20231209</v>
          </cell>
          <cell r="B1212"/>
          <cell r="C1212"/>
          <cell r="D1212"/>
          <cell r="E1212"/>
          <cell r="F1212"/>
          <cell r="G1212"/>
          <cell r="H1212"/>
          <cell r="I1212"/>
          <cell r="J1212"/>
          <cell r="K1212"/>
          <cell r="L1212"/>
          <cell r="M1212"/>
        </row>
        <row r="1213">
          <cell r="A1213">
            <v>20231210</v>
          </cell>
          <cell r="B1213"/>
          <cell r="C1213"/>
          <cell r="D1213"/>
          <cell r="E1213"/>
          <cell r="F1213"/>
          <cell r="G1213"/>
          <cell r="H1213"/>
          <cell r="I1213"/>
          <cell r="J1213"/>
          <cell r="K1213"/>
          <cell r="L1213"/>
          <cell r="M1213"/>
        </row>
        <row r="1214">
          <cell r="A1214">
            <v>20231211</v>
          </cell>
          <cell r="B1214"/>
          <cell r="C1214"/>
          <cell r="D1214"/>
          <cell r="E1214"/>
          <cell r="F1214"/>
          <cell r="G1214"/>
          <cell r="H1214"/>
          <cell r="I1214"/>
          <cell r="J1214"/>
          <cell r="K1214"/>
          <cell r="L1214"/>
          <cell r="M1214"/>
        </row>
        <row r="1215">
          <cell r="A1215">
            <v>20231212</v>
          </cell>
          <cell r="B1215"/>
          <cell r="C1215"/>
          <cell r="D1215"/>
          <cell r="E1215"/>
          <cell r="F1215"/>
          <cell r="G1215"/>
          <cell r="H1215"/>
          <cell r="I1215"/>
          <cell r="J1215"/>
          <cell r="K1215"/>
          <cell r="L1215"/>
          <cell r="M1215"/>
        </row>
        <row r="1216">
          <cell r="A1216">
            <v>20231213</v>
          </cell>
          <cell r="B1216"/>
          <cell r="C1216"/>
          <cell r="D1216"/>
          <cell r="E1216"/>
          <cell r="F1216"/>
          <cell r="G1216"/>
          <cell r="H1216"/>
          <cell r="I1216"/>
          <cell r="J1216"/>
          <cell r="K1216"/>
          <cell r="L1216"/>
          <cell r="M1216"/>
        </row>
        <row r="1217">
          <cell r="A1217">
            <v>20231214</v>
          </cell>
          <cell r="B1217"/>
          <cell r="C1217"/>
          <cell r="D1217"/>
          <cell r="E1217"/>
          <cell r="F1217"/>
          <cell r="G1217"/>
          <cell r="H1217"/>
          <cell r="I1217"/>
          <cell r="J1217"/>
          <cell r="K1217"/>
          <cell r="L1217"/>
          <cell r="M1217"/>
        </row>
        <row r="1218">
          <cell r="A1218">
            <v>20231215</v>
          </cell>
          <cell r="B1218"/>
          <cell r="C1218"/>
          <cell r="D1218"/>
          <cell r="E1218"/>
          <cell r="F1218"/>
          <cell r="G1218"/>
          <cell r="H1218"/>
          <cell r="I1218"/>
          <cell r="J1218"/>
          <cell r="K1218"/>
          <cell r="L1218"/>
          <cell r="M1218"/>
        </row>
        <row r="1219">
          <cell r="A1219">
            <v>20231216</v>
          </cell>
          <cell r="B1219"/>
          <cell r="C1219"/>
          <cell r="D1219"/>
          <cell r="E1219"/>
          <cell r="F1219"/>
          <cell r="G1219"/>
          <cell r="H1219"/>
          <cell r="I1219"/>
          <cell r="J1219"/>
          <cell r="K1219"/>
          <cell r="L1219"/>
          <cell r="M1219"/>
        </row>
        <row r="1220">
          <cell r="A1220">
            <v>20231217</v>
          </cell>
          <cell r="B1220"/>
          <cell r="C1220"/>
          <cell r="D1220"/>
          <cell r="E1220"/>
          <cell r="F1220"/>
          <cell r="G1220"/>
          <cell r="H1220"/>
          <cell r="I1220"/>
          <cell r="J1220"/>
          <cell r="K1220"/>
          <cell r="L1220"/>
          <cell r="M1220"/>
        </row>
        <row r="1221">
          <cell r="A1221">
            <v>20231218</v>
          </cell>
          <cell r="B1221"/>
          <cell r="C1221"/>
          <cell r="D1221"/>
          <cell r="E1221"/>
          <cell r="F1221"/>
          <cell r="G1221"/>
          <cell r="H1221"/>
          <cell r="I1221"/>
          <cell r="J1221"/>
          <cell r="K1221"/>
          <cell r="L1221"/>
          <cell r="M1221"/>
        </row>
        <row r="1222">
          <cell r="A1222">
            <v>20231219</v>
          </cell>
          <cell r="B1222"/>
          <cell r="C1222"/>
          <cell r="D1222"/>
          <cell r="E1222"/>
          <cell r="F1222"/>
          <cell r="G1222"/>
          <cell r="H1222"/>
          <cell r="I1222"/>
          <cell r="J1222"/>
          <cell r="K1222"/>
          <cell r="L1222"/>
          <cell r="M1222"/>
        </row>
        <row r="1223">
          <cell r="A1223">
            <v>20231220</v>
          </cell>
          <cell r="B1223"/>
          <cell r="C1223"/>
          <cell r="D1223"/>
          <cell r="E1223"/>
          <cell r="F1223"/>
          <cell r="G1223"/>
          <cell r="H1223"/>
          <cell r="I1223"/>
          <cell r="J1223"/>
          <cell r="K1223"/>
          <cell r="L1223"/>
          <cell r="M1223"/>
        </row>
        <row r="1224">
          <cell r="A1224">
            <v>20231221</v>
          </cell>
          <cell r="B1224"/>
          <cell r="C1224"/>
          <cell r="D1224"/>
          <cell r="E1224"/>
          <cell r="F1224"/>
          <cell r="G1224"/>
          <cell r="H1224"/>
          <cell r="I1224"/>
          <cell r="J1224"/>
          <cell r="K1224"/>
          <cell r="L1224"/>
          <cell r="M1224"/>
        </row>
        <row r="1225">
          <cell r="A1225">
            <v>20231222</v>
          </cell>
          <cell r="B1225"/>
          <cell r="C1225"/>
          <cell r="D1225"/>
          <cell r="E1225"/>
          <cell r="F1225"/>
          <cell r="G1225"/>
          <cell r="H1225"/>
          <cell r="I1225"/>
          <cell r="J1225"/>
          <cell r="K1225"/>
          <cell r="L1225"/>
          <cell r="M1225"/>
        </row>
        <row r="1226">
          <cell r="A1226">
            <v>20231223</v>
          </cell>
          <cell r="B1226"/>
          <cell r="C1226"/>
          <cell r="D1226"/>
          <cell r="E1226"/>
          <cell r="F1226"/>
          <cell r="G1226"/>
          <cell r="H1226"/>
          <cell r="I1226"/>
          <cell r="J1226"/>
          <cell r="K1226"/>
          <cell r="L1226"/>
          <cell r="M1226"/>
        </row>
        <row r="1227">
          <cell r="A1227">
            <v>20231224</v>
          </cell>
          <cell r="B1227"/>
          <cell r="C1227"/>
          <cell r="D1227"/>
          <cell r="E1227"/>
          <cell r="F1227"/>
          <cell r="G1227"/>
          <cell r="H1227"/>
          <cell r="I1227"/>
          <cell r="J1227"/>
          <cell r="K1227"/>
          <cell r="L1227"/>
          <cell r="M1227"/>
        </row>
        <row r="1228">
          <cell r="A1228">
            <v>20231225</v>
          </cell>
          <cell r="B1228"/>
          <cell r="C1228"/>
          <cell r="D1228"/>
          <cell r="E1228"/>
          <cell r="F1228"/>
          <cell r="G1228"/>
          <cell r="H1228"/>
          <cell r="I1228"/>
          <cell r="J1228"/>
          <cell r="K1228"/>
          <cell r="L1228"/>
          <cell r="M1228"/>
        </row>
        <row r="1229">
          <cell r="A1229">
            <v>20231226</v>
          </cell>
          <cell r="B1229"/>
          <cell r="C1229"/>
          <cell r="D1229"/>
          <cell r="E1229"/>
          <cell r="F1229"/>
          <cell r="G1229"/>
          <cell r="H1229"/>
          <cell r="I1229"/>
          <cell r="J1229"/>
          <cell r="K1229"/>
          <cell r="L1229"/>
          <cell r="M1229"/>
        </row>
        <row r="1230">
          <cell r="A1230">
            <v>20231227</v>
          </cell>
          <cell r="B1230"/>
          <cell r="C1230"/>
          <cell r="D1230"/>
          <cell r="E1230"/>
          <cell r="F1230"/>
          <cell r="G1230"/>
          <cell r="H1230"/>
          <cell r="I1230"/>
          <cell r="J1230"/>
          <cell r="K1230"/>
          <cell r="L1230"/>
          <cell r="M1230"/>
        </row>
        <row r="1231">
          <cell r="A1231">
            <v>20231228</v>
          </cell>
          <cell r="B1231"/>
          <cell r="C1231"/>
          <cell r="D1231"/>
          <cell r="E1231"/>
          <cell r="F1231"/>
          <cell r="G1231"/>
          <cell r="H1231"/>
          <cell r="I1231"/>
          <cell r="J1231"/>
          <cell r="K1231"/>
          <cell r="L1231"/>
          <cell r="M1231"/>
        </row>
        <row r="1232">
          <cell r="A1232">
            <v>20231229</v>
          </cell>
          <cell r="B1232"/>
          <cell r="C1232"/>
          <cell r="D1232"/>
          <cell r="E1232"/>
          <cell r="F1232"/>
          <cell r="G1232"/>
          <cell r="H1232"/>
          <cell r="I1232"/>
          <cell r="J1232"/>
          <cell r="K1232"/>
          <cell r="L1232"/>
          <cell r="M1232"/>
        </row>
        <row r="1233">
          <cell r="A1233">
            <v>20231230</v>
          </cell>
          <cell r="B1233"/>
          <cell r="C1233"/>
          <cell r="D1233"/>
          <cell r="E1233"/>
          <cell r="F1233"/>
          <cell r="G1233"/>
          <cell r="H1233"/>
          <cell r="I1233"/>
          <cell r="J1233"/>
          <cell r="K1233"/>
          <cell r="L1233"/>
          <cell r="M1233"/>
        </row>
        <row r="1234">
          <cell r="A1234">
            <v>20231231</v>
          </cell>
          <cell r="B1234"/>
          <cell r="C1234"/>
          <cell r="D1234"/>
          <cell r="E1234"/>
          <cell r="F1234"/>
          <cell r="G1234"/>
          <cell r="H1234"/>
          <cell r="I1234"/>
          <cell r="J1234"/>
          <cell r="K1234"/>
          <cell r="L1234"/>
          <cell r="M1234"/>
        </row>
        <row r="1235">
          <cell r="A1235">
            <v>20231232</v>
          </cell>
          <cell r="B1235"/>
          <cell r="C1235"/>
          <cell r="D1235"/>
          <cell r="E1235"/>
          <cell r="F1235"/>
          <cell r="G1235"/>
          <cell r="H1235"/>
          <cell r="I1235"/>
          <cell r="J1235"/>
          <cell r="K1235"/>
          <cell r="L1235"/>
          <cell r="M1235"/>
        </row>
        <row r="1236">
          <cell r="A1236">
            <v>20231233</v>
          </cell>
          <cell r="B1236"/>
          <cell r="C1236"/>
          <cell r="D1236"/>
          <cell r="E1236"/>
          <cell r="F1236"/>
          <cell r="G1236"/>
          <cell r="H1236"/>
          <cell r="I1236"/>
          <cell r="J1236"/>
          <cell r="K1236"/>
          <cell r="L1236"/>
          <cell r="M1236"/>
        </row>
        <row r="1237">
          <cell r="A1237">
            <v>20231234</v>
          </cell>
          <cell r="B1237"/>
          <cell r="C1237"/>
          <cell r="D1237"/>
          <cell r="E1237"/>
          <cell r="F1237"/>
          <cell r="G1237"/>
          <cell r="H1237"/>
          <cell r="I1237"/>
          <cell r="J1237"/>
          <cell r="K1237"/>
          <cell r="L1237"/>
          <cell r="M1237"/>
        </row>
        <row r="1238">
          <cell r="A1238">
            <v>20231235</v>
          </cell>
          <cell r="B1238"/>
          <cell r="C1238"/>
          <cell r="D1238"/>
          <cell r="E1238"/>
          <cell r="F1238"/>
          <cell r="G1238"/>
          <cell r="H1238"/>
          <cell r="I1238"/>
          <cell r="J1238"/>
          <cell r="K1238"/>
          <cell r="L1238"/>
          <cell r="M1238"/>
        </row>
        <row r="1239">
          <cell r="A1239">
            <v>20231236</v>
          </cell>
          <cell r="B1239"/>
          <cell r="C1239"/>
          <cell r="D1239"/>
          <cell r="E1239"/>
          <cell r="F1239"/>
          <cell r="G1239"/>
          <cell r="H1239"/>
          <cell r="I1239"/>
          <cell r="J1239"/>
          <cell r="K1239"/>
          <cell r="L1239"/>
          <cell r="M1239"/>
        </row>
        <row r="1240">
          <cell r="A1240">
            <v>20231237</v>
          </cell>
          <cell r="B1240"/>
          <cell r="C1240"/>
          <cell r="D1240"/>
          <cell r="E1240"/>
          <cell r="F1240"/>
          <cell r="G1240"/>
          <cell r="H1240"/>
          <cell r="I1240"/>
          <cell r="J1240"/>
          <cell r="K1240"/>
          <cell r="L1240"/>
          <cell r="M1240"/>
        </row>
        <row r="1241">
          <cell r="A1241">
            <v>20231238</v>
          </cell>
          <cell r="B1241"/>
          <cell r="C1241"/>
          <cell r="D1241"/>
          <cell r="E1241"/>
          <cell r="F1241"/>
          <cell r="G1241"/>
          <cell r="H1241"/>
          <cell r="I1241"/>
          <cell r="J1241"/>
          <cell r="K1241"/>
          <cell r="L1241"/>
          <cell r="M1241"/>
        </row>
        <row r="1242">
          <cell r="A1242">
            <v>20231239</v>
          </cell>
          <cell r="B1242"/>
          <cell r="C1242"/>
          <cell r="D1242"/>
          <cell r="E1242"/>
          <cell r="F1242"/>
          <cell r="G1242"/>
          <cell r="H1242"/>
          <cell r="I1242"/>
          <cell r="J1242"/>
          <cell r="K1242"/>
          <cell r="L1242"/>
          <cell r="M1242"/>
        </row>
        <row r="1243">
          <cell r="A1243">
            <v>20231240</v>
          </cell>
          <cell r="B1243"/>
          <cell r="C1243"/>
          <cell r="D1243"/>
          <cell r="E1243"/>
          <cell r="F1243"/>
          <cell r="G1243"/>
          <cell r="H1243"/>
          <cell r="I1243"/>
          <cell r="J1243"/>
          <cell r="K1243"/>
          <cell r="L1243"/>
          <cell r="M1243"/>
        </row>
        <row r="1244">
          <cell r="A1244">
            <v>20231241</v>
          </cell>
          <cell r="B1244"/>
          <cell r="C1244"/>
          <cell r="D1244"/>
          <cell r="E1244"/>
          <cell r="F1244"/>
          <cell r="G1244"/>
          <cell r="H1244"/>
          <cell r="I1244"/>
          <cell r="J1244"/>
          <cell r="K1244"/>
          <cell r="L1244"/>
          <cell r="M1244"/>
        </row>
        <row r="1245">
          <cell r="A1245">
            <v>20231242</v>
          </cell>
          <cell r="B1245"/>
          <cell r="C1245"/>
          <cell r="D1245"/>
          <cell r="E1245"/>
          <cell r="F1245"/>
          <cell r="G1245"/>
          <cell r="H1245"/>
          <cell r="I1245"/>
          <cell r="J1245"/>
          <cell r="K1245"/>
          <cell r="L1245"/>
          <cell r="M1245"/>
        </row>
        <row r="1246">
          <cell r="A1246">
            <v>20231243</v>
          </cell>
          <cell r="B1246"/>
          <cell r="C1246"/>
          <cell r="D1246"/>
          <cell r="E1246"/>
          <cell r="F1246"/>
          <cell r="G1246"/>
          <cell r="H1246"/>
          <cell r="I1246"/>
          <cell r="J1246"/>
          <cell r="K1246"/>
          <cell r="L1246"/>
          <cell r="M1246"/>
        </row>
        <row r="1247">
          <cell r="A1247">
            <v>20231244</v>
          </cell>
          <cell r="B1247"/>
          <cell r="C1247"/>
          <cell r="D1247"/>
          <cell r="E1247"/>
          <cell r="F1247"/>
          <cell r="G1247"/>
          <cell r="H1247"/>
          <cell r="I1247"/>
          <cell r="J1247"/>
          <cell r="K1247"/>
          <cell r="L1247"/>
          <cell r="M1247"/>
        </row>
        <row r="1248">
          <cell r="A1248">
            <v>20231245</v>
          </cell>
          <cell r="B1248"/>
          <cell r="C1248"/>
          <cell r="D1248"/>
          <cell r="E1248"/>
          <cell r="F1248"/>
          <cell r="G1248"/>
          <cell r="H1248"/>
          <cell r="I1248"/>
          <cell r="J1248"/>
          <cell r="K1248"/>
          <cell r="L1248"/>
          <cell r="M1248"/>
        </row>
        <row r="1249">
          <cell r="A1249">
            <v>20231246</v>
          </cell>
          <cell r="B1249"/>
          <cell r="C1249"/>
          <cell r="D1249"/>
          <cell r="E1249"/>
          <cell r="F1249"/>
          <cell r="G1249"/>
          <cell r="H1249"/>
          <cell r="I1249"/>
          <cell r="J1249"/>
          <cell r="K1249"/>
          <cell r="L1249"/>
          <cell r="M1249"/>
        </row>
        <row r="1250">
          <cell r="A1250">
            <v>20231247</v>
          </cell>
          <cell r="B1250"/>
          <cell r="C1250"/>
          <cell r="D1250"/>
          <cell r="E1250"/>
          <cell r="F1250"/>
          <cell r="G1250"/>
          <cell r="H1250"/>
          <cell r="I1250"/>
          <cell r="J1250"/>
          <cell r="K1250"/>
          <cell r="L1250"/>
          <cell r="M1250"/>
        </row>
        <row r="1251">
          <cell r="A1251">
            <v>20231248</v>
          </cell>
          <cell r="B1251"/>
          <cell r="C1251"/>
          <cell r="D1251"/>
          <cell r="E1251"/>
          <cell r="F1251"/>
          <cell r="G1251"/>
          <cell r="H1251"/>
          <cell r="I1251"/>
          <cell r="J1251"/>
          <cell r="K1251"/>
          <cell r="L1251"/>
          <cell r="M1251"/>
        </row>
        <row r="1252">
          <cell r="A1252">
            <v>20231249</v>
          </cell>
          <cell r="B1252"/>
          <cell r="C1252"/>
          <cell r="D1252"/>
          <cell r="E1252"/>
          <cell r="F1252"/>
          <cell r="G1252"/>
          <cell r="H1252"/>
          <cell r="I1252"/>
          <cell r="J1252"/>
          <cell r="K1252"/>
          <cell r="L1252"/>
          <cell r="M1252"/>
        </row>
        <row r="1253">
          <cell r="A1253">
            <v>20231250</v>
          </cell>
          <cell r="B1253"/>
          <cell r="C1253"/>
          <cell r="D1253"/>
          <cell r="E1253"/>
          <cell r="F1253"/>
          <cell r="G1253"/>
          <cell r="H1253"/>
          <cell r="I1253"/>
          <cell r="J1253"/>
          <cell r="K1253"/>
          <cell r="L1253"/>
          <cell r="M1253"/>
        </row>
        <row r="1254">
          <cell r="A1254">
            <v>20231251</v>
          </cell>
          <cell r="B1254"/>
          <cell r="C1254"/>
          <cell r="D1254"/>
          <cell r="E1254"/>
          <cell r="F1254"/>
          <cell r="G1254"/>
          <cell r="H1254"/>
          <cell r="I1254"/>
          <cell r="J1254"/>
          <cell r="K1254"/>
          <cell r="L1254"/>
          <cell r="M1254"/>
        </row>
        <row r="1255">
          <cell r="A1255">
            <v>20231252</v>
          </cell>
          <cell r="B1255"/>
          <cell r="C1255"/>
          <cell r="D1255"/>
          <cell r="E1255"/>
          <cell r="F1255"/>
          <cell r="G1255"/>
          <cell r="H1255"/>
          <cell r="I1255"/>
          <cell r="J1255"/>
          <cell r="K1255"/>
          <cell r="L1255"/>
          <cell r="M1255"/>
        </row>
        <row r="1256">
          <cell r="A1256">
            <v>20231253</v>
          </cell>
          <cell r="B1256"/>
          <cell r="C1256"/>
          <cell r="D1256"/>
          <cell r="E1256"/>
          <cell r="F1256"/>
          <cell r="G1256"/>
          <cell r="H1256"/>
          <cell r="I1256"/>
          <cell r="J1256"/>
          <cell r="K1256"/>
          <cell r="L1256"/>
          <cell r="M1256"/>
        </row>
        <row r="1257">
          <cell r="A1257">
            <v>20231254</v>
          </cell>
          <cell r="B1257"/>
          <cell r="C1257"/>
          <cell r="D1257"/>
          <cell r="E1257"/>
          <cell r="F1257"/>
          <cell r="G1257"/>
          <cell r="H1257"/>
          <cell r="I1257"/>
          <cell r="J1257"/>
          <cell r="K1257"/>
          <cell r="L1257"/>
          <cell r="M1257"/>
        </row>
        <row r="1258">
          <cell r="A1258">
            <v>20231255</v>
          </cell>
          <cell r="B1258"/>
          <cell r="C1258"/>
          <cell r="D1258"/>
          <cell r="E1258"/>
          <cell r="F1258"/>
          <cell r="G1258"/>
          <cell r="H1258"/>
          <cell r="I1258"/>
          <cell r="J1258"/>
          <cell r="K1258"/>
          <cell r="L1258"/>
          <cell r="M1258"/>
        </row>
        <row r="1259">
          <cell r="A1259">
            <v>20231256</v>
          </cell>
          <cell r="B1259"/>
          <cell r="C1259"/>
          <cell r="D1259"/>
          <cell r="E1259"/>
          <cell r="F1259"/>
          <cell r="G1259"/>
          <cell r="H1259"/>
          <cell r="I1259"/>
          <cell r="J1259"/>
          <cell r="K1259"/>
          <cell r="L1259"/>
          <cell r="M1259"/>
        </row>
        <row r="1260">
          <cell r="A1260">
            <v>20231257</v>
          </cell>
          <cell r="B1260"/>
          <cell r="C1260"/>
          <cell r="D1260"/>
          <cell r="E1260"/>
          <cell r="F1260"/>
          <cell r="G1260"/>
          <cell r="H1260"/>
          <cell r="I1260"/>
          <cell r="J1260"/>
          <cell r="K1260"/>
          <cell r="L1260"/>
          <cell r="M1260"/>
        </row>
        <row r="1261">
          <cell r="A1261">
            <v>20231258</v>
          </cell>
          <cell r="B1261"/>
          <cell r="C1261"/>
          <cell r="D1261"/>
          <cell r="E1261"/>
          <cell r="F1261"/>
          <cell r="G1261"/>
          <cell r="H1261"/>
          <cell r="I1261"/>
          <cell r="J1261"/>
          <cell r="K1261"/>
          <cell r="L1261"/>
          <cell r="M1261"/>
        </row>
        <row r="1262">
          <cell r="A1262">
            <v>20231259</v>
          </cell>
          <cell r="B1262"/>
          <cell r="C1262"/>
          <cell r="D1262"/>
          <cell r="E1262"/>
          <cell r="F1262"/>
          <cell r="G1262"/>
          <cell r="H1262"/>
          <cell r="I1262"/>
          <cell r="J1262"/>
          <cell r="K1262"/>
          <cell r="L1262"/>
          <cell r="M1262"/>
        </row>
        <row r="1263">
          <cell r="A1263">
            <v>20231260</v>
          </cell>
          <cell r="B1263"/>
          <cell r="C1263"/>
          <cell r="D1263"/>
          <cell r="E1263"/>
          <cell r="F1263"/>
          <cell r="G1263"/>
          <cell r="H1263"/>
          <cell r="I1263"/>
          <cell r="J1263"/>
          <cell r="K1263"/>
          <cell r="L1263"/>
          <cell r="M1263"/>
        </row>
        <row r="1264">
          <cell r="A1264">
            <v>20231261</v>
          </cell>
          <cell r="B1264"/>
          <cell r="C1264"/>
          <cell r="D1264"/>
          <cell r="E1264"/>
          <cell r="F1264"/>
          <cell r="G1264"/>
          <cell r="H1264"/>
          <cell r="I1264"/>
          <cell r="J1264"/>
          <cell r="K1264"/>
          <cell r="L1264"/>
          <cell r="M1264"/>
        </row>
        <row r="1265">
          <cell r="A1265">
            <v>20231262</v>
          </cell>
          <cell r="B1265"/>
          <cell r="C1265"/>
          <cell r="D1265"/>
          <cell r="E1265"/>
          <cell r="F1265"/>
          <cell r="G1265"/>
          <cell r="H1265"/>
          <cell r="I1265"/>
          <cell r="J1265"/>
          <cell r="K1265"/>
          <cell r="L1265"/>
          <cell r="M1265"/>
        </row>
        <row r="1266">
          <cell r="A1266">
            <v>20231263</v>
          </cell>
          <cell r="B1266"/>
          <cell r="C1266"/>
          <cell r="D1266"/>
          <cell r="E1266"/>
          <cell r="F1266"/>
          <cell r="G1266"/>
          <cell r="H1266"/>
          <cell r="I1266"/>
          <cell r="J1266"/>
          <cell r="K1266"/>
          <cell r="L1266"/>
          <cell r="M1266"/>
        </row>
        <row r="1267">
          <cell r="A1267">
            <v>20231264</v>
          </cell>
          <cell r="B1267"/>
          <cell r="C1267"/>
          <cell r="D1267"/>
          <cell r="E1267"/>
          <cell r="F1267"/>
          <cell r="G1267"/>
          <cell r="H1267"/>
          <cell r="I1267"/>
          <cell r="J1267"/>
          <cell r="K1267"/>
          <cell r="L1267"/>
          <cell r="M1267"/>
        </row>
        <row r="1268">
          <cell r="A1268">
            <v>20231265</v>
          </cell>
          <cell r="B1268"/>
          <cell r="C1268"/>
          <cell r="D1268"/>
          <cell r="E1268"/>
          <cell r="F1268"/>
          <cell r="G1268"/>
          <cell r="H1268"/>
          <cell r="I1268"/>
          <cell r="J1268"/>
          <cell r="K1268"/>
          <cell r="L1268"/>
          <cell r="M1268"/>
        </row>
        <row r="1269">
          <cell r="A1269">
            <v>20231266</v>
          </cell>
          <cell r="B1269"/>
          <cell r="C1269"/>
          <cell r="D1269"/>
          <cell r="E1269"/>
          <cell r="F1269"/>
          <cell r="G1269"/>
          <cell r="H1269"/>
          <cell r="I1269"/>
          <cell r="J1269"/>
          <cell r="K1269"/>
          <cell r="L1269"/>
          <cell r="M1269"/>
        </row>
        <row r="1270">
          <cell r="A1270">
            <v>20231267</v>
          </cell>
          <cell r="B1270"/>
          <cell r="C1270"/>
          <cell r="D1270"/>
          <cell r="E1270"/>
          <cell r="F1270"/>
          <cell r="G1270"/>
          <cell r="H1270"/>
          <cell r="I1270"/>
          <cell r="J1270"/>
          <cell r="K1270"/>
          <cell r="L1270"/>
          <cell r="M1270"/>
        </row>
        <row r="1271">
          <cell r="A1271">
            <v>20231268</v>
          </cell>
          <cell r="B1271"/>
          <cell r="C1271"/>
          <cell r="D1271"/>
          <cell r="E1271"/>
          <cell r="F1271"/>
          <cell r="G1271"/>
          <cell r="H1271"/>
          <cell r="I1271"/>
          <cell r="J1271"/>
          <cell r="K1271"/>
          <cell r="L1271"/>
          <cell r="M1271"/>
        </row>
        <row r="1272">
          <cell r="A1272">
            <v>20231269</v>
          </cell>
          <cell r="B1272"/>
          <cell r="C1272"/>
          <cell r="D1272"/>
          <cell r="E1272"/>
          <cell r="F1272"/>
          <cell r="G1272"/>
          <cell r="H1272"/>
          <cell r="I1272"/>
          <cell r="J1272"/>
          <cell r="K1272"/>
          <cell r="L1272"/>
          <cell r="M1272"/>
        </row>
        <row r="1273">
          <cell r="A1273">
            <v>20231270</v>
          </cell>
          <cell r="B1273"/>
          <cell r="C1273"/>
          <cell r="D1273"/>
          <cell r="E1273"/>
          <cell r="F1273"/>
          <cell r="G1273"/>
          <cell r="H1273"/>
          <cell r="I1273"/>
          <cell r="J1273"/>
          <cell r="K1273"/>
          <cell r="L1273"/>
          <cell r="M1273"/>
        </row>
        <row r="1274">
          <cell r="A1274">
            <v>20231271</v>
          </cell>
          <cell r="B1274"/>
          <cell r="C1274"/>
          <cell r="D1274"/>
          <cell r="E1274"/>
          <cell r="F1274"/>
          <cell r="G1274"/>
          <cell r="H1274"/>
          <cell r="I1274"/>
          <cell r="J1274"/>
          <cell r="K1274"/>
          <cell r="L1274"/>
          <cell r="M1274"/>
        </row>
        <row r="1275">
          <cell r="A1275">
            <v>20231272</v>
          </cell>
          <cell r="B1275"/>
          <cell r="C1275"/>
          <cell r="D1275"/>
          <cell r="E1275"/>
          <cell r="F1275"/>
          <cell r="G1275"/>
          <cell r="H1275"/>
          <cell r="I1275"/>
          <cell r="J1275"/>
          <cell r="K1275"/>
          <cell r="L1275"/>
          <cell r="M1275"/>
        </row>
        <row r="1276">
          <cell r="A1276">
            <v>20231273</v>
          </cell>
          <cell r="B1276"/>
          <cell r="C1276"/>
          <cell r="D1276"/>
          <cell r="E1276"/>
          <cell r="F1276"/>
          <cell r="G1276"/>
          <cell r="H1276"/>
          <cell r="I1276"/>
          <cell r="J1276"/>
          <cell r="K1276"/>
          <cell r="L1276"/>
          <cell r="M1276"/>
        </row>
        <row r="1277">
          <cell r="A1277">
            <v>20231274</v>
          </cell>
          <cell r="B1277"/>
          <cell r="C1277"/>
          <cell r="D1277"/>
          <cell r="E1277"/>
          <cell r="F1277"/>
          <cell r="G1277"/>
          <cell r="H1277"/>
          <cell r="I1277"/>
          <cell r="J1277"/>
          <cell r="K1277"/>
          <cell r="L1277"/>
          <cell r="M1277"/>
        </row>
        <row r="1278">
          <cell r="A1278">
            <v>20231275</v>
          </cell>
          <cell r="B1278"/>
          <cell r="C1278"/>
          <cell r="D1278"/>
          <cell r="E1278"/>
          <cell r="F1278"/>
          <cell r="G1278"/>
          <cell r="H1278"/>
          <cell r="I1278"/>
          <cell r="J1278"/>
          <cell r="K1278"/>
          <cell r="L1278"/>
          <cell r="M1278"/>
        </row>
        <row r="1279">
          <cell r="A1279">
            <v>20231276</v>
          </cell>
          <cell r="B1279"/>
          <cell r="C1279"/>
          <cell r="D1279"/>
          <cell r="E1279"/>
          <cell r="F1279"/>
          <cell r="G1279"/>
          <cell r="H1279"/>
          <cell r="I1279"/>
          <cell r="J1279"/>
          <cell r="K1279"/>
          <cell r="L1279"/>
          <cell r="M1279"/>
        </row>
        <row r="1280">
          <cell r="A1280">
            <v>20231277</v>
          </cell>
          <cell r="B1280"/>
          <cell r="C1280"/>
          <cell r="D1280"/>
          <cell r="E1280"/>
          <cell r="F1280"/>
          <cell r="G1280"/>
          <cell r="H1280"/>
          <cell r="I1280"/>
          <cell r="J1280"/>
          <cell r="K1280"/>
          <cell r="L1280"/>
          <cell r="M1280"/>
        </row>
        <row r="1281">
          <cell r="A1281">
            <v>20231278</v>
          </cell>
          <cell r="B1281"/>
          <cell r="C1281"/>
          <cell r="D1281"/>
          <cell r="E1281"/>
          <cell r="F1281"/>
          <cell r="G1281"/>
          <cell r="H1281"/>
          <cell r="I1281"/>
          <cell r="J1281"/>
          <cell r="K1281"/>
          <cell r="L1281"/>
          <cell r="M1281"/>
        </row>
        <row r="1282">
          <cell r="A1282">
            <v>20231279</v>
          </cell>
          <cell r="B1282"/>
          <cell r="C1282"/>
          <cell r="D1282"/>
          <cell r="E1282"/>
          <cell r="F1282"/>
          <cell r="G1282"/>
          <cell r="H1282"/>
          <cell r="I1282"/>
          <cell r="J1282"/>
          <cell r="K1282"/>
          <cell r="L1282"/>
          <cell r="M1282"/>
        </row>
        <row r="1283">
          <cell r="A1283">
            <v>20231280</v>
          </cell>
          <cell r="B1283"/>
          <cell r="C1283"/>
          <cell r="D1283"/>
          <cell r="E1283"/>
          <cell r="F1283"/>
          <cell r="G1283"/>
          <cell r="H1283"/>
          <cell r="I1283"/>
          <cell r="J1283"/>
          <cell r="K1283"/>
          <cell r="L1283"/>
          <cell r="M1283"/>
        </row>
        <row r="1284">
          <cell r="A1284">
            <v>20231281</v>
          </cell>
          <cell r="B1284"/>
          <cell r="C1284"/>
          <cell r="D1284"/>
          <cell r="E1284"/>
          <cell r="F1284"/>
          <cell r="G1284"/>
          <cell r="H1284"/>
          <cell r="I1284"/>
          <cell r="J1284"/>
          <cell r="K1284"/>
          <cell r="L1284"/>
          <cell r="M1284"/>
        </row>
        <row r="1285">
          <cell r="A1285">
            <v>20231282</v>
          </cell>
          <cell r="B1285"/>
          <cell r="C1285"/>
          <cell r="D1285"/>
          <cell r="E1285"/>
          <cell r="F1285"/>
          <cell r="G1285"/>
          <cell r="H1285"/>
          <cell r="I1285"/>
          <cell r="J1285"/>
          <cell r="K1285"/>
          <cell r="L1285"/>
          <cell r="M1285"/>
        </row>
        <row r="1286">
          <cell r="A1286">
            <v>20231283</v>
          </cell>
          <cell r="B1286"/>
          <cell r="C1286"/>
          <cell r="D1286"/>
          <cell r="E1286"/>
          <cell r="F1286"/>
          <cell r="G1286"/>
          <cell r="H1286"/>
          <cell r="I1286"/>
          <cell r="J1286"/>
          <cell r="K1286"/>
          <cell r="L1286"/>
          <cell r="M1286"/>
        </row>
        <row r="1287">
          <cell r="A1287">
            <v>20231284</v>
          </cell>
          <cell r="B1287"/>
          <cell r="C1287"/>
          <cell r="D1287"/>
          <cell r="E1287"/>
          <cell r="F1287"/>
          <cell r="G1287"/>
          <cell r="H1287"/>
          <cell r="I1287"/>
          <cell r="J1287"/>
          <cell r="K1287"/>
          <cell r="L1287"/>
          <cell r="M1287"/>
        </row>
        <row r="1288">
          <cell r="A1288">
            <v>20231285</v>
          </cell>
          <cell r="B1288"/>
          <cell r="C1288"/>
          <cell r="D1288"/>
          <cell r="E1288"/>
          <cell r="F1288"/>
          <cell r="G1288"/>
          <cell r="H1288"/>
          <cell r="I1288"/>
          <cell r="J1288"/>
          <cell r="K1288"/>
          <cell r="L1288"/>
          <cell r="M1288"/>
        </row>
        <row r="1289">
          <cell r="A1289">
            <v>20231286</v>
          </cell>
          <cell r="B1289"/>
          <cell r="C1289"/>
          <cell r="D1289"/>
          <cell r="E1289"/>
          <cell r="F1289"/>
          <cell r="G1289"/>
          <cell r="H1289"/>
          <cell r="I1289"/>
          <cell r="J1289"/>
          <cell r="K1289"/>
          <cell r="L1289"/>
          <cell r="M1289"/>
        </row>
        <row r="1290">
          <cell r="A1290">
            <v>20231287</v>
          </cell>
          <cell r="B1290"/>
          <cell r="C1290"/>
          <cell r="D1290"/>
          <cell r="E1290"/>
          <cell r="F1290"/>
          <cell r="G1290"/>
          <cell r="H1290"/>
          <cell r="I1290"/>
          <cell r="J1290"/>
          <cell r="K1290"/>
          <cell r="L1290"/>
          <cell r="M1290"/>
        </row>
        <row r="1291">
          <cell r="A1291">
            <v>20231288</v>
          </cell>
          <cell r="B1291"/>
          <cell r="C1291"/>
          <cell r="D1291"/>
          <cell r="E1291"/>
          <cell r="F1291"/>
          <cell r="G1291"/>
          <cell r="H1291"/>
          <cell r="I1291"/>
          <cell r="J1291"/>
          <cell r="K1291"/>
          <cell r="L1291"/>
          <cell r="M1291"/>
        </row>
        <row r="1292">
          <cell r="A1292">
            <v>20231289</v>
          </cell>
          <cell r="B1292"/>
          <cell r="C1292"/>
          <cell r="D1292"/>
          <cell r="E1292"/>
          <cell r="F1292"/>
          <cell r="G1292"/>
          <cell r="H1292"/>
          <cell r="I1292"/>
          <cell r="J1292"/>
          <cell r="K1292"/>
          <cell r="L1292"/>
          <cell r="M1292"/>
        </row>
        <row r="1293">
          <cell r="A1293">
            <v>20231290</v>
          </cell>
          <cell r="B1293"/>
          <cell r="C1293"/>
          <cell r="D1293"/>
          <cell r="E1293"/>
          <cell r="F1293"/>
          <cell r="G1293"/>
          <cell r="H1293"/>
          <cell r="I1293"/>
          <cell r="J1293"/>
          <cell r="K1293"/>
          <cell r="L1293"/>
          <cell r="M1293"/>
        </row>
        <row r="1294">
          <cell r="A1294">
            <v>20231291</v>
          </cell>
          <cell r="B1294"/>
          <cell r="C1294"/>
          <cell r="D1294"/>
          <cell r="E1294"/>
          <cell r="F1294"/>
          <cell r="G1294"/>
          <cell r="H1294"/>
          <cell r="I1294"/>
          <cell r="J1294"/>
          <cell r="K1294"/>
          <cell r="L1294"/>
          <cell r="M1294"/>
        </row>
        <row r="1295">
          <cell r="A1295">
            <v>20231292</v>
          </cell>
          <cell r="B1295"/>
          <cell r="C1295"/>
          <cell r="D1295"/>
          <cell r="E1295"/>
          <cell r="F1295"/>
          <cell r="G1295"/>
          <cell r="H1295"/>
          <cell r="I1295"/>
          <cell r="J1295"/>
          <cell r="K1295"/>
          <cell r="L1295"/>
          <cell r="M1295"/>
        </row>
        <row r="1296">
          <cell r="A1296">
            <v>20231293</v>
          </cell>
          <cell r="B1296"/>
          <cell r="C1296"/>
          <cell r="D1296"/>
          <cell r="E1296"/>
          <cell r="F1296"/>
          <cell r="G1296"/>
          <cell r="H1296"/>
          <cell r="I1296"/>
          <cell r="J1296"/>
          <cell r="K1296"/>
          <cell r="L1296"/>
          <cell r="M1296"/>
        </row>
        <row r="1297">
          <cell r="A1297">
            <v>20231294</v>
          </cell>
          <cell r="B1297"/>
          <cell r="C1297"/>
          <cell r="D1297"/>
          <cell r="E1297"/>
          <cell r="F1297"/>
          <cell r="G1297"/>
          <cell r="H1297"/>
          <cell r="I1297"/>
          <cell r="J1297"/>
          <cell r="K1297"/>
          <cell r="L1297"/>
          <cell r="M1297"/>
        </row>
        <row r="1298">
          <cell r="A1298">
            <v>20231295</v>
          </cell>
          <cell r="B1298"/>
          <cell r="C1298"/>
          <cell r="D1298"/>
          <cell r="E1298"/>
          <cell r="F1298"/>
          <cell r="G1298"/>
          <cell r="H1298"/>
          <cell r="I1298"/>
          <cell r="J1298"/>
          <cell r="K1298"/>
          <cell r="L1298"/>
          <cell r="M1298"/>
        </row>
        <row r="1299">
          <cell r="A1299">
            <v>20231296</v>
          </cell>
          <cell r="B1299"/>
          <cell r="C1299"/>
          <cell r="D1299"/>
          <cell r="E1299"/>
          <cell r="F1299"/>
          <cell r="G1299"/>
          <cell r="H1299"/>
          <cell r="I1299"/>
          <cell r="J1299"/>
          <cell r="K1299"/>
          <cell r="L1299"/>
          <cell r="M1299"/>
        </row>
        <row r="1300">
          <cell r="A1300">
            <v>20231297</v>
          </cell>
          <cell r="B1300"/>
          <cell r="C1300"/>
          <cell r="D1300"/>
          <cell r="E1300"/>
          <cell r="F1300"/>
          <cell r="G1300"/>
          <cell r="H1300"/>
          <cell r="I1300"/>
          <cell r="J1300"/>
          <cell r="K1300"/>
          <cell r="L1300"/>
          <cell r="M1300"/>
        </row>
        <row r="1301">
          <cell r="A1301">
            <v>20231298</v>
          </cell>
          <cell r="B1301"/>
          <cell r="C1301"/>
          <cell r="D1301"/>
          <cell r="E1301"/>
          <cell r="F1301"/>
          <cell r="G1301"/>
          <cell r="H1301"/>
          <cell r="I1301"/>
          <cell r="J1301"/>
          <cell r="K1301"/>
          <cell r="L1301"/>
          <cell r="M1301"/>
        </row>
        <row r="1302">
          <cell r="A1302">
            <v>20231299</v>
          </cell>
          <cell r="B1302"/>
          <cell r="C1302"/>
          <cell r="D1302"/>
          <cell r="E1302"/>
          <cell r="F1302"/>
          <cell r="G1302"/>
          <cell r="H1302"/>
          <cell r="I1302"/>
          <cell r="J1302"/>
          <cell r="K1302"/>
          <cell r="L1302"/>
          <cell r="M1302"/>
        </row>
        <row r="1303">
          <cell r="A1303">
            <v>20231300</v>
          </cell>
          <cell r="B1303"/>
          <cell r="C1303"/>
          <cell r="D1303"/>
          <cell r="E1303"/>
          <cell r="F1303"/>
          <cell r="G1303"/>
          <cell r="H1303"/>
          <cell r="I1303"/>
          <cell r="J1303"/>
          <cell r="K1303"/>
          <cell r="L1303"/>
          <cell r="M1303"/>
        </row>
        <row r="1304">
          <cell r="A1304">
            <v>20231301</v>
          </cell>
          <cell r="B1304"/>
          <cell r="C1304"/>
          <cell r="D1304"/>
          <cell r="E1304"/>
          <cell r="F1304"/>
          <cell r="G1304"/>
          <cell r="H1304"/>
          <cell r="I1304"/>
          <cell r="J1304"/>
          <cell r="K1304"/>
          <cell r="L1304"/>
          <cell r="M1304"/>
        </row>
        <row r="1305">
          <cell r="A1305">
            <v>20231302</v>
          </cell>
          <cell r="B1305"/>
          <cell r="C1305"/>
          <cell r="D1305"/>
          <cell r="E1305"/>
          <cell r="F1305"/>
          <cell r="G1305"/>
          <cell r="H1305"/>
          <cell r="I1305"/>
          <cell r="J1305"/>
          <cell r="K1305"/>
          <cell r="L1305"/>
          <cell r="M1305"/>
        </row>
        <row r="1306">
          <cell r="A1306">
            <v>20231303</v>
          </cell>
          <cell r="B1306"/>
          <cell r="C1306"/>
          <cell r="D1306"/>
          <cell r="E1306"/>
          <cell r="F1306"/>
          <cell r="G1306"/>
          <cell r="H1306"/>
          <cell r="I1306"/>
          <cell r="J1306"/>
          <cell r="K1306"/>
          <cell r="L1306"/>
          <cell r="M1306"/>
        </row>
        <row r="1307">
          <cell r="A1307">
            <v>20231304</v>
          </cell>
          <cell r="B1307"/>
          <cell r="C1307"/>
          <cell r="D1307"/>
          <cell r="E1307"/>
          <cell r="F1307"/>
          <cell r="G1307"/>
          <cell r="H1307"/>
          <cell r="I1307"/>
          <cell r="J1307"/>
          <cell r="K1307"/>
          <cell r="L1307"/>
          <cell r="M1307"/>
        </row>
        <row r="1308">
          <cell r="A1308">
            <v>20231305</v>
          </cell>
          <cell r="B1308"/>
          <cell r="C1308"/>
          <cell r="D1308"/>
          <cell r="E1308"/>
          <cell r="F1308"/>
          <cell r="G1308"/>
          <cell r="H1308"/>
          <cell r="I1308"/>
          <cell r="J1308"/>
          <cell r="K1308"/>
          <cell r="L1308"/>
          <cell r="M1308"/>
        </row>
        <row r="1309">
          <cell r="A1309">
            <v>20231306</v>
          </cell>
          <cell r="B1309"/>
          <cell r="C1309"/>
          <cell r="D1309"/>
          <cell r="E1309"/>
          <cell r="F1309"/>
          <cell r="G1309"/>
          <cell r="H1309"/>
          <cell r="I1309"/>
          <cell r="J1309"/>
          <cell r="K1309"/>
          <cell r="L1309"/>
          <cell r="M1309"/>
        </row>
        <row r="1310">
          <cell r="A1310">
            <v>20231307</v>
          </cell>
          <cell r="B1310"/>
          <cell r="C1310"/>
          <cell r="D1310"/>
          <cell r="E1310"/>
          <cell r="F1310"/>
          <cell r="G1310"/>
          <cell r="H1310"/>
          <cell r="I1310"/>
          <cell r="J1310"/>
          <cell r="K1310"/>
          <cell r="L1310"/>
          <cell r="M1310"/>
        </row>
        <row r="1311">
          <cell r="A1311">
            <v>20231308</v>
          </cell>
          <cell r="B1311"/>
          <cell r="C1311"/>
          <cell r="D1311"/>
          <cell r="E1311"/>
          <cell r="F1311"/>
          <cell r="G1311"/>
          <cell r="H1311"/>
          <cell r="I1311"/>
          <cell r="J1311"/>
          <cell r="K1311"/>
          <cell r="L1311"/>
          <cell r="M1311"/>
        </row>
        <row r="1312">
          <cell r="A1312">
            <v>20231309</v>
          </cell>
          <cell r="B1312"/>
          <cell r="C1312"/>
          <cell r="D1312"/>
          <cell r="E1312"/>
          <cell r="F1312"/>
          <cell r="G1312"/>
          <cell r="H1312"/>
          <cell r="I1312"/>
          <cell r="J1312"/>
          <cell r="K1312"/>
          <cell r="L1312"/>
          <cell r="M1312"/>
        </row>
        <row r="1313">
          <cell r="A1313">
            <v>20231310</v>
          </cell>
          <cell r="B1313"/>
          <cell r="C1313"/>
          <cell r="D1313"/>
          <cell r="E1313"/>
          <cell r="F1313"/>
          <cell r="G1313"/>
          <cell r="H1313"/>
          <cell r="I1313"/>
          <cell r="J1313"/>
          <cell r="K1313"/>
          <cell r="L1313"/>
          <cell r="M1313"/>
        </row>
        <row r="1314">
          <cell r="A1314">
            <v>20231311</v>
          </cell>
          <cell r="B1314"/>
          <cell r="C1314"/>
          <cell r="D1314"/>
          <cell r="E1314"/>
          <cell r="F1314"/>
          <cell r="G1314"/>
          <cell r="H1314"/>
          <cell r="I1314"/>
          <cell r="J1314"/>
          <cell r="K1314"/>
          <cell r="L1314"/>
          <cell r="M1314"/>
        </row>
        <row r="1315">
          <cell r="A1315">
            <v>20231312</v>
          </cell>
          <cell r="B1315"/>
          <cell r="C1315"/>
          <cell r="D1315"/>
          <cell r="E1315"/>
          <cell r="F1315"/>
          <cell r="G1315"/>
          <cell r="H1315"/>
          <cell r="I1315"/>
          <cell r="J1315"/>
          <cell r="K1315"/>
          <cell r="L1315"/>
          <cell r="M1315"/>
        </row>
        <row r="1316">
          <cell r="A1316">
            <v>20231313</v>
          </cell>
          <cell r="B1316"/>
          <cell r="C1316"/>
          <cell r="D1316"/>
          <cell r="E1316"/>
          <cell r="F1316"/>
          <cell r="G1316"/>
          <cell r="H1316"/>
          <cell r="I1316"/>
          <cell r="J1316"/>
          <cell r="K1316"/>
          <cell r="L1316"/>
          <cell r="M1316"/>
        </row>
        <row r="1317">
          <cell r="A1317">
            <v>20231314</v>
          </cell>
          <cell r="B1317"/>
          <cell r="C1317"/>
          <cell r="D1317"/>
          <cell r="E1317"/>
          <cell r="F1317"/>
          <cell r="G1317"/>
          <cell r="H1317"/>
          <cell r="I1317"/>
          <cell r="J1317"/>
          <cell r="K1317"/>
          <cell r="L1317"/>
          <cell r="M1317"/>
        </row>
        <row r="1318">
          <cell r="A1318">
            <v>20231315</v>
          </cell>
          <cell r="B1318"/>
          <cell r="C1318"/>
          <cell r="D1318"/>
          <cell r="E1318"/>
          <cell r="F1318"/>
          <cell r="G1318"/>
          <cell r="H1318"/>
          <cell r="I1318"/>
          <cell r="J1318"/>
          <cell r="K1318"/>
          <cell r="L1318"/>
          <cell r="M1318"/>
        </row>
        <row r="1319">
          <cell r="A1319">
            <v>20231316</v>
          </cell>
          <cell r="B1319"/>
          <cell r="C1319"/>
          <cell r="D1319"/>
          <cell r="E1319"/>
          <cell r="F1319"/>
          <cell r="G1319"/>
          <cell r="H1319"/>
          <cell r="I1319"/>
          <cell r="J1319"/>
          <cell r="K1319"/>
          <cell r="L1319"/>
          <cell r="M1319"/>
        </row>
        <row r="1320">
          <cell r="A1320">
            <v>20231317</v>
          </cell>
          <cell r="B1320"/>
          <cell r="C1320"/>
          <cell r="D1320"/>
          <cell r="E1320"/>
          <cell r="F1320"/>
          <cell r="G1320"/>
          <cell r="H1320"/>
          <cell r="I1320"/>
          <cell r="J1320"/>
          <cell r="K1320"/>
          <cell r="L1320"/>
          <cell r="M1320"/>
        </row>
        <row r="1321">
          <cell r="A1321">
            <v>20231318</v>
          </cell>
          <cell r="B1321"/>
          <cell r="C1321"/>
          <cell r="D1321"/>
          <cell r="E1321"/>
          <cell r="F1321"/>
          <cell r="G1321"/>
          <cell r="H1321"/>
          <cell r="I1321"/>
          <cell r="J1321"/>
          <cell r="K1321"/>
          <cell r="L1321"/>
          <cell r="M1321"/>
        </row>
        <row r="1322">
          <cell r="A1322">
            <v>20231319</v>
          </cell>
          <cell r="B1322"/>
          <cell r="C1322"/>
          <cell r="D1322"/>
          <cell r="E1322"/>
          <cell r="F1322"/>
          <cell r="G1322"/>
          <cell r="H1322"/>
          <cell r="I1322"/>
          <cell r="J1322"/>
          <cell r="K1322"/>
          <cell r="L1322"/>
          <cell r="M1322"/>
        </row>
        <row r="1323">
          <cell r="A1323">
            <v>20231320</v>
          </cell>
          <cell r="B1323"/>
          <cell r="C1323"/>
          <cell r="D1323"/>
          <cell r="E1323"/>
          <cell r="F1323"/>
          <cell r="G1323"/>
          <cell r="H1323"/>
          <cell r="I1323"/>
          <cell r="J1323"/>
          <cell r="K1323"/>
          <cell r="L1323"/>
          <cell r="M1323"/>
        </row>
        <row r="1324">
          <cell r="A1324">
            <v>20231321</v>
          </cell>
          <cell r="B1324"/>
          <cell r="C1324"/>
          <cell r="D1324"/>
          <cell r="E1324"/>
          <cell r="F1324"/>
          <cell r="G1324"/>
          <cell r="H1324"/>
          <cell r="I1324"/>
          <cell r="J1324"/>
          <cell r="K1324"/>
          <cell r="L1324"/>
          <cell r="M1324"/>
        </row>
        <row r="1325">
          <cell r="A1325">
            <v>20231322</v>
          </cell>
          <cell r="B1325"/>
          <cell r="C1325"/>
          <cell r="D1325"/>
          <cell r="E1325"/>
          <cell r="F1325"/>
          <cell r="G1325"/>
          <cell r="H1325"/>
          <cell r="I1325"/>
          <cell r="J1325"/>
          <cell r="K1325"/>
          <cell r="L1325"/>
          <cell r="M1325"/>
        </row>
        <row r="1326">
          <cell r="A1326">
            <v>20231323</v>
          </cell>
          <cell r="B1326"/>
          <cell r="C1326"/>
          <cell r="D1326"/>
          <cell r="E1326"/>
          <cell r="F1326"/>
          <cell r="G1326"/>
          <cell r="H1326"/>
          <cell r="I1326"/>
          <cell r="J1326"/>
          <cell r="K1326"/>
          <cell r="L1326"/>
          <cell r="M1326"/>
        </row>
        <row r="1327">
          <cell r="A1327">
            <v>20231324</v>
          </cell>
          <cell r="B1327"/>
          <cell r="C1327"/>
          <cell r="D1327"/>
          <cell r="E1327"/>
          <cell r="F1327"/>
          <cell r="G1327"/>
          <cell r="H1327"/>
          <cell r="I1327"/>
          <cell r="J1327"/>
          <cell r="K1327"/>
          <cell r="L1327"/>
          <cell r="M1327"/>
        </row>
        <row r="1328">
          <cell r="A1328">
            <v>20231325</v>
          </cell>
          <cell r="B1328"/>
          <cell r="C1328"/>
          <cell r="D1328"/>
          <cell r="E1328"/>
          <cell r="F1328"/>
          <cell r="G1328"/>
          <cell r="H1328"/>
          <cell r="I1328"/>
          <cell r="J1328"/>
          <cell r="K1328"/>
          <cell r="L1328"/>
          <cell r="M1328"/>
        </row>
        <row r="1329">
          <cell r="A1329">
            <v>20231326</v>
          </cell>
          <cell r="B1329"/>
          <cell r="C1329"/>
          <cell r="D1329"/>
          <cell r="E1329"/>
          <cell r="F1329"/>
          <cell r="G1329"/>
          <cell r="H1329"/>
          <cell r="I1329"/>
          <cell r="J1329"/>
          <cell r="K1329"/>
          <cell r="L1329"/>
          <cell r="M1329"/>
        </row>
        <row r="1330">
          <cell r="A1330">
            <v>20231327</v>
          </cell>
          <cell r="B1330"/>
          <cell r="C1330"/>
          <cell r="D1330"/>
          <cell r="E1330"/>
          <cell r="F1330"/>
          <cell r="G1330"/>
          <cell r="H1330"/>
          <cell r="I1330"/>
          <cell r="J1330"/>
          <cell r="K1330"/>
          <cell r="L1330"/>
          <cell r="M1330"/>
        </row>
        <row r="1331">
          <cell r="A1331">
            <v>20231328</v>
          </cell>
          <cell r="B1331"/>
          <cell r="C1331"/>
          <cell r="D1331"/>
          <cell r="E1331"/>
          <cell r="F1331"/>
          <cell r="G1331"/>
          <cell r="H1331"/>
          <cell r="I1331"/>
          <cell r="J1331"/>
          <cell r="K1331"/>
          <cell r="L1331"/>
          <cell r="M1331"/>
        </row>
        <row r="1332">
          <cell r="A1332">
            <v>20231329</v>
          </cell>
          <cell r="B1332"/>
          <cell r="C1332"/>
          <cell r="D1332"/>
          <cell r="E1332"/>
          <cell r="F1332"/>
          <cell r="G1332"/>
          <cell r="H1332"/>
          <cell r="I1332"/>
          <cell r="J1332"/>
          <cell r="K1332"/>
          <cell r="L1332"/>
          <cell r="M1332"/>
        </row>
        <row r="1333">
          <cell r="A1333">
            <v>20231330</v>
          </cell>
          <cell r="B1333"/>
          <cell r="C1333"/>
          <cell r="D1333"/>
          <cell r="E1333"/>
          <cell r="F1333"/>
          <cell r="G1333"/>
          <cell r="H1333"/>
          <cell r="I1333"/>
          <cell r="J1333"/>
          <cell r="K1333"/>
          <cell r="L1333"/>
          <cell r="M1333"/>
        </row>
        <row r="1334">
          <cell r="A1334">
            <v>20231331</v>
          </cell>
          <cell r="B1334"/>
          <cell r="C1334"/>
          <cell r="D1334"/>
          <cell r="E1334"/>
          <cell r="F1334"/>
          <cell r="G1334"/>
          <cell r="H1334"/>
          <cell r="I1334"/>
          <cell r="J1334"/>
          <cell r="K1334"/>
          <cell r="L1334"/>
          <cell r="M1334"/>
        </row>
        <row r="1335">
          <cell r="A1335">
            <v>20231332</v>
          </cell>
          <cell r="B1335"/>
          <cell r="C1335"/>
          <cell r="D1335"/>
          <cell r="E1335"/>
          <cell r="F1335"/>
          <cell r="G1335"/>
          <cell r="H1335"/>
          <cell r="I1335"/>
          <cell r="J1335"/>
          <cell r="K1335"/>
          <cell r="L1335"/>
          <cell r="M1335"/>
        </row>
        <row r="1336">
          <cell r="A1336">
            <v>20231333</v>
          </cell>
          <cell r="B1336"/>
          <cell r="C1336"/>
          <cell r="D1336"/>
          <cell r="E1336"/>
          <cell r="F1336"/>
          <cell r="G1336"/>
          <cell r="H1336"/>
          <cell r="I1336"/>
          <cell r="J1336"/>
          <cell r="K1336"/>
          <cell r="L1336"/>
          <cell r="M1336"/>
        </row>
        <row r="1337">
          <cell r="A1337">
            <v>20231334</v>
          </cell>
          <cell r="B1337"/>
          <cell r="C1337"/>
          <cell r="D1337"/>
          <cell r="E1337"/>
          <cell r="F1337"/>
          <cell r="G1337"/>
          <cell r="H1337"/>
          <cell r="I1337"/>
          <cell r="J1337"/>
          <cell r="K1337"/>
          <cell r="L1337"/>
          <cell r="M1337"/>
        </row>
        <row r="1338">
          <cell r="A1338">
            <v>20231335</v>
          </cell>
          <cell r="B1338"/>
          <cell r="C1338"/>
          <cell r="D1338"/>
          <cell r="E1338"/>
          <cell r="F1338"/>
          <cell r="G1338"/>
          <cell r="H1338"/>
          <cell r="I1338"/>
          <cell r="J1338"/>
          <cell r="K1338"/>
          <cell r="L1338"/>
          <cell r="M1338"/>
        </row>
        <row r="1339">
          <cell r="A1339">
            <v>20231336</v>
          </cell>
          <cell r="B1339"/>
          <cell r="C1339"/>
          <cell r="D1339"/>
          <cell r="E1339"/>
          <cell r="F1339"/>
          <cell r="G1339"/>
          <cell r="H1339"/>
          <cell r="I1339"/>
          <cell r="J1339"/>
          <cell r="K1339"/>
          <cell r="L1339"/>
          <cell r="M1339"/>
        </row>
        <row r="1340">
          <cell r="A1340">
            <v>20231337</v>
          </cell>
          <cell r="B1340"/>
          <cell r="C1340"/>
          <cell r="D1340"/>
          <cell r="E1340"/>
          <cell r="F1340"/>
          <cell r="G1340"/>
          <cell r="H1340"/>
          <cell r="I1340"/>
          <cell r="J1340"/>
          <cell r="K1340"/>
          <cell r="L1340"/>
          <cell r="M1340"/>
        </row>
        <row r="1341">
          <cell r="A1341">
            <v>20231338</v>
          </cell>
          <cell r="B1341"/>
          <cell r="C1341"/>
          <cell r="D1341"/>
          <cell r="E1341"/>
          <cell r="F1341"/>
          <cell r="G1341"/>
          <cell r="H1341"/>
          <cell r="I1341"/>
          <cell r="J1341"/>
          <cell r="K1341"/>
          <cell r="L1341"/>
          <cell r="M1341"/>
        </row>
        <row r="1342">
          <cell r="A1342">
            <v>20231339</v>
          </cell>
          <cell r="B1342"/>
          <cell r="C1342"/>
          <cell r="D1342"/>
          <cell r="E1342"/>
          <cell r="F1342"/>
          <cell r="G1342"/>
          <cell r="H1342"/>
          <cell r="I1342"/>
          <cell r="J1342"/>
          <cell r="K1342"/>
          <cell r="L1342"/>
          <cell r="M1342"/>
        </row>
        <row r="1343">
          <cell r="A1343">
            <v>20231340</v>
          </cell>
          <cell r="B1343"/>
          <cell r="C1343"/>
          <cell r="D1343"/>
          <cell r="E1343"/>
          <cell r="F1343"/>
          <cell r="G1343"/>
          <cell r="H1343"/>
          <cell r="I1343"/>
          <cell r="J1343"/>
          <cell r="K1343"/>
          <cell r="L1343"/>
          <cell r="M1343"/>
        </row>
        <row r="1344">
          <cell r="A1344">
            <v>20231341</v>
          </cell>
          <cell r="B1344"/>
          <cell r="C1344"/>
          <cell r="D1344"/>
          <cell r="E1344"/>
          <cell r="F1344"/>
          <cell r="G1344"/>
          <cell r="H1344"/>
          <cell r="I1344"/>
          <cell r="J1344"/>
          <cell r="K1344"/>
          <cell r="L1344"/>
          <cell r="M1344"/>
        </row>
        <row r="1345">
          <cell r="A1345">
            <v>20231342</v>
          </cell>
          <cell r="B1345"/>
          <cell r="C1345"/>
          <cell r="D1345"/>
          <cell r="E1345"/>
          <cell r="F1345"/>
          <cell r="G1345"/>
          <cell r="H1345"/>
          <cell r="I1345"/>
          <cell r="J1345"/>
          <cell r="K1345"/>
          <cell r="L1345"/>
          <cell r="M1345"/>
        </row>
        <row r="1346">
          <cell r="A1346">
            <v>20231343</v>
          </cell>
          <cell r="B1346"/>
          <cell r="C1346"/>
          <cell r="D1346"/>
          <cell r="E1346"/>
          <cell r="F1346"/>
          <cell r="G1346"/>
          <cell r="H1346"/>
          <cell r="I1346"/>
          <cell r="J1346"/>
          <cell r="K1346"/>
          <cell r="L1346"/>
          <cell r="M1346"/>
        </row>
        <row r="1347">
          <cell r="A1347">
            <v>20231344</v>
          </cell>
          <cell r="B1347"/>
          <cell r="C1347"/>
          <cell r="D1347"/>
          <cell r="E1347"/>
          <cell r="F1347"/>
          <cell r="G1347"/>
          <cell r="H1347"/>
          <cell r="I1347"/>
          <cell r="J1347"/>
          <cell r="K1347"/>
          <cell r="L1347"/>
          <cell r="M1347"/>
        </row>
        <row r="1348">
          <cell r="A1348">
            <v>20231345</v>
          </cell>
          <cell r="B1348"/>
          <cell r="C1348"/>
          <cell r="D1348"/>
          <cell r="E1348"/>
          <cell r="F1348"/>
          <cell r="G1348"/>
          <cell r="H1348"/>
          <cell r="I1348"/>
          <cell r="J1348"/>
          <cell r="K1348"/>
          <cell r="L1348"/>
          <cell r="M1348"/>
        </row>
        <row r="1349">
          <cell r="A1349">
            <v>20231346</v>
          </cell>
          <cell r="B1349"/>
          <cell r="C1349"/>
          <cell r="D1349"/>
          <cell r="E1349"/>
          <cell r="F1349"/>
          <cell r="G1349"/>
          <cell r="H1349"/>
          <cell r="I1349"/>
          <cell r="J1349"/>
          <cell r="K1349"/>
          <cell r="L1349"/>
          <cell r="M1349"/>
        </row>
        <row r="1350">
          <cell r="A1350">
            <v>20231347</v>
          </cell>
          <cell r="B1350"/>
          <cell r="C1350"/>
          <cell r="D1350"/>
          <cell r="E1350"/>
          <cell r="F1350"/>
          <cell r="G1350"/>
          <cell r="H1350"/>
          <cell r="I1350"/>
          <cell r="J1350"/>
          <cell r="K1350"/>
          <cell r="L1350"/>
          <cell r="M1350"/>
        </row>
        <row r="1351">
          <cell r="A1351">
            <v>20231348</v>
          </cell>
          <cell r="B1351"/>
          <cell r="C1351"/>
          <cell r="D1351"/>
          <cell r="E1351"/>
          <cell r="F1351"/>
          <cell r="G1351"/>
          <cell r="H1351"/>
          <cell r="I1351"/>
          <cell r="J1351"/>
          <cell r="K1351"/>
          <cell r="L1351"/>
          <cell r="M1351"/>
        </row>
        <row r="1352">
          <cell r="A1352">
            <v>20231349</v>
          </cell>
          <cell r="B1352"/>
          <cell r="C1352"/>
          <cell r="D1352"/>
          <cell r="E1352"/>
          <cell r="F1352"/>
          <cell r="G1352"/>
          <cell r="H1352"/>
          <cell r="I1352"/>
          <cell r="J1352"/>
          <cell r="K1352"/>
          <cell r="L1352"/>
          <cell r="M1352"/>
        </row>
        <row r="1353">
          <cell r="A1353">
            <v>20231350</v>
          </cell>
          <cell r="B1353"/>
          <cell r="C1353"/>
          <cell r="D1353"/>
          <cell r="E1353"/>
          <cell r="F1353"/>
          <cell r="G1353"/>
          <cell r="H1353"/>
          <cell r="I1353"/>
          <cell r="J1353"/>
          <cell r="K1353"/>
          <cell r="L1353"/>
          <cell r="M1353"/>
        </row>
        <row r="1354">
          <cell r="A1354">
            <v>20231351</v>
          </cell>
          <cell r="B1354"/>
          <cell r="C1354"/>
          <cell r="D1354"/>
          <cell r="E1354"/>
          <cell r="F1354"/>
          <cell r="G1354"/>
          <cell r="H1354"/>
          <cell r="I1354"/>
          <cell r="J1354"/>
          <cell r="K1354"/>
          <cell r="L1354"/>
          <cell r="M1354"/>
        </row>
        <row r="1355">
          <cell r="A1355">
            <v>20231352</v>
          </cell>
          <cell r="B1355"/>
          <cell r="C1355"/>
          <cell r="D1355"/>
          <cell r="E1355"/>
          <cell r="F1355"/>
          <cell r="G1355"/>
          <cell r="H1355"/>
          <cell r="I1355"/>
          <cell r="J1355"/>
          <cell r="K1355"/>
          <cell r="L1355"/>
          <cell r="M1355"/>
        </row>
        <row r="1356">
          <cell r="A1356">
            <v>20231353</v>
          </cell>
          <cell r="B1356"/>
          <cell r="C1356"/>
          <cell r="D1356"/>
          <cell r="E1356"/>
          <cell r="F1356"/>
          <cell r="G1356"/>
          <cell r="H1356"/>
          <cell r="I1356"/>
          <cell r="J1356"/>
          <cell r="K1356"/>
          <cell r="L1356"/>
          <cell r="M1356"/>
        </row>
        <row r="1357">
          <cell r="A1357">
            <v>20231354</v>
          </cell>
          <cell r="B1357"/>
          <cell r="C1357"/>
          <cell r="D1357"/>
          <cell r="E1357"/>
          <cell r="F1357"/>
          <cell r="G1357"/>
          <cell r="H1357"/>
          <cell r="I1357"/>
          <cell r="J1357"/>
          <cell r="K1357"/>
          <cell r="L1357"/>
          <cell r="M1357"/>
        </row>
        <row r="1358">
          <cell r="A1358">
            <v>20231355</v>
          </cell>
          <cell r="B1358"/>
          <cell r="C1358"/>
          <cell r="D1358"/>
          <cell r="E1358"/>
          <cell r="F1358"/>
          <cell r="G1358"/>
          <cell r="H1358"/>
          <cell r="I1358"/>
          <cell r="J1358"/>
          <cell r="K1358"/>
          <cell r="L1358"/>
          <cell r="M1358"/>
        </row>
        <row r="1359">
          <cell r="A1359">
            <v>20231356</v>
          </cell>
          <cell r="B1359"/>
          <cell r="C1359"/>
          <cell r="D1359"/>
          <cell r="E1359"/>
          <cell r="F1359"/>
          <cell r="G1359"/>
          <cell r="H1359"/>
          <cell r="I1359"/>
          <cell r="J1359"/>
          <cell r="K1359"/>
          <cell r="L1359"/>
          <cell r="M1359"/>
        </row>
        <row r="1360">
          <cell r="A1360">
            <v>20231357</v>
          </cell>
          <cell r="B1360"/>
          <cell r="C1360"/>
          <cell r="D1360"/>
          <cell r="E1360"/>
          <cell r="F1360"/>
          <cell r="G1360"/>
          <cell r="H1360"/>
          <cell r="I1360"/>
          <cell r="J1360"/>
          <cell r="K1360"/>
          <cell r="L1360"/>
          <cell r="M1360"/>
        </row>
        <row r="1361">
          <cell r="A1361">
            <v>20231358</v>
          </cell>
          <cell r="B1361"/>
          <cell r="C1361"/>
          <cell r="D1361"/>
          <cell r="E1361"/>
          <cell r="F1361"/>
          <cell r="G1361"/>
          <cell r="H1361"/>
          <cell r="I1361"/>
          <cell r="J1361"/>
          <cell r="K1361"/>
          <cell r="L1361"/>
          <cell r="M1361"/>
        </row>
        <row r="1362">
          <cell r="A1362">
            <v>20231359</v>
          </cell>
          <cell r="B1362"/>
          <cell r="C1362"/>
          <cell r="D1362"/>
          <cell r="E1362"/>
          <cell r="F1362"/>
          <cell r="G1362"/>
          <cell r="H1362"/>
          <cell r="I1362"/>
          <cell r="J1362"/>
          <cell r="K1362"/>
          <cell r="L1362"/>
          <cell r="M1362"/>
        </row>
        <row r="1363">
          <cell r="A1363">
            <v>20231360</v>
          </cell>
          <cell r="B1363"/>
          <cell r="C1363"/>
          <cell r="D1363"/>
          <cell r="E1363"/>
          <cell r="F1363"/>
          <cell r="G1363"/>
          <cell r="H1363"/>
          <cell r="I1363"/>
          <cell r="J1363"/>
          <cell r="K1363"/>
          <cell r="L1363"/>
          <cell r="M1363"/>
        </row>
        <row r="1364">
          <cell r="A1364">
            <v>20231361</v>
          </cell>
          <cell r="B1364"/>
          <cell r="C1364"/>
          <cell r="D1364"/>
          <cell r="E1364"/>
          <cell r="F1364"/>
          <cell r="G1364"/>
          <cell r="H1364"/>
          <cell r="I1364"/>
          <cell r="J1364"/>
          <cell r="K1364"/>
          <cell r="L1364"/>
          <cell r="M1364"/>
        </row>
        <row r="1365">
          <cell r="A1365">
            <v>20231362</v>
          </cell>
          <cell r="B1365"/>
          <cell r="C1365"/>
          <cell r="D1365"/>
          <cell r="E1365"/>
          <cell r="F1365"/>
          <cell r="G1365"/>
          <cell r="H1365"/>
          <cell r="I1365"/>
          <cell r="J1365"/>
          <cell r="K1365"/>
          <cell r="L1365"/>
          <cell r="M1365"/>
        </row>
        <row r="1366">
          <cell r="A1366">
            <v>20231363</v>
          </cell>
          <cell r="B1366"/>
          <cell r="C1366"/>
          <cell r="D1366"/>
          <cell r="E1366"/>
          <cell r="F1366"/>
          <cell r="G1366"/>
          <cell r="H1366"/>
          <cell r="I1366"/>
          <cell r="J1366"/>
          <cell r="K1366"/>
          <cell r="L1366"/>
          <cell r="M1366"/>
        </row>
        <row r="1367">
          <cell r="A1367">
            <v>20231364</v>
          </cell>
          <cell r="B1367"/>
          <cell r="C1367"/>
          <cell r="D1367"/>
          <cell r="E1367"/>
          <cell r="F1367"/>
          <cell r="G1367"/>
          <cell r="H1367"/>
          <cell r="I1367"/>
          <cell r="J1367"/>
          <cell r="K1367"/>
          <cell r="L1367"/>
          <cell r="M1367"/>
        </row>
        <row r="1368">
          <cell r="A1368">
            <v>20231365</v>
          </cell>
          <cell r="B1368"/>
          <cell r="C1368"/>
          <cell r="D1368"/>
          <cell r="E1368"/>
          <cell r="F1368"/>
          <cell r="G1368"/>
          <cell r="H1368"/>
          <cell r="I1368"/>
          <cell r="J1368"/>
          <cell r="K1368"/>
          <cell r="L1368"/>
          <cell r="M1368"/>
        </row>
        <row r="1369">
          <cell r="A1369">
            <v>20231366</v>
          </cell>
          <cell r="B1369"/>
          <cell r="C1369"/>
          <cell r="D1369"/>
          <cell r="E1369"/>
          <cell r="F1369"/>
          <cell r="G1369"/>
          <cell r="H1369"/>
          <cell r="I1369"/>
          <cell r="J1369"/>
          <cell r="K1369"/>
          <cell r="L1369"/>
          <cell r="M1369"/>
        </row>
        <row r="1370">
          <cell r="A1370">
            <v>20231367</v>
          </cell>
          <cell r="B1370"/>
          <cell r="C1370"/>
          <cell r="D1370"/>
          <cell r="E1370"/>
          <cell r="F1370"/>
          <cell r="G1370"/>
          <cell r="H1370"/>
          <cell r="I1370"/>
          <cell r="J1370"/>
          <cell r="K1370"/>
          <cell r="L1370"/>
          <cell r="M1370"/>
        </row>
        <row r="1371">
          <cell r="A1371">
            <v>20231368</v>
          </cell>
          <cell r="B1371"/>
          <cell r="C1371"/>
          <cell r="D1371"/>
          <cell r="E1371"/>
          <cell r="F1371"/>
          <cell r="G1371"/>
          <cell r="H1371"/>
          <cell r="I1371"/>
          <cell r="J1371"/>
          <cell r="K1371"/>
          <cell r="L1371"/>
          <cell r="M1371"/>
        </row>
        <row r="1372">
          <cell r="A1372">
            <v>20231369</v>
          </cell>
          <cell r="B1372"/>
          <cell r="C1372"/>
          <cell r="D1372"/>
          <cell r="E1372"/>
          <cell r="F1372"/>
          <cell r="G1372"/>
          <cell r="H1372"/>
          <cell r="I1372"/>
          <cell r="J1372"/>
          <cell r="K1372"/>
          <cell r="L1372"/>
          <cell r="M1372"/>
        </row>
        <row r="1373">
          <cell r="A1373">
            <v>20231370</v>
          </cell>
          <cell r="B1373"/>
          <cell r="C1373"/>
          <cell r="D1373"/>
          <cell r="E1373"/>
          <cell r="F1373"/>
          <cell r="G1373"/>
          <cell r="H1373"/>
          <cell r="I1373"/>
          <cell r="J1373"/>
          <cell r="K1373"/>
          <cell r="L1373"/>
          <cell r="M1373"/>
        </row>
        <row r="1374">
          <cell r="A1374">
            <v>20231371</v>
          </cell>
          <cell r="B1374"/>
          <cell r="C1374"/>
          <cell r="D1374"/>
          <cell r="E1374"/>
          <cell r="F1374"/>
          <cell r="G1374"/>
          <cell r="H1374"/>
          <cell r="I1374"/>
          <cell r="J1374"/>
          <cell r="K1374"/>
          <cell r="L1374"/>
          <cell r="M1374"/>
        </row>
        <row r="1375">
          <cell r="A1375">
            <v>20231372</v>
          </cell>
          <cell r="B1375"/>
          <cell r="C1375"/>
          <cell r="D1375"/>
          <cell r="E1375"/>
          <cell r="F1375"/>
          <cell r="G1375"/>
          <cell r="H1375"/>
          <cell r="I1375"/>
          <cell r="J1375"/>
          <cell r="K1375"/>
          <cell r="L1375"/>
          <cell r="M1375"/>
        </row>
        <row r="1376">
          <cell r="A1376">
            <v>20231373</v>
          </cell>
          <cell r="B1376"/>
          <cell r="C1376"/>
          <cell r="D1376"/>
          <cell r="E1376"/>
          <cell r="F1376"/>
          <cell r="G1376"/>
          <cell r="H1376"/>
          <cell r="I1376"/>
          <cell r="J1376"/>
          <cell r="K1376"/>
          <cell r="L1376"/>
          <cell r="M1376"/>
        </row>
        <row r="1377">
          <cell r="A1377">
            <v>20231374</v>
          </cell>
          <cell r="B1377"/>
          <cell r="C1377"/>
          <cell r="D1377"/>
          <cell r="E1377"/>
          <cell r="F1377"/>
          <cell r="G1377"/>
          <cell r="H1377"/>
          <cell r="I1377"/>
          <cell r="J1377"/>
          <cell r="K1377"/>
          <cell r="L1377"/>
          <cell r="M1377"/>
        </row>
        <row r="1378">
          <cell r="A1378">
            <v>20231375</v>
          </cell>
          <cell r="B1378"/>
          <cell r="C1378"/>
          <cell r="D1378"/>
          <cell r="E1378"/>
          <cell r="F1378"/>
          <cell r="G1378"/>
          <cell r="H1378"/>
          <cell r="I1378"/>
          <cell r="J1378"/>
          <cell r="K1378"/>
          <cell r="L1378"/>
          <cell r="M1378"/>
        </row>
        <row r="1379">
          <cell r="A1379">
            <v>20231376</v>
          </cell>
          <cell r="B1379"/>
          <cell r="C1379"/>
          <cell r="D1379"/>
          <cell r="E1379"/>
          <cell r="F1379"/>
          <cell r="G1379"/>
          <cell r="H1379"/>
          <cell r="I1379"/>
          <cell r="J1379"/>
          <cell r="K1379"/>
          <cell r="L1379"/>
          <cell r="M1379"/>
        </row>
        <row r="1380">
          <cell r="A1380">
            <v>20231377</v>
          </cell>
          <cell r="B1380"/>
          <cell r="C1380"/>
          <cell r="D1380"/>
          <cell r="E1380"/>
          <cell r="F1380"/>
          <cell r="G1380"/>
          <cell r="H1380"/>
          <cell r="I1380"/>
          <cell r="J1380"/>
          <cell r="K1380"/>
          <cell r="L1380"/>
          <cell r="M1380"/>
        </row>
        <row r="1381">
          <cell r="A1381">
            <v>20231378</v>
          </cell>
          <cell r="B1381"/>
          <cell r="C1381"/>
          <cell r="D1381"/>
          <cell r="E1381"/>
          <cell r="F1381"/>
          <cell r="G1381"/>
          <cell r="H1381"/>
          <cell r="I1381"/>
          <cell r="J1381"/>
          <cell r="K1381"/>
          <cell r="L1381"/>
          <cell r="M1381"/>
        </row>
        <row r="1382">
          <cell r="A1382">
            <v>20231379</v>
          </cell>
          <cell r="B1382"/>
          <cell r="C1382"/>
          <cell r="D1382"/>
          <cell r="E1382"/>
          <cell r="F1382"/>
          <cell r="G1382"/>
          <cell r="H1382"/>
          <cell r="I1382"/>
          <cell r="J1382"/>
          <cell r="K1382"/>
          <cell r="L1382"/>
          <cell r="M1382"/>
        </row>
        <row r="1383">
          <cell r="A1383">
            <v>20231380</v>
          </cell>
          <cell r="B1383"/>
          <cell r="C1383"/>
          <cell r="D1383"/>
          <cell r="E1383"/>
          <cell r="F1383"/>
          <cell r="G1383"/>
          <cell r="H1383"/>
          <cell r="I1383"/>
          <cell r="J1383"/>
          <cell r="K1383"/>
          <cell r="L1383"/>
          <cell r="M1383"/>
        </row>
        <row r="1384">
          <cell r="A1384">
            <v>20231381</v>
          </cell>
          <cell r="B1384"/>
          <cell r="C1384"/>
          <cell r="D1384"/>
          <cell r="E1384"/>
          <cell r="F1384"/>
          <cell r="G1384"/>
          <cell r="H1384"/>
          <cell r="I1384"/>
          <cell r="J1384"/>
          <cell r="K1384"/>
          <cell r="L1384"/>
          <cell r="M1384"/>
        </row>
        <row r="1385">
          <cell r="A1385">
            <v>20231382</v>
          </cell>
          <cell r="B1385"/>
          <cell r="C1385"/>
          <cell r="D1385"/>
          <cell r="E1385"/>
          <cell r="F1385"/>
          <cell r="G1385"/>
          <cell r="H1385"/>
          <cell r="I1385"/>
          <cell r="J1385"/>
          <cell r="K1385"/>
          <cell r="L1385"/>
          <cell r="M1385"/>
        </row>
        <row r="1386">
          <cell r="A1386">
            <v>20231383</v>
          </cell>
          <cell r="B1386"/>
          <cell r="C1386"/>
          <cell r="D1386"/>
          <cell r="E1386"/>
          <cell r="F1386"/>
          <cell r="G1386"/>
          <cell r="H1386"/>
          <cell r="I1386"/>
          <cell r="J1386"/>
          <cell r="K1386"/>
          <cell r="L1386"/>
          <cell r="M1386"/>
        </row>
        <row r="1387">
          <cell r="A1387">
            <v>20231384</v>
          </cell>
          <cell r="B1387"/>
          <cell r="C1387"/>
          <cell r="D1387"/>
          <cell r="E1387"/>
          <cell r="F1387"/>
          <cell r="G1387"/>
          <cell r="H1387"/>
          <cell r="I1387"/>
          <cell r="J1387"/>
          <cell r="K1387"/>
          <cell r="L1387"/>
          <cell r="M1387"/>
        </row>
        <row r="1388">
          <cell r="A1388">
            <v>20231385</v>
          </cell>
          <cell r="B1388"/>
          <cell r="C1388"/>
          <cell r="D1388"/>
          <cell r="E1388"/>
          <cell r="F1388"/>
          <cell r="G1388"/>
          <cell r="H1388"/>
          <cell r="I1388"/>
          <cell r="J1388"/>
          <cell r="K1388"/>
          <cell r="L1388"/>
          <cell r="M1388"/>
        </row>
        <row r="1389">
          <cell r="A1389">
            <v>20231386</v>
          </cell>
          <cell r="B1389"/>
          <cell r="C1389"/>
          <cell r="D1389"/>
          <cell r="E1389"/>
          <cell r="F1389"/>
          <cell r="G1389"/>
          <cell r="H1389"/>
          <cell r="I1389"/>
          <cell r="J1389"/>
          <cell r="K1389"/>
          <cell r="L1389"/>
          <cell r="M1389"/>
        </row>
        <row r="1390">
          <cell r="A1390">
            <v>20231387</v>
          </cell>
          <cell r="B1390"/>
          <cell r="C1390"/>
          <cell r="D1390"/>
          <cell r="E1390"/>
          <cell r="F1390"/>
          <cell r="G1390"/>
          <cell r="H1390"/>
          <cell r="I1390"/>
          <cell r="J1390"/>
          <cell r="K1390"/>
          <cell r="L1390"/>
          <cell r="M1390"/>
        </row>
        <row r="1391">
          <cell r="A1391">
            <v>20231388</v>
          </cell>
          <cell r="B1391"/>
          <cell r="C1391"/>
          <cell r="D1391"/>
          <cell r="E1391"/>
          <cell r="F1391"/>
          <cell r="G1391"/>
          <cell r="H1391"/>
          <cell r="I1391"/>
          <cell r="J1391"/>
          <cell r="K1391"/>
          <cell r="L1391"/>
          <cell r="M1391"/>
        </row>
        <row r="1392">
          <cell r="A1392">
            <v>20231389</v>
          </cell>
          <cell r="B1392"/>
          <cell r="C1392"/>
          <cell r="D1392"/>
          <cell r="E1392"/>
          <cell r="F1392"/>
          <cell r="G1392"/>
          <cell r="H1392"/>
          <cell r="I1392"/>
          <cell r="J1392"/>
          <cell r="K1392"/>
          <cell r="L1392"/>
          <cell r="M1392"/>
        </row>
        <row r="1393">
          <cell r="A1393">
            <v>20231390</v>
          </cell>
          <cell r="B1393"/>
          <cell r="C1393"/>
          <cell r="D1393"/>
          <cell r="E1393"/>
          <cell r="F1393"/>
          <cell r="G1393"/>
          <cell r="H1393"/>
          <cell r="I1393"/>
          <cell r="J1393"/>
          <cell r="K1393"/>
          <cell r="L1393"/>
          <cell r="M1393"/>
        </row>
        <row r="1394">
          <cell r="A1394">
            <v>20231391</v>
          </cell>
          <cell r="B1394"/>
          <cell r="C1394"/>
          <cell r="D1394"/>
          <cell r="E1394"/>
          <cell r="F1394"/>
          <cell r="G1394"/>
          <cell r="H1394"/>
          <cell r="I1394"/>
          <cell r="J1394"/>
          <cell r="K1394"/>
          <cell r="L1394"/>
          <cell r="M1394"/>
        </row>
        <row r="1395">
          <cell r="A1395">
            <v>20231392</v>
          </cell>
          <cell r="B1395"/>
          <cell r="C1395"/>
          <cell r="D1395"/>
          <cell r="E1395"/>
          <cell r="F1395"/>
          <cell r="G1395"/>
          <cell r="H1395"/>
          <cell r="I1395"/>
          <cell r="J1395"/>
          <cell r="K1395"/>
          <cell r="L1395"/>
          <cell r="M1395"/>
        </row>
        <row r="1396">
          <cell r="A1396">
            <v>20231393</v>
          </cell>
          <cell r="B1396"/>
          <cell r="C1396"/>
          <cell r="D1396"/>
          <cell r="E1396"/>
          <cell r="F1396"/>
          <cell r="G1396"/>
          <cell r="H1396"/>
          <cell r="I1396"/>
          <cell r="J1396"/>
          <cell r="K1396"/>
          <cell r="L1396"/>
          <cell r="M1396"/>
        </row>
        <row r="1397">
          <cell r="A1397">
            <v>20231394</v>
          </cell>
          <cell r="B1397"/>
          <cell r="C1397"/>
          <cell r="D1397"/>
          <cell r="E1397"/>
          <cell r="F1397"/>
          <cell r="G1397"/>
          <cell r="H1397"/>
          <cell r="I1397"/>
          <cell r="J1397"/>
          <cell r="K1397"/>
          <cell r="L1397"/>
          <cell r="M1397"/>
        </row>
        <row r="1398">
          <cell r="A1398">
            <v>20231395</v>
          </cell>
          <cell r="B1398"/>
          <cell r="C1398"/>
          <cell r="D1398"/>
          <cell r="E1398"/>
          <cell r="F1398"/>
          <cell r="G1398"/>
          <cell r="H1398"/>
          <cell r="I1398"/>
          <cell r="J1398"/>
          <cell r="K1398"/>
          <cell r="L1398"/>
          <cell r="M1398"/>
        </row>
        <row r="1399">
          <cell r="A1399">
            <v>20231396</v>
          </cell>
          <cell r="B1399"/>
          <cell r="C1399"/>
          <cell r="D1399"/>
          <cell r="E1399"/>
          <cell r="F1399"/>
          <cell r="G1399"/>
          <cell r="H1399"/>
          <cell r="I1399"/>
          <cell r="J1399"/>
          <cell r="K1399"/>
          <cell r="L1399"/>
          <cell r="M1399"/>
        </row>
        <row r="1400">
          <cell r="A1400">
            <v>20231397</v>
          </cell>
          <cell r="B1400"/>
          <cell r="C1400"/>
          <cell r="D1400"/>
          <cell r="E1400"/>
          <cell r="F1400"/>
          <cell r="G1400"/>
          <cell r="H1400"/>
          <cell r="I1400"/>
          <cell r="J1400"/>
          <cell r="K1400"/>
          <cell r="L1400"/>
          <cell r="M1400"/>
        </row>
        <row r="1401">
          <cell r="A1401">
            <v>20231398</v>
          </cell>
          <cell r="B1401"/>
          <cell r="C1401"/>
          <cell r="D1401"/>
          <cell r="E1401"/>
          <cell r="F1401"/>
          <cell r="G1401"/>
          <cell r="H1401"/>
          <cell r="I1401"/>
          <cell r="J1401"/>
          <cell r="K1401"/>
          <cell r="L1401"/>
          <cell r="M1401"/>
        </row>
        <row r="1402">
          <cell r="A1402">
            <v>20231399</v>
          </cell>
          <cell r="B1402"/>
          <cell r="C1402"/>
          <cell r="D1402"/>
          <cell r="E1402"/>
          <cell r="F1402"/>
          <cell r="G1402"/>
          <cell r="H1402"/>
          <cell r="I1402"/>
          <cell r="J1402"/>
          <cell r="K1402"/>
          <cell r="L1402"/>
          <cell r="M1402"/>
        </row>
        <row r="1403">
          <cell r="A1403">
            <v>20231400</v>
          </cell>
          <cell r="B1403"/>
          <cell r="C1403"/>
          <cell r="D1403"/>
          <cell r="E1403"/>
          <cell r="F1403"/>
          <cell r="G1403"/>
          <cell r="H1403"/>
          <cell r="I1403"/>
          <cell r="J1403"/>
          <cell r="K1403"/>
          <cell r="L1403"/>
          <cell r="M1403"/>
        </row>
        <row r="1404">
          <cell r="A1404">
            <v>20231401</v>
          </cell>
          <cell r="B1404"/>
          <cell r="C1404"/>
          <cell r="D1404"/>
          <cell r="E1404"/>
          <cell r="F1404"/>
          <cell r="G1404"/>
          <cell r="H1404"/>
          <cell r="I1404"/>
          <cell r="J1404"/>
          <cell r="K1404"/>
          <cell r="L1404"/>
          <cell r="M1404"/>
        </row>
        <row r="1405">
          <cell r="A1405">
            <v>20231402</v>
          </cell>
          <cell r="B1405"/>
          <cell r="C1405"/>
          <cell r="D1405"/>
          <cell r="E1405"/>
          <cell r="F1405"/>
          <cell r="G1405"/>
          <cell r="H1405"/>
          <cell r="I1405"/>
          <cell r="J1405"/>
          <cell r="K1405"/>
          <cell r="L1405"/>
          <cell r="M1405"/>
        </row>
        <row r="1406">
          <cell r="A1406">
            <v>20231403</v>
          </cell>
          <cell r="B1406"/>
          <cell r="C1406"/>
          <cell r="D1406"/>
          <cell r="E1406"/>
          <cell r="F1406"/>
          <cell r="G1406"/>
          <cell r="H1406"/>
          <cell r="I1406"/>
          <cell r="J1406"/>
          <cell r="K1406"/>
          <cell r="L1406"/>
          <cell r="M1406"/>
        </row>
        <row r="1407">
          <cell r="A1407">
            <v>20231404</v>
          </cell>
          <cell r="B1407"/>
          <cell r="C1407"/>
          <cell r="D1407"/>
          <cell r="E1407"/>
          <cell r="F1407"/>
          <cell r="G1407"/>
          <cell r="H1407"/>
          <cell r="I1407"/>
          <cell r="J1407"/>
          <cell r="K1407"/>
          <cell r="L1407"/>
          <cell r="M1407"/>
        </row>
        <row r="1408">
          <cell r="A1408">
            <v>20231405</v>
          </cell>
          <cell r="B1408"/>
          <cell r="C1408"/>
          <cell r="D1408"/>
          <cell r="E1408"/>
          <cell r="F1408"/>
          <cell r="G1408"/>
          <cell r="H1408"/>
          <cell r="I1408"/>
          <cell r="J1408"/>
          <cell r="K1408"/>
          <cell r="L1408"/>
          <cell r="M1408"/>
        </row>
        <row r="1409">
          <cell r="A1409">
            <v>20231406</v>
          </cell>
          <cell r="B1409"/>
          <cell r="C1409"/>
          <cell r="D1409"/>
          <cell r="E1409"/>
          <cell r="F1409"/>
          <cell r="G1409"/>
          <cell r="H1409"/>
          <cell r="I1409"/>
          <cell r="J1409"/>
          <cell r="K1409"/>
          <cell r="L1409"/>
          <cell r="M1409"/>
        </row>
        <row r="1410">
          <cell r="A1410">
            <v>20231407</v>
          </cell>
          <cell r="B1410"/>
          <cell r="C1410"/>
          <cell r="D1410"/>
          <cell r="E1410"/>
          <cell r="F1410"/>
          <cell r="G1410"/>
          <cell r="H1410"/>
          <cell r="I1410"/>
          <cell r="J1410"/>
          <cell r="K1410"/>
          <cell r="L1410"/>
          <cell r="M1410"/>
        </row>
        <row r="1411">
          <cell r="A1411">
            <v>20231408</v>
          </cell>
          <cell r="B1411"/>
          <cell r="C1411"/>
          <cell r="D1411"/>
          <cell r="E1411"/>
          <cell r="F1411"/>
          <cell r="G1411"/>
          <cell r="H1411"/>
          <cell r="I1411"/>
          <cell r="J1411"/>
          <cell r="K1411"/>
          <cell r="L1411"/>
          <cell r="M1411"/>
        </row>
        <row r="1412">
          <cell r="A1412">
            <v>20231409</v>
          </cell>
          <cell r="B1412"/>
          <cell r="C1412"/>
          <cell r="D1412"/>
          <cell r="E1412"/>
          <cell r="F1412"/>
          <cell r="G1412"/>
          <cell r="H1412"/>
          <cell r="I1412"/>
          <cell r="J1412"/>
          <cell r="K1412"/>
          <cell r="L1412"/>
          <cell r="M1412"/>
        </row>
        <row r="1413">
          <cell r="A1413">
            <v>20231410</v>
          </cell>
          <cell r="B1413"/>
          <cell r="C1413"/>
          <cell r="D1413"/>
          <cell r="E1413"/>
          <cell r="F1413"/>
          <cell r="G1413"/>
          <cell r="H1413"/>
          <cell r="I1413"/>
          <cell r="J1413"/>
          <cell r="K1413"/>
          <cell r="L1413"/>
          <cell r="M1413"/>
        </row>
        <row r="1414">
          <cell r="A1414">
            <v>20231411</v>
          </cell>
          <cell r="B1414"/>
          <cell r="C1414"/>
          <cell r="D1414"/>
          <cell r="E1414"/>
          <cell r="F1414"/>
          <cell r="G1414"/>
          <cell r="H1414"/>
          <cell r="I1414"/>
          <cell r="J1414"/>
          <cell r="K1414"/>
          <cell r="L1414"/>
          <cell r="M1414"/>
        </row>
        <row r="1415">
          <cell r="A1415">
            <v>20231412</v>
          </cell>
          <cell r="B1415"/>
          <cell r="C1415"/>
          <cell r="D1415"/>
          <cell r="E1415"/>
          <cell r="F1415"/>
          <cell r="G1415"/>
          <cell r="H1415"/>
          <cell r="I1415"/>
          <cell r="J1415"/>
          <cell r="K1415"/>
          <cell r="L1415"/>
          <cell r="M1415"/>
        </row>
        <row r="1416">
          <cell r="A1416">
            <v>20231413</v>
          </cell>
          <cell r="B1416"/>
          <cell r="C1416"/>
          <cell r="D1416"/>
          <cell r="E1416"/>
          <cell r="F1416"/>
          <cell r="G1416"/>
          <cell r="H1416"/>
          <cell r="I1416"/>
          <cell r="J1416"/>
          <cell r="K1416"/>
          <cell r="L1416"/>
          <cell r="M1416"/>
        </row>
        <row r="1417">
          <cell r="A1417">
            <v>20231414</v>
          </cell>
          <cell r="B1417"/>
          <cell r="C1417"/>
          <cell r="D1417"/>
          <cell r="E1417"/>
          <cell r="F1417"/>
          <cell r="G1417"/>
          <cell r="H1417"/>
          <cell r="I1417"/>
          <cell r="J1417"/>
          <cell r="K1417"/>
          <cell r="L1417"/>
          <cell r="M1417"/>
        </row>
        <row r="1418">
          <cell r="A1418">
            <v>20231415</v>
          </cell>
          <cell r="B1418"/>
          <cell r="C1418"/>
          <cell r="D1418"/>
          <cell r="E1418"/>
          <cell r="F1418"/>
          <cell r="G1418"/>
          <cell r="H1418"/>
          <cell r="I1418"/>
          <cell r="J1418"/>
          <cell r="K1418"/>
          <cell r="L1418"/>
          <cell r="M1418"/>
        </row>
        <row r="1419">
          <cell r="A1419">
            <v>20231416</v>
          </cell>
          <cell r="B1419"/>
          <cell r="C1419"/>
          <cell r="D1419"/>
          <cell r="E1419"/>
          <cell r="F1419"/>
          <cell r="G1419"/>
          <cell r="H1419"/>
          <cell r="I1419"/>
          <cell r="J1419"/>
          <cell r="K1419"/>
          <cell r="L1419"/>
          <cell r="M1419"/>
        </row>
        <row r="1420">
          <cell r="A1420">
            <v>20231417</v>
          </cell>
          <cell r="B1420"/>
          <cell r="C1420"/>
          <cell r="D1420"/>
          <cell r="E1420"/>
          <cell r="F1420"/>
          <cell r="G1420"/>
          <cell r="H1420"/>
          <cell r="I1420"/>
          <cell r="J1420"/>
          <cell r="K1420"/>
          <cell r="L1420"/>
          <cell r="M1420"/>
        </row>
        <row r="1421">
          <cell r="A1421">
            <v>20231418</v>
          </cell>
          <cell r="B1421"/>
          <cell r="C1421"/>
          <cell r="D1421"/>
          <cell r="E1421"/>
          <cell r="F1421"/>
          <cell r="G1421"/>
          <cell r="H1421"/>
          <cell r="I1421"/>
          <cell r="J1421"/>
          <cell r="K1421"/>
          <cell r="L1421"/>
          <cell r="M1421"/>
        </row>
        <row r="1422">
          <cell r="A1422">
            <v>20231419</v>
          </cell>
          <cell r="B1422"/>
          <cell r="C1422"/>
          <cell r="D1422"/>
          <cell r="E1422"/>
          <cell r="F1422"/>
          <cell r="G1422"/>
          <cell r="H1422"/>
          <cell r="I1422"/>
          <cell r="J1422"/>
          <cell r="K1422"/>
          <cell r="L1422"/>
          <cell r="M1422"/>
        </row>
        <row r="1423">
          <cell r="A1423">
            <v>20231420</v>
          </cell>
          <cell r="B1423"/>
          <cell r="C1423"/>
          <cell r="D1423"/>
          <cell r="E1423"/>
          <cell r="F1423"/>
          <cell r="G1423"/>
          <cell r="H1423"/>
          <cell r="I1423"/>
          <cell r="J1423"/>
          <cell r="K1423"/>
          <cell r="L1423"/>
          <cell r="M1423"/>
        </row>
        <row r="1424">
          <cell r="A1424">
            <v>20231421</v>
          </cell>
          <cell r="B1424"/>
          <cell r="C1424"/>
          <cell r="D1424"/>
          <cell r="E1424"/>
          <cell r="F1424"/>
          <cell r="G1424"/>
          <cell r="H1424"/>
          <cell r="I1424"/>
          <cell r="J1424"/>
          <cell r="K1424"/>
          <cell r="L1424"/>
          <cell r="M1424"/>
        </row>
        <row r="1425">
          <cell r="A1425">
            <v>20231422</v>
          </cell>
          <cell r="B1425"/>
          <cell r="C1425"/>
          <cell r="D1425"/>
          <cell r="E1425"/>
          <cell r="F1425"/>
          <cell r="G1425"/>
          <cell r="H1425"/>
          <cell r="I1425"/>
          <cell r="J1425"/>
          <cell r="K1425"/>
          <cell r="L1425"/>
          <cell r="M1425"/>
        </row>
        <row r="1426">
          <cell r="A1426">
            <v>20231423</v>
          </cell>
          <cell r="B1426"/>
          <cell r="C1426"/>
          <cell r="D1426"/>
          <cell r="E1426"/>
          <cell r="F1426"/>
          <cell r="G1426"/>
          <cell r="H1426"/>
          <cell r="I1426"/>
          <cell r="J1426"/>
          <cell r="K1426"/>
          <cell r="L1426"/>
          <cell r="M1426"/>
        </row>
        <row r="1427">
          <cell r="A1427">
            <v>20231424</v>
          </cell>
          <cell r="B1427"/>
          <cell r="C1427"/>
          <cell r="D1427"/>
          <cell r="E1427"/>
          <cell r="F1427"/>
          <cell r="G1427"/>
          <cell r="H1427"/>
          <cell r="I1427"/>
          <cell r="J1427"/>
          <cell r="K1427"/>
          <cell r="L1427"/>
          <cell r="M1427"/>
        </row>
        <row r="1428">
          <cell r="A1428">
            <v>20231425</v>
          </cell>
          <cell r="B1428"/>
          <cell r="C1428"/>
          <cell r="D1428"/>
          <cell r="E1428"/>
          <cell r="F1428"/>
          <cell r="G1428"/>
          <cell r="H1428"/>
          <cell r="I1428"/>
          <cell r="J1428"/>
          <cell r="K1428"/>
          <cell r="L1428"/>
          <cell r="M1428"/>
        </row>
        <row r="1429">
          <cell r="A1429">
            <v>20231426</v>
          </cell>
          <cell r="B1429"/>
          <cell r="C1429"/>
          <cell r="D1429"/>
          <cell r="E1429"/>
          <cell r="F1429"/>
          <cell r="G1429"/>
          <cell r="H1429"/>
          <cell r="I1429"/>
          <cell r="J1429"/>
          <cell r="K1429"/>
          <cell r="L1429"/>
          <cell r="M1429"/>
        </row>
        <row r="1430">
          <cell r="A1430">
            <v>20231427</v>
          </cell>
          <cell r="B1430"/>
          <cell r="C1430"/>
          <cell r="D1430"/>
          <cell r="E1430"/>
          <cell r="F1430"/>
          <cell r="G1430"/>
          <cell r="H1430"/>
          <cell r="I1430"/>
          <cell r="J1430"/>
          <cell r="K1430"/>
          <cell r="L1430"/>
          <cell r="M1430"/>
        </row>
        <row r="1431">
          <cell r="A1431">
            <v>20231428</v>
          </cell>
          <cell r="B1431"/>
          <cell r="C1431"/>
          <cell r="D1431"/>
          <cell r="E1431"/>
          <cell r="F1431"/>
          <cell r="G1431"/>
          <cell r="H1431"/>
          <cell r="I1431"/>
          <cell r="J1431"/>
          <cell r="K1431"/>
          <cell r="L1431"/>
          <cell r="M1431"/>
        </row>
        <row r="1432">
          <cell r="A1432">
            <v>20231429</v>
          </cell>
          <cell r="B1432"/>
          <cell r="C1432"/>
          <cell r="D1432"/>
          <cell r="E1432"/>
          <cell r="F1432"/>
          <cell r="G1432"/>
          <cell r="H1432"/>
          <cell r="I1432"/>
          <cell r="J1432"/>
          <cell r="K1432"/>
          <cell r="L1432"/>
          <cell r="M1432"/>
        </row>
        <row r="1433">
          <cell r="A1433">
            <v>20231430</v>
          </cell>
          <cell r="B1433"/>
          <cell r="C1433"/>
          <cell r="D1433"/>
          <cell r="E1433"/>
          <cell r="F1433"/>
          <cell r="G1433"/>
          <cell r="H1433"/>
          <cell r="I1433"/>
          <cell r="J1433"/>
          <cell r="K1433"/>
          <cell r="L1433"/>
          <cell r="M1433"/>
        </row>
        <row r="1434">
          <cell r="A1434">
            <v>20231431</v>
          </cell>
          <cell r="B1434"/>
          <cell r="C1434"/>
          <cell r="D1434"/>
          <cell r="E1434"/>
          <cell r="F1434"/>
          <cell r="G1434"/>
          <cell r="H1434"/>
          <cell r="I1434"/>
          <cell r="J1434"/>
          <cell r="K1434"/>
          <cell r="L1434"/>
          <cell r="M1434"/>
        </row>
        <row r="1435">
          <cell r="A1435">
            <v>20231432</v>
          </cell>
          <cell r="B1435"/>
          <cell r="C1435"/>
          <cell r="D1435"/>
          <cell r="E1435"/>
          <cell r="F1435"/>
          <cell r="G1435"/>
          <cell r="H1435"/>
          <cell r="I1435"/>
          <cell r="J1435"/>
          <cell r="K1435"/>
          <cell r="L1435"/>
          <cell r="M1435"/>
        </row>
        <row r="1436">
          <cell r="A1436">
            <v>20231433</v>
          </cell>
          <cell r="B1436"/>
          <cell r="C1436"/>
          <cell r="D1436"/>
          <cell r="E1436"/>
          <cell r="F1436"/>
          <cell r="G1436"/>
          <cell r="H1436"/>
          <cell r="I1436"/>
          <cell r="J1436"/>
          <cell r="K1436"/>
          <cell r="L1436"/>
          <cell r="M1436"/>
        </row>
        <row r="1437">
          <cell r="A1437">
            <v>20231434</v>
          </cell>
          <cell r="B1437"/>
          <cell r="C1437"/>
          <cell r="D1437"/>
          <cell r="E1437"/>
          <cell r="F1437"/>
          <cell r="G1437"/>
          <cell r="H1437"/>
          <cell r="I1437"/>
          <cell r="J1437"/>
          <cell r="K1437"/>
          <cell r="L1437"/>
          <cell r="M1437"/>
        </row>
        <row r="1438">
          <cell r="A1438">
            <v>20231435</v>
          </cell>
          <cell r="B1438"/>
          <cell r="C1438"/>
          <cell r="D1438"/>
          <cell r="E1438"/>
          <cell r="F1438"/>
          <cell r="G1438"/>
          <cell r="H1438"/>
          <cell r="I1438"/>
          <cell r="J1438"/>
          <cell r="K1438"/>
          <cell r="L1438"/>
          <cell r="M1438"/>
        </row>
        <row r="1439">
          <cell r="A1439">
            <v>20231436</v>
          </cell>
          <cell r="B1439"/>
          <cell r="C1439"/>
          <cell r="D1439"/>
          <cell r="E1439"/>
          <cell r="F1439"/>
          <cell r="G1439"/>
          <cell r="H1439"/>
          <cell r="I1439"/>
          <cell r="J1439"/>
          <cell r="K1439"/>
          <cell r="L1439"/>
          <cell r="M1439"/>
        </row>
        <row r="1440">
          <cell r="A1440">
            <v>20231437</v>
          </cell>
          <cell r="B1440"/>
          <cell r="C1440"/>
          <cell r="D1440"/>
          <cell r="E1440"/>
          <cell r="F1440"/>
          <cell r="G1440"/>
          <cell r="H1440"/>
          <cell r="I1440"/>
          <cell r="J1440"/>
          <cell r="K1440"/>
          <cell r="L1440"/>
          <cell r="M1440"/>
        </row>
        <row r="1441">
          <cell r="A1441">
            <v>20231438</v>
          </cell>
          <cell r="B1441"/>
          <cell r="C1441"/>
          <cell r="D1441"/>
          <cell r="E1441"/>
          <cell r="F1441"/>
          <cell r="G1441"/>
          <cell r="H1441"/>
          <cell r="I1441"/>
          <cell r="J1441"/>
          <cell r="K1441"/>
          <cell r="L1441"/>
          <cell r="M1441"/>
        </row>
        <row r="1442">
          <cell r="A1442">
            <v>20231439</v>
          </cell>
          <cell r="B1442"/>
          <cell r="C1442"/>
          <cell r="D1442"/>
          <cell r="E1442"/>
          <cell r="F1442"/>
          <cell r="G1442"/>
          <cell r="H1442"/>
          <cell r="I1442"/>
          <cell r="J1442"/>
          <cell r="K1442"/>
          <cell r="L1442"/>
          <cell r="M1442"/>
        </row>
        <row r="1443">
          <cell r="A1443">
            <v>20231440</v>
          </cell>
          <cell r="B1443"/>
          <cell r="C1443"/>
          <cell r="D1443"/>
          <cell r="E1443"/>
          <cell r="F1443"/>
          <cell r="G1443"/>
          <cell r="H1443"/>
          <cell r="I1443"/>
          <cell r="J1443"/>
          <cell r="K1443"/>
          <cell r="L1443"/>
          <cell r="M1443"/>
        </row>
        <row r="1444">
          <cell r="A1444">
            <v>20231441</v>
          </cell>
          <cell r="B1444"/>
          <cell r="C1444"/>
          <cell r="D1444"/>
          <cell r="E1444"/>
          <cell r="F1444"/>
          <cell r="G1444"/>
          <cell r="H1444"/>
          <cell r="I1444"/>
          <cell r="J1444"/>
          <cell r="K1444"/>
          <cell r="L1444"/>
          <cell r="M1444"/>
        </row>
        <row r="1445">
          <cell r="A1445">
            <v>20231442</v>
          </cell>
          <cell r="B1445"/>
          <cell r="C1445"/>
          <cell r="D1445"/>
          <cell r="E1445"/>
          <cell r="F1445"/>
          <cell r="G1445"/>
          <cell r="H1445"/>
          <cell r="I1445"/>
          <cell r="J1445"/>
          <cell r="K1445"/>
          <cell r="L1445"/>
          <cell r="M1445"/>
        </row>
        <row r="1446">
          <cell r="A1446">
            <v>20231443</v>
          </cell>
          <cell r="B1446"/>
          <cell r="C1446"/>
          <cell r="D1446"/>
          <cell r="E1446"/>
          <cell r="F1446"/>
          <cell r="G1446"/>
          <cell r="H1446"/>
          <cell r="I1446"/>
          <cell r="J1446"/>
          <cell r="K1446"/>
          <cell r="L1446"/>
          <cell r="M1446"/>
        </row>
        <row r="1447">
          <cell r="A1447">
            <v>20231444</v>
          </cell>
          <cell r="B1447"/>
          <cell r="C1447"/>
          <cell r="D1447"/>
          <cell r="E1447"/>
          <cell r="F1447"/>
          <cell r="G1447"/>
          <cell r="H1447"/>
          <cell r="I1447"/>
          <cell r="J1447"/>
          <cell r="K1447"/>
          <cell r="L1447"/>
          <cell r="M1447"/>
        </row>
        <row r="1448">
          <cell r="A1448">
            <v>20231445</v>
          </cell>
          <cell r="B1448"/>
          <cell r="C1448"/>
          <cell r="D1448"/>
          <cell r="E1448"/>
          <cell r="F1448"/>
          <cell r="G1448"/>
          <cell r="H1448"/>
          <cell r="I1448"/>
          <cell r="J1448"/>
          <cell r="K1448"/>
          <cell r="L1448"/>
          <cell r="M1448"/>
        </row>
        <row r="1449">
          <cell r="A1449">
            <v>20231446</v>
          </cell>
          <cell r="B1449"/>
          <cell r="C1449"/>
          <cell r="D1449"/>
          <cell r="E1449"/>
          <cell r="F1449"/>
          <cell r="G1449"/>
          <cell r="H1449"/>
          <cell r="I1449"/>
          <cell r="J1449"/>
          <cell r="K1449"/>
          <cell r="L1449"/>
          <cell r="M1449"/>
        </row>
        <row r="1450">
          <cell r="A1450">
            <v>20231447</v>
          </cell>
          <cell r="B1450"/>
          <cell r="C1450"/>
          <cell r="D1450"/>
          <cell r="E1450"/>
          <cell r="F1450"/>
          <cell r="G1450"/>
          <cell r="H1450"/>
          <cell r="I1450"/>
          <cell r="J1450"/>
          <cell r="K1450"/>
          <cell r="L1450"/>
          <cell r="M1450"/>
        </row>
        <row r="1451">
          <cell r="A1451">
            <v>20231448</v>
          </cell>
          <cell r="B1451"/>
          <cell r="C1451"/>
          <cell r="D1451"/>
          <cell r="E1451"/>
          <cell r="F1451"/>
          <cell r="G1451"/>
          <cell r="H1451"/>
          <cell r="I1451"/>
          <cell r="J1451"/>
          <cell r="K1451"/>
          <cell r="L1451"/>
          <cell r="M1451"/>
        </row>
        <row r="1452">
          <cell r="A1452">
            <v>20231449</v>
          </cell>
          <cell r="B1452"/>
          <cell r="C1452"/>
          <cell r="D1452"/>
          <cell r="E1452"/>
          <cell r="F1452"/>
          <cell r="G1452"/>
          <cell r="H1452"/>
          <cell r="I1452"/>
          <cell r="J1452"/>
          <cell r="K1452"/>
          <cell r="L1452"/>
          <cell r="M1452"/>
        </row>
        <row r="1453">
          <cell r="A1453">
            <v>20231450</v>
          </cell>
          <cell r="B1453"/>
          <cell r="C1453"/>
          <cell r="D1453"/>
          <cell r="E1453"/>
          <cell r="F1453"/>
          <cell r="G1453"/>
          <cell r="H1453"/>
          <cell r="I1453"/>
          <cell r="J1453"/>
          <cell r="K1453"/>
          <cell r="L1453"/>
          <cell r="M1453"/>
        </row>
        <row r="1454">
          <cell r="A1454">
            <v>20231451</v>
          </cell>
          <cell r="B1454"/>
          <cell r="C1454"/>
          <cell r="D1454"/>
          <cell r="E1454"/>
          <cell r="F1454"/>
          <cell r="G1454"/>
          <cell r="H1454"/>
          <cell r="I1454"/>
          <cell r="J1454"/>
          <cell r="K1454"/>
          <cell r="L1454"/>
          <cell r="M1454"/>
        </row>
        <row r="1455">
          <cell r="A1455">
            <v>20231452</v>
          </cell>
          <cell r="B1455"/>
          <cell r="C1455"/>
          <cell r="D1455"/>
          <cell r="E1455"/>
          <cell r="F1455"/>
          <cell r="G1455"/>
          <cell r="H1455"/>
          <cell r="I1455"/>
          <cell r="J1455"/>
          <cell r="K1455"/>
          <cell r="L1455"/>
          <cell r="M1455"/>
        </row>
        <row r="1456">
          <cell r="A1456">
            <v>20231453</v>
          </cell>
          <cell r="B1456"/>
          <cell r="C1456"/>
          <cell r="D1456"/>
          <cell r="E1456"/>
          <cell r="F1456"/>
          <cell r="G1456"/>
          <cell r="H1456"/>
          <cell r="I1456"/>
          <cell r="J1456"/>
          <cell r="K1456"/>
          <cell r="L1456"/>
          <cell r="M1456"/>
        </row>
        <row r="1457">
          <cell r="A1457">
            <v>20231454</v>
          </cell>
          <cell r="B1457"/>
          <cell r="C1457"/>
          <cell r="D1457"/>
          <cell r="E1457"/>
          <cell r="F1457"/>
          <cell r="G1457"/>
          <cell r="H1457"/>
          <cell r="I1457"/>
          <cell r="J1457"/>
          <cell r="K1457"/>
          <cell r="L1457"/>
          <cell r="M1457"/>
        </row>
        <row r="1458">
          <cell r="A1458">
            <v>20231455</v>
          </cell>
          <cell r="B1458"/>
          <cell r="C1458"/>
          <cell r="D1458"/>
          <cell r="E1458"/>
          <cell r="F1458"/>
          <cell r="G1458"/>
          <cell r="H1458"/>
          <cell r="I1458"/>
          <cell r="J1458"/>
          <cell r="K1458"/>
          <cell r="L1458"/>
          <cell r="M1458"/>
        </row>
        <row r="1459">
          <cell r="A1459">
            <v>20231456</v>
          </cell>
          <cell r="B1459"/>
          <cell r="C1459"/>
          <cell r="D1459"/>
          <cell r="E1459"/>
          <cell r="F1459"/>
          <cell r="G1459"/>
          <cell r="H1459"/>
          <cell r="I1459"/>
          <cell r="J1459"/>
          <cell r="K1459"/>
          <cell r="L1459"/>
          <cell r="M1459"/>
        </row>
        <row r="1460">
          <cell r="A1460">
            <v>20231457</v>
          </cell>
          <cell r="B1460"/>
          <cell r="C1460"/>
          <cell r="D1460"/>
          <cell r="E1460"/>
          <cell r="F1460"/>
          <cell r="G1460"/>
          <cell r="H1460"/>
          <cell r="I1460"/>
          <cell r="J1460"/>
          <cell r="K1460"/>
          <cell r="L1460"/>
          <cell r="M1460"/>
        </row>
        <row r="1461">
          <cell r="A1461">
            <v>20231458</v>
          </cell>
          <cell r="B1461"/>
          <cell r="C1461"/>
          <cell r="D1461"/>
          <cell r="E1461"/>
          <cell r="F1461"/>
          <cell r="G1461"/>
          <cell r="H1461"/>
          <cell r="I1461"/>
          <cell r="J1461"/>
          <cell r="K1461"/>
          <cell r="L1461"/>
          <cell r="M1461"/>
        </row>
        <row r="1462">
          <cell r="A1462">
            <v>20231459</v>
          </cell>
          <cell r="B1462"/>
          <cell r="C1462"/>
          <cell r="D1462"/>
          <cell r="E1462"/>
          <cell r="F1462"/>
          <cell r="G1462"/>
          <cell r="H1462"/>
          <cell r="I1462"/>
          <cell r="J1462"/>
          <cell r="K1462"/>
          <cell r="L1462"/>
          <cell r="M1462"/>
        </row>
        <row r="1463">
          <cell r="A1463">
            <v>20231460</v>
          </cell>
          <cell r="B1463"/>
          <cell r="C1463"/>
          <cell r="D1463"/>
          <cell r="E1463"/>
          <cell r="F1463"/>
          <cell r="G1463"/>
          <cell r="H1463"/>
          <cell r="I1463"/>
          <cell r="J1463"/>
          <cell r="K1463"/>
          <cell r="L1463"/>
          <cell r="M1463"/>
        </row>
        <row r="1464">
          <cell r="A1464">
            <v>20231461</v>
          </cell>
          <cell r="B1464"/>
          <cell r="C1464"/>
          <cell r="D1464"/>
          <cell r="E1464"/>
          <cell r="F1464"/>
          <cell r="G1464"/>
          <cell r="H1464"/>
          <cell r="I1464"/>
          <cell r="J1464"/>
          <cell r="K1464"/>
          <cell r="L1464"/>
          <cell r="M1464"/>
        </row>
        <row r="1465">
          <cell r="A1465">
            <v>20231462</v>
          </cell>
          <cell r="B1465"/>
          <cell r="C1465"/>
          <cell r="D1465"/>
          <cell r="E1465"/>
          <cell r="F1465"/>
          <cell r="G1465"/>
          <cell r="H1465"/>
          <cell r="I1465"/>
          <cell r="J1465"/>
          <cell r="K1465"/>
          <cell r="L1465"/>
          <cell r="M1465"/>
        </row>
        <row r="1466">
          <cell r="A1466">
            <v>20231463</v>
          </cell>
          <cell r="B1466"/>
          <cell r="C1466"/>
          <cell r="D1466"/>
          <cell r="E1466"/>
          <cell r="F1466"/>
          <cell r="G1466"/>
          <cell r="H1466"/>
          <cell r="I1466"/>
          <cell r="J1466"/>
          <cell r="K1466"/>
          <cell r="L1466"/>
          <cell r="M1466"/>
        </row>
        <row r="1467">
          <cell r="A1467">
            <v>20231464</v>
          </cell>
          <cell r="B1467"/>
          <cell r="C1467"/>
          <cell r="D1467"/>
          <cell r="E1467"/>
          <cell r="F1467"/>
          <cell r="G1467"/>
          <cell r="H1467"/>
          <cell r="I1467"/>
          <cell r="J1467"/>
          <cell r="K1467"/>
          <cell r="L1467"/>
          <cell r="M1467"/>
        </row>
        <row r="1468">
          <cell r="A1468">
            <v>20231465</v>
          </cell>
          <cell r="B1468"/>
          <cell r="C1468"/>
          <cell r="D1468"/>
          <cell r="E1468"/>
          <cell r="F1468"/>
          <cell r="G1468"/>
          <cell r="H1468"/>
          <cell r="I1468"/>
          <cell r="J1468"/>
          <cell r="K1468"/>
          <cell r="L1468"/>
          <cell r="M1468"/>
        </row>
        <row r="1469">
          <cell r="A1469">
            <v>20231466</v>
          </cell>
          <cell r="B1469"/>
          <cell r="C1469"/>
          <cell r="D1469"/>
          <cell r="E1469"/>
          <cell r="F1469"/>
          <cell r="G1469"/>
          <cell r="H1469"/>
          <cell r="I1469"/>
          <cell r="J1469"/>
          <cell r="K1469"/>
          <cell r="L1469"/>
          <cell r="M1469"/>
        </row>
        <row r="1470">
          <cell r="A1470">
            <v>20231467</v>
          </cell>
          <cell r="B1470"/>
          <cell r="C1470"/>
          <cell r="D1470"/>
          <cell r="E1470"/>
          <cell r="F1470"/>
          <cell r="G1470"/>
          <cell r="H1470"/>
          <cell r="I1470"/>
          <cell r="J1470"/>
          <cell r="K1470"/>
          <cell r="L1470"/>
          <cell r="M1470"/>
        </row>
        <row r="1471">
          <cell r="A1471">
            <v>20231468</v>
          </cell>
          <cell r="B1471"/>
          <cell r="C1471"/>
          <cell r="D1471"/>
          <cell r="E1471"/>
          <cell r="F1471"/>
          <cell r="G1471"/>
          <cell r="H1471"/>
          <cell r="I1471"/>
          <cell r="J1471"/>
          <cell r="K1471"/>
          <cell r="L1471"/>
          <cell r="M1471"/>
        </row>
        <row r="1472">
          <cell r="A1472">
            <v>20231469</v>
          </cell>
          <cell r="B1472"/>
          <cell r="C1472"/>
          <cell r="D1472"/>
          <cell r="E1472"/>
          <cell r="F1472"/>
          <cell r="G1472"/>
          <cell r="H1472"/>
          <cell r="I1472"/>
          <cell r="J1472"/>
          <cell r="K1472"/>
          <cell r="L1472"/>
          <cell r="M1472"/>
        </row>
        <row r="1473">
          <cell r="A1473">
            <v>20231470</v>
          </cell>
          <cell r="B1473"/>
          <cell r="C1473"/>
          <cell r="D1473"/>
          <cell r="E1473"/>
          <cell r="F1473"/>
          <cell r="G1473"/>
          <cell r="H1473"/>
          <cell r="I1473"/>
          <cell r="J1473"/>
          <cell r="K1473"/>
          <cell r="L1473"/>
          <cell r="M1473"/>
        </row>
        <row r="1474">
          <cell r="A1474">
            <v>20231471</v>
          </cell>
          <cell r="B1474"/>
          <cell r="C1474"/>
          <cell r="D1474"/>
          <cell r="E1474"/>
          <cell r="F1474"/>
          <cell r="G1474"/>
          <cell r="H1474"/>
          <cell r="I1474"/>
          <cell r="J1474"/>
          <cell r="K1474"/>
          <cell r="L1474"/>
          <cell r="M1474"/>
        </row>
        <row r="1475">
          <cell r="A1475">
            <v>20231472</v>
          </cell>
          <cell r="B1475"/>
          <cell r="C1475"/>
          <cell r="D1475"/>
          <cell r="E1475"/>
          <cell r="F1475"/>
          <cell r="G1475"/>
          <cell r="H1475"/>
          <cell r="I1475"/>
          <cell r="J1475"/>
          <cell r="K1475"/>
          <cell r="L1475"/>
          <cell r="M1475"/>
        </row>
        <row r="1476">
          <cell r="A1476">
            <v>20231473</v>
          </cell>
          <cell r="B1476"/>
          <cell r="C1476"/>
          <cell r="D1476"/>
          <cell r="E1476"/>
          <cell r="F1476"/>
          <cell r="G1476"/>
          <cell r="H1476"/>
          <cell r="I1476"/>
          <cell r="J1476"/>
          <cell r="K1476"/>
          <cell r="L1476"/>
          <cell r="M1476"/>
        </row>
        <row r="1477">
          <cell r="A1477">
            <v>20231474</v>
          </cell>
          <cell r="B1477"/>
          <cell r="C1477"/>
          <cell r="D1477"/>
          <cell r="E1477"/>
          <cell r="F1477"/>
          <cell r="G1477"/>
          <cell r="H1477"/>
          <cell r="I1477"/>
          <cell r="J1477"/>
          <cell r="K1477"/>
          <cell r="L1477"/>
          <cell r="M1477"/>
        </row>
        <row r="1478">
          <cell r="A1478">
            <v>20231475</v>
          </cell>
          <cell r="B1478"/>
          <cell r="C1478"/>
          <cell r="D1478"/>
          <cell r="E1478"/>
          <cell r="F1478"/>
          <cell r="G1478"/>
          <cell r="H1478"/>
          <cell r="I1478"/>
          <cell r="J1478"/>
          <cell r="K1478"/>
          <cell r="L1478"/>
          <cell r="M1478"/>
        </row>
        <row r="1479">
          <cell r="A1479">
            <v>20231476</v>
          </cell>
          <cell r="B1479"/>
          <cell r="C1479"/>
          <cell r="D1479"/>
          <cell r="E1479"/>
          <cell r="F1479"/>
          <cell r="G1479"/>
          <cell r="H1479"/>
          <cell r="I1479"/>
          <cell r="J1479"/>
          <cell r="K1479"/>
          <cell r="L1479"/>
          <cell r="M1479"/>
        </row>
        <row r="1480">
          <cell r="A1480">
            <v>20231477</v>
          </cell>
          <cell r="B1480"/>
          <cell r="C1480"/>
          <cell r="D1480"/>
          <cell r="E1480"/>
          <cell r="F1480"/>
          <cell r="G1480"/>
          <cell r="H1480"/>
          <cell r="I1480"/>
          <cell r="J1480"/>
          <cell r="K1480"/>
          <cell r="L1480"/>
          <cell r="M1480"/>
        </row>
        <row r="1481">
          <cell r="A1481">
            <v>20231478</v>
          </cell>
          <cell r="B1481"/>
          <cell r="C1481"/>
          <cell r="D1481"/>
          <cell r="E1481"/>
          <cell r="F1481"/>
          <cell r="G1481"/>
          <cell r="H1481"/>
          <cell r="I1481"/>
          <cell r="J1481"/>
          <cell r="K1481"/>
          <cell r="L1481"/>
          <cell r="M1481"/>
        </row>
        <row r="1482">
          <cell r="A1482">
            <v>20231479</v>
          </cell>
          <cell r="B1482"/>
          <cell r="C1482"/>
          <cell r="D1482"/>
          <cell r="E1482"/>
          <cell r="F1482"/>
          <cell r="G1482"/>
          <cell r="H1482"/>
          <cell r="I1482"/>
          <cell r="J1482"/>
          <cell r="K1482"/>
          <cell r="L1482"/>
          <cell r="M1482"/>
        </row>
        <row r="1483">
          <cell r="A1483">
            <v>20231480</v>
          </cell>
          <cell r="B1483"/>
          <cell r="C1483"/>
          <cell r="D1483"/>
          <cell r="E1483"/>
          <cell r="F1483"/>
          <cell r="G1483"/>
          <cell r="H1483"/>
          <cell r="I1483"/>
          <cell r="J1483"/>
          <cell r="K1483"/>
          <cell r="L1483"/>
          <cell r="M1483"/>
        </row>
        <row r="1484">
          <cell r="A1484">
            <v>20231481</v>
          </cell>
          <cell r="B1484"/>
          <cell r="C1484"/>
          <cell r="D1484"/>
          <cell r="E1484"/>
          <cell r="F1484"/>
          <cell r="G1484"/>
          <cell r="H1484"/>
          <cell r="I1484"/>
          <cell r="J1484"/>
          <cell r="K1484"/>
          <cell r="L1484"/>
          <cell r="M1484"/>
        </row>
        <row r="1485">
          <cell r="A1485">
            <v>20231482</v>
          </cell>
          <cell r="B1485"/>
          <cell r="C1485"/>
          <cell r="D1485"/>
          <cell r="E1485"/>
          <cell r="F1485"/>
          <cell r="G1485"/>
          <cell r="H1485"/>
          <cell r="I1485"/>
          <cell r="J1485"/>
          <cell r="K1485"/>
          <cell r="L1485"/>
          <cell r="M1485"/>
        </row>
        <row r="1486">
          <cell r="A1486">
            <v>20231483</v>
          </cell>
          <cell r="B1486"/>
          <cell r="C1486"/>
          <cell r="D1486"/>
          <cell r="E1486"/>
          <cell r="F1486"/>
          <cell r="G1486"/>
          <cell r="H1486"/>
          <cell r="I1486"/>
          <cell r="J1486"/>
          <cell r="K1486"/>
          <cell r="L1486"/>
          <cell r="M1486"/>
        </row>
        <row r="1487">
          <cell r="A1487">
            <v>20231484</v>
          </cell>
          <cell r="B1487"/>
          <cell r="C1487"/>
          <cell r="D1487"/>
          <cell r="E1487"/>
          <cell r="F1487"/>
          <cell r="G1487"/>
          <cell r="H1487"/>
          <cell r="I1487"/>
          <cell r="J1487"/>
          <cell r="K1487"/>
          <cell r="L1487"/>
          <cell r="M1487"/>
        </row>
        <row r="1488">
          <cell r="A1488">
            <v>20231485</v>
          </cell>
          <cell r="B1488"/>
          <cell r="C1488"/>
          <cell r="D1488"/>
          <cell r="E1488"/>
          <cell r="F1488"/>
          <cell r="G1488"/>
          <cell r="H1488"/>
          <cell r="I1488"/>
          <cell r="J1488"/>
          <cell r="K1488"/>
          <cell r="L1488"/>
          <cell r="M1488"/>
        </row>
        <row r="1489">
          <cell r="A1489">
            <v>20231486</v>
          </cell>
          <cell r="B1489"/>
          <cell r="C1489"/>
          <cell r="D1489"/>
          <cell r="E1489"/>
          <cell r="F1489"/>
          <cell r="G1489"/>
          <cell r="H1489"/>
          <cell r="I1489"/>
          <cell r="J1489"/>
          <cell r="K1489"/>
          <cell r="L1489"/>
          <cell r="M1489"/>
        </row>
        <row r="1490">
          <cell r="A1490">
            <v>20231487</v>
          </cell>
          <cell r="B1490"/>
          <cell r="C1490"/>
          <cell r="D1490"/>
          <cell r="E1490"/>
          <cell r="F1490"/>
          <cell r="G1490"/>
          <cell r="H1490"/>
          <cell r="I1490"/>
          <cell r="J1490"/>
          <cell r="K1490"/>
          <cell r="L1490"/>
          <cell r="M1490"/>
        </row>
        <row r="1491">
          <cell r="A1491">
            <v>20231488</v>
          </cell>
          <cell r="B1491"/>
          <cell r="C1491"/>
          <cell r="D1491"/>
          <cell r="E1491"/>
          <cell r="F1491"/>
          <cell r="G1491"/>
          <cell r="H1491"/>
          <cell r="I1491"/>
          <cell r="J1491"/>
          <cell r="K1491"/>
          <cell r="L1491"/>
          <cell r="M1491"/>
        </row>
        <row r="1492">
          <cell r="A1492">
            <v>20231489</v>
          </cell>
          <cell r="B1492"/>
          <cell r="C1492"/>
          <cell r="D1492"/>
          <cell r="E1492"/>
          <cell r="F1492"/>
          <cell r="G1492"/>
          <cell r="H1492"/>
          <cell r="I1492"/>
          <cell r="J1492"/>
          <cell r="K1492"/>
          <cell r="L1492"/>
          <cell r="M1492"/>
        </row>
        <row r="1493">
          <cell r="A1493">
            <v>20231490</v>
          </cell>
          <cell r="B1493"/>
          <cell r="C1493"/>
          <cell r="D1493"/>
          <cell r="E1493"/>
          <cell r="F1493"/>
          <cell r="G1493"/>
          <cell r="H1493"/>
          <cell r="I1493"/>
          <cell r="J1493"/>
          <cell r="K1493"/>
          <cell r="L1493"/>
          <cell r="M1493"/>
        </row>
        <row r="1494">
          <cell r="A1494">
            <v>20231491</v>
          </cell>
          <cell r="B1494"/>
          <cell r="C1494"/>
          <cell r="D1494"/>
          <cell r="E1494"/>
          <cell r="F1494"/>
          <cell r="G1494"/>
          <cell r="H1494"/>
          <cell r="I1494"/>
          <cell r="J1494"/>
          <cell r="K1494"/>
          <cell r="L1494"/>
          <cell r="M1494"/>
        </row>
        <row r="1495">
          <cell r="A1495">
            <v>20231492</v>
          </cell>
          <cell r="B1495"/>
          <cell r="C1495"/>
          <cell r="D1495"/>
          <cell r="E1495"/>
          <cell r="F1495"/>
          <cell r="G1495"/>
          <cell r="H1495"/>
          <cell r="I1495"/>
          <cell r="J1495"/>
          <cell r="K1495"/>
          <cell r="L1495"/>
          <cell r="M1495"/>
        </row>
        <row r="1496">
          <cell r="A1496">
            <v>20231493</v>
          </cell>
          <cell r="B1496"/>
          <cell r="C1496"/>
          <cell r="D1496"/>
          <cell r="E1496"/>
          <cell r="F1496"/>
          <cell r="G1496"/>
          <cell r="H1496"/>
          <cell r="I1496"/>
          <cell r="J1496"/>
          <cell r="K1496"/>
          <cell r="L1496"/>
          <cell r="M1496"/>
        </row>
        <row r="1497">
          <cell r="A1497">
            <v>20231494</v>
          </cell>
          <cell r="B1497"/>
          <cell r="C1497"/>
          <cell r="D1497"/>
          <cell r="E1497"/>
          <cell r="F1497"/>
          <cell r="G1497"/>
          <cell r="H1497"/>
          <cell r="I1497"/>
          <cell r="J1497"/>
          <cell r="K1497"/>
          <cell r="L1497"/>
          <cell r="M1497"/>
        </row>
        <row r="1498">
          <cell r="A1498">
            <v>20231495</v>
          </cell>
          <cell r="B1498"/>
          <cell r="C1498"/>
          <cell r="D1498"/>
          <cell r="E1498"/>
          <cell r="F1498"/>
          <cell r="G1498"/>
          <cell r="H1498"/>
          <cell r="I1498"/>
          <cell r="J1498"/>
          <cell r="K1498"/>
          <cell r="L1498"/>
          <cell r="M1498"/>
        </row>
        <row r="1499">
          <cell r="A1499">
            <v>20231496</v>
          </cell>
          <cell r="B1499"/>
          <cell r="C1499"/>
          <cell r="D1499"/>
          <cell r="E1499"/>
          <cell r="F1499"/>
          <cell r="G1499"/>
          <cell r="H1499"/>
          <cell r="I1499"/>
          <cell r="J1499"/>
          <cell r="K1499"/>
          <cell r="L1499"/>
          <cell r="M1499"/>
        </row>
        <row r="1500">
          <cell r="A1500">
            <v>20231497</v>
          </cell>
          <cell r="B1500"/>
          <cell r="C1500"/>
          <cell r="D1500"/>
          <cell r="E1500"/>
          <cell r="F1500"/>
          <cell r="G1500"/>
          <cell r="H1500"/>
          <cell r="I1500"/>
          <cell r="J1500"/>
          <cell r="K1500"/>
          <cell r="L1500"/>
          <cell r="M1500"/>
        </row>
        <row r="1501">
          <cell r="A1501">
            <v>20231498</v>
          </cell>
          <cell r="B1501"/>
          <cell r="C1501"/>
          <cell r="D1501"/>
          <cell r="E1501"/>
          <cell r="F1501"/>
          <cell r="G1501"/>
          <cell r="H1501"/>
          <cell r="I1501"/>
          <cell r="J1501"/>
          <cell r="K1501"/>
          <cell r="L1501"/>
          <cell r="M1501"/>
        </row>
        <row r="1502">
          <cell r="A1502">
            <v>20231499</v>
          </cell>
          <cell r="B1502"/>
          <cell r="C1502"/>
          <cell r="D1502"/>
          <cell r="E1502"/>
          <cell r="F1502"/>
          <cell r="G1502"/>
          <cell r="H1502"/>
          <cell r="I1502"/>
          <cell r="J1502"/>
          <cell r="K1502"/>
          <cell r="L1502"/>
          <cell r="M1502"/>
        </row>
        <row r="1503">
          <cell r="A1503">
            <v>20231500</v>
          </cell>
          <cell r="B1503"/>
          <cell r="C1503"/>
          <cell r="D1503"/>
          <cell r="E1503"/>
          <cell r="F1503"/>
          <cell r="G1503"/>
          <cell r="H1503"/>
          <cell r="I1503"/>
          <cell r="J1503"/>
          <cell r="K1503"/>
          <cell r="L1503"/>
          <cell r="M1503"/>
        </row>
        <row r="1504">
          <cell r="A1504">
            <v>20231501</v>
          </cell>
          <cell r="B1504"/>
          <cell r="C1504"/>
          <cell r="D1504"/>
          <cell r="E1504"/>
          <cell r="F1504"/>
          <cell r="G1504"/>
          <cell r="H1504"/>
          <cell r="I1504"/>
          <cell r="J1504"/>
          <cell r="K1504"/>
          <cell r="L1504"/>
          <cell r="M1504"/>
        </row>
        <row r="1505">
          <cell r="A1505">
            <v>20231502</v>
          </cell>
          <cell r="B1505"/>
          <cell r="C1505"/>
          <cell r="D1505"/>
          <cell r="E1505"/>
          <cell r="F1505"/>
          <cell r="G1505"/>
          <cell r="H1505"/>
          <cell r="I1505"/>
          <cell r="J1505"/>
          <cell r="K1505"/>
          <cell r="L1505"/>
          <cell r="M1505"/>
        </row>
        <row r="1506">
          <cell r="A1506">
            <v>20231503</v>
          </cell>
          <cell r="B1506"/>
          <cell r="C1506"/>
          <cell r="D1506"/>
          <cell r="E1506"/>
          <cell r="F1506"/>
          <cell r="G1506"/>
          <cell r="H1506"/>
          <cell r="I1506"/>
          <cell r="J1506"/>
          <cell r="K1506"/>
          <cell r="L1506"/>
          <cell r="M1506"/>
        </row>
        <row r="1507">
          <cell r="A1507">
            <v>20231504</v>
          </cell>
          <cell r="B1507"/>
          <cell r="C1507"/>
          <cell r="D1507"/>
          <cell r="E1507"/>
          <cell r="F1507"/>
          <cell r="G1507"/>
          <cell r="H1507"/>
          <cell r="I1507"/>
          <cell r="J1507"/>
          <cell r="K1507"/>
          <cell r="L1507"/>
          <cell r="M1507"/>
        </row>
        <row r="1508">
          <cell r="A1508">
            <v>20231505</v>
          </cell>
          <cell r="B1508"/>
          <cell r="C1508"/>
          <cell r="D1508"/>
          <cell r="E1508"/>
          <cell r="F1508"/>
          <cell r="G1508"/>
          <cell r="H1508"/>
          <cell r="I1508"/>
          <cell r="J1508"/>
          <cell r="K1508"/>
          <cell r="L1508"/>
          <cell r="M1508"/>
        </row>
        <row r="1509">
          <cell r="A1509">
            <v>20231506</v>
          </cell>
          <cell r="B1509"/>
          <cell r="C1509"/>
          <cell r="D1509"/>
          <cell r="E1509"/>
          <cell r="F1509"/>
          <cell r="G1509"/>
          <cell r="H1509"/>
          <cell r="I1509"/>
          <cell r="J1509"/>
          <cell r="K1509"/>
          <cell r="L1509"/>
          <cell r="M1509"/>
        </row>
        <row r="1510">
          <cell r="A1510">
            <v>20231507</v>
          </cell>
          <cell r="B1510"/>
          <cell r="C1510"/>
          <cell r="D1510"/>
          <cell r="E1510"/>
          <cell r="F1510"/>
          <cell r="G1510"/>
          <cell r="H1510"/>
          <cell r="I1510"/>
          <cell r="J1510"/>
          <cell r="K1510"/>
          <cell r="L1510"/>
          <cell r="M1510"/>
        </row>
        <row r="1511">
          <cell r="A1511">
            <v>20231508</v>
          </cell>
          <cell r="B1511"/>
          <cell r="C1511"/>
          <cell r="D1511"/>
          <cell r="E1511"/>
          <cell r="F1511"/>
          <cell r="G1511"/>
          <cell r="H1511"/>
          <cell r="I1511"/>
          <cell r="J1511"/>
          <cell r="K1511"/>
          <cell r="L1511"/>
          <cell r="M1511"/>
        </row>
        <row r="1512">
          <cell r="A1512">
            <v>20231509</v>
          </cell>
          <cell r="B1512"/>
          <cell r="C1512"/>
          <cell r="D1512"/>
          <cell r="E1512"/>
          <cell r="F1512"/>
          <cell r="G1512"/>
          <cell r="H1512"/>
          <cell r="I1512"/>
          <cell r="J1512"/>
          <cell r="K1512"/>
          <cell r="L1512"/>
          <cell r="M1512"/>
        </row>
        <row r="1513">
          <cell r="A1513">
            <v>20231510</v>
          </cell>
          <cell r="B1513"/>
          <cell r="C1513"/>
          <cell r="D1513"/>
          <cell r="E1513"/>
          <cell r="F1513"/>
          <cell r="G1513"/>
          <cell r="H1513"/>
          <cell r="I1513"/>
          <cell r="J1513"/>
          <cell r="K1513"/>
          <cell r="L1513"/>
          <cell r="M1513"/>
        </row>
        <row r="1514">
          <cell r="A1514">
            <v>20231511</v>
          </cell>
          <cell r="B1514"/>
          <cell r="C1514"/>
          <cell r="D1514"/>
          <cell r="E1514"/>
          <cell r="F1514"/>
          <cell r="G1514"/>
          <cell r="H1514"/>
          <cell r="I1514"/>
          <cell r="J1514"/>
          <cell r="K1514"/>
          <cell r="L1514"/>
          <cell r="M1514"/>
        </row>
        <row r="1515">
          <cell r="A1515">
            <v>20231512</v>
          </cell>
          <cell r="B1515"/>
          <cell r="C1515"/>
          <cell r="D1515"/>
          <cell r="E1515"/>
          <cell r="F1515"/>
          <cell r="G1515"/>
          <cell r="H1515"/>
          <cell r="I1515"/>
          <cell r="J1515"/>
          <cell r="K1515"/>
          <cell r="L1515"/>
          <cell r="M1515"/>
        </row>
        <row r="1516">
          <cell r="A1516">
            <v>20231513</v>
          </cell>
          <cell r="B1516"/>
          <cell r="C1516"/>
          <cell r="D1516"/>
          <cell r="E1516"/>
          <cell r="F1516"/>
          <cell r="G1516"/>
          <cell r="H1516"/>
          <cell r="I1516"/>
          <cell r="J1516"/>
          <cell r="K1516"/>
          <cell r="L1516"/>
          <cell r="M1516"/>
        </row>
        <row r="1517">
          <cell r="A1517">
            <v>20231514</v>
          </cell>
          <cell r="B1517"/>
          <cell r="C1517"/>
          <cell r="D1517"/>
          <cell r="E1517"/>
          <cell r="F1517"/>
          <cell r="G1517"/>
          <cell r="H1517"/>
          <cell r="I1517"/>
          <cell r="J1517"/>
          <cell r="K1517"/>
          <cell r="L1517"/>
          <cell r="M1517"/>
        </row>
        <row r="1518">
          <cell r="A1518">
            <v>20231515</v>
          </cell>
          <cell r="B1518"/>
          <cell r="C1518"/>
          <cell r="D1518"/>
          <cell r="E1518"/>
          <cell r="F1518"/>
          <cell r="G1518"/>
          <cell r="H1518"/>
          <cell r="I1518"/>
          <cell r="J1518"/>
          <cell r="K1518"/>
          <cell r="L1518"/>
          <cell r="M1518"/>
        </row>
        <row r="1519">
          <cell r="A1519">
            <v>20231516</v>
          </cell>
          <cell r="B1519"/>
          <cell r="C1519"/>
          <cell r="D1519"/>
          <cell r="E1519"/>
          <cell r="F1519"/>
          <cell r="G1519"/>
          <cell r="H1519"/>
          <cell r="I1519"/>
          <cell r="J1519"/>
          <cell r="K1519"/>
          <cell r="L1519"/>
          <cell r="M1519"/>
        </row>
        <row r="1520">
          <cell r="A1520">
            <v>20231517</v>
          </cell>
          <cell r="B1520"/>
          <cell r="C1520"/>
          <cell r="D1520"/>
          <cell r="E1520"/>
          <cell r="F1520"/>
          <cell r="G1520"/>
          <cell r="H1520"/>
          <cell r="I1520"/>
          <cell r="J1520"/>
          <cell r="K1520"/>
          <cell r="L1520"/>
          <cell r="M1520"/>
        </row>
        <row r="1521">
          <cell r="A1521">
            <v>20231518</v>
          </cell>
          <cell r="B1521"/>
          <cell r="C1521"/>
          <cell r="D1521"/>
          <cell r="E1521"/>
          <cell r="F1521"/>
          <cell r="G1521"/>
          <cell r="H1521"/>
          <cell r="I1521"/>
          <cell r="J1521"/>
          <cell r="K1521"/>
          <cell r="L1521"/>
          <cell r="M1521"/>
        </row>
        <row r="1522">
          <cell r="A1522">
            <v>20231519</v>
          </cell>
          <cell r="B1522"/>
          <cell r="C1522"/>
          <cell r="D1522"/>
          <cell r="E1522"/>
          <cell r="F1522"/>
          <cell r="G1522"/>
          <cell r="H1522"/>
          <cell r="I1522"/>
          <cell r="J1522"/>
          <cell r="K1522"/>
          <cell r="L1522"/>
          <cell r="M1522"/>
        </row>
        <row r="1523">
          <cell r="A1523">
            <v>20231520</v>
          </cell>
          <cell r="B1523"/>
          <cell r="C1523"/>
          <cell r="D1523"/>
          <cell r="E1523"/>
          <cell r="F1523"/>
          <cell r="G1523"/>
          <cell r="H1523"/>
          <cell r="I1523"/>
          <cell r="J1523"/>
          <cell r="K1523"/>
          <cell r="L1523"/>
          <cell r="M1523"/>
        </row>
        <row r="1524">
          <cell r="A1524">
            <v>20231521</v>
          </cell>
          <cell r="B1524"/>
          <cell r="C1524"/>
          <cell r="D1524"/>
          <cell r="E1524"/>
          <cell r="F1524"/>
          <cell r="G1524"/>
          <cell r="H1524"/>
          <cell r="I1524"/>
          <cell r="J1524"/>
          <cell r="K1524"/>
          <cell r="L1524"/>
          <cell r="M1524"/>
        </row>
        <row r="1525">
          <cell r="A1525">
            <v>20231522</v>
          </cell>
          <cell r="B1525"/>
          <cell r="C1525"/>
          <cell r="D1525"/>
          <cell r="E1525"/>
          <cell r="F1525"/>
          <cell r="G1525"/>
          <cell r="H1525"/>
          <cell r="I1525"/>
          <cell r="J1525"/>
          <cell r="K1525"/>
          <cell r="L1525"/>
          <cell r="M1525"/>
        </row>
        <row r="1526">
          <cell r="A1526">
            <v>20231523</v>
          </cell>
          <cell r="B1526"/>
          <cell r="C1526"/>
          <cell r="D1526"/>
          <cell r="E1526"/>
          <cell r="F1526"/>
          <cell r="G1526"/>
          <cell r="H1526"/>
          <cell r="I1526"/>
          <cell r="J1526"/>
          <cell r="K1526"/>
          <cell r="L1526"/>
          <cell r="M1526"/>
        </row>
        <row r="1527">
          <cell r="A1527">
            <v>20231524</v>
          </cell>
          <cell r="B1527"/>
          <cell r="C1527"/>
          <cell r="D1527"/>
          <cell r="E1527"/>
          <cell r="F1527"/>
          <cell r="G1527"/>
          <cell r="H1527"/>
          <cell r="I1527"/>
          <cell r="J1527"/>
          <cell r="K1527"/>
          <cell r="L1527"/>
          <cell r="M1527"/>
        </row>
        <row r="1528">
          <cell r="A1528">
            <v>20231525</v>
          </cell>
          <cell r="B1528"/>
          <cell r="C1528"/>
          <cell r="D1528"/>
          <cell r="E1528"/>
          <cell r="F1528"/>
          <cell r="G1528"/>
          <cell r="H1528"/>
          <cell r="I1528"/>
          <cell r="J1528"/>
          <cell r="K1528"/>
          <cell r="L1528"/>
          <cell r="M1528"/>
        </row>
        <row r="1529">
          <cell r="A1529">
            <v>20231526</v>
          </cell>
          <cell r="B1529"/>
          <cell r="C1529"/>
          <cell r="D1529"/>
          <cell r="E1529"/>
          <cell r="F1529"/>
          <cell r="G1529"/>
          <cell r="H1529"/>
          <cell r="I1529"/>
          <cell r="J1529"/>
          <cell r="K1529"/>
          <cell r="L1529"/>
          <cell r="M1529"/>
        </row>
        <row r="1530">
          <cell r="A1530">
            <v>20231527</v>
          </cell>
          <cell r="B1530"/>
          <cell r="C1530"/>
          <cell r="D1530"/>
          <cell r="E1530"/>
          <cell r="F1530"/>
          <cell r="G1530"/>
          <cell r="H1530"/>
          <cell r="I1530"/>
          <cell r="J1530"/>
          <cell r="K1530"/>
          <cell r="L1530"/>
          <cell r="M1530"/>
        </row>
        <row r="1531">
          <cell r="A1531">
            <v>20231528</v>
          </cell>
          <cell r="B1531"/>
          <cell r="C1531"/>
          <cell r="D1531"/>
          <cell r="E1531"/>
          <cell r="F1531"/>
          <cell r="G1531"/>
          <cell r="H1531"/>
          <cell r="I1531"/>
          <cell r="J1531"/>
          <cell r="K1531"/>
          <cell r="L1531"/>
          <cell r="M1531"/>
        </row>
        <row r="1532">
          <cell r="A1532">
            <v>20231529</v>
          </cell>
          <cell r="B1532"/>
          <cell r="C1532"/>
          <cell r="D1532"/>
          <cell r="E1532"/>
          <cell r="F1532"/>
          <cell r="G1532"/>
          <cell r="H1532"/>
          <cell r="I1532"/>
          <cell r="J1532"/>
          <cell r="K1532"/>
          <cell r="L1532"/>
          <cell r="M1532"/>
        </row>
        <row r="1533">
          <cell r="A1533">
            <v>20231530</v>
          </cell>
          <cell r="B1533"/>
          <cell r="C1533"/>
          <cell r="D1533"/>
          <cell r="E1533"/>
          <cell r="F1533"/>
          <cell r="G1533"/>
          <cell r="H1533"/>
          <cell r="I1533"/>
          <cell r="J1533"/>
          <cell r="K1533"/>
          <cell r="L1533"/>
          <cell r="M1533"/>
        </row>
        <row r="1534">
          <cell r="A1534">
            <v>20231531</v>
          </cell>
          <cell r="B1534"/>
          <cell r="C1534"/>
          <cell r="D1534"/>
          <cell r="E1534"/>
          <cell r="F1534"/>
          <cell r="G1534"/>
          <cell r="H1534"/>
          <cell r="I1534"/>
          <cell r="J1534"/>
          <cell r="K1534"/>
          <cell r="L1534"/>
          <cell r="M1534"/>
        </row>
        <row r="1535">
          <cell r="A1535">
            <v>20231532</v>
          </cell>
          <cell r="B1535"/>
          <cell r="C1535"/>
          <cell r="D1535"/>
          <cell r="E1535"/>
          <cell r="F1535"/>
          <cell r="G1535"/>
          <cell r="H1535"/>
          <cell r="I1535"/>
          <cell r="J1535"/>
          <cell r="K1535"/>
          <cell r="L1535"/>
          <cell r="M1535"/>
        </row>
        <row r="1536">
          <cell r="A1536">
            <v>20231533</v>
          </cell>
          <cell r="B1536"/>
          <cell r="C1536"/>
          <cell r="D1536"/>
          <cell r="E1536"/>
          <cell r="F1536"/>
          <cell r="G1536"/>
          <cell r="H1536"/>
          <cell r="I1536"/>
          <cell r="J1536"/>
          <cell r="K1536"/>
          <cell r="L1536"/>
          <cell r="M1536"/>
        </row>
        <row r="1537">
          <cell r="A1537">
            <v>20231534</v>
          </cell>
          <cell r="B1537"/>
          <cell r="C1537"/>
          <cell r="D1537"/>
          <cell r="E1537"/>
          <cell r="F1537"/>
          <cell r="G1537"/>
          <cell r="H1537"/>
          <cell r="I1537"/>
          <cell r="J1537"/>
          <cell r="K1537"/>
          <cell r="L1537"/>
          <cell r="M1537"/>
        </row>
        <row r="1538">
          <cell r="A1538">
            <v>20231535</v>
          </cell>
          <cell r="B1538"/>
          <cell r="C1538"/>
          <cell r="D1538"/>
          <cell r="E1538"/>
          <cell r="F1538"/>
          <cell r="G1538"/>
          <cell r="H1538"/>
          <cell r="I1538"/>
          <cell r="J1538"/>
          <cell r="K1538"/>
          <cell r="L1538"/>
          <cell r="M1538"/>
        </row>
        <row r="1539">
          <cell r="A1539">
            <v>20231536</v>
          </cell>
          <cell r="B1539"/>
          <cell r="C1539"/>
          <cell r="D1539"/>
          <cell r="E1539"/>
          <cell r="F1539"/>
          <cell r="G1539"/>
          <cell r="H1539"/>
          <cell r="I1539"/>
          <cell r="J1539"/>
          <cell r="K1539"/>
          <cell r="L1539"/>
          <cell r="M1539"/>
        </row>
        <row r="1540">
          <cell r="A1540">
            <v>20231537</v>
          </cell>
          <cell r="B1540"/>
          <cell r="C1540"/>
          <cell r="D1540"/>
          <cell r="E1540"/>
          <cell r="F1540"/>
          <cell r="G1540"/>
          <cell r="H1540"/>
          <cell r="I1540"/>
          <cell r="J1540"/>
          <cell r="K1540"/>
          <cell r="L1540"/>
          <cell r="M1540"/>
        </row>
        <row r="1541">
          <cell r="A1541">
            <v>20231538</v>
          </cell>
          <cell r="B1541"/>
          <cell r="C1541"/>
          <cell r="D1541"/>
          <cell r="E1541"/>
          <cell r="F1541"/>
          <cell r="G1541"/>
          <cell r="H1541"/>
          <cell r="I1541"/>
          <cell r="J1541"/>
          <cell r="K1541"/>
          <cell r="L1541"/>
          <cell r="M1541"/>
        </row>
        <row r="1542">
          <cell r="A1542">
            <v>20231539</v>
          </cell>
          <cell r="B1542"/>
          <cell r="C1542"/>
          <cell r="D1542"/>
          <cell r="E1542"/>
          <cell r="F1542"/>
          <cell r="G1542"/>
          <cell r="H1542"/>
          <cell r="I1542"/>
          <cell r="J1542"/>
          <cell r="K1542"/>
          <cell r="L1542"/>
          <cell r="M1542"/>
        </row>
        <row r="1543">
          <cell r="A1543">
            <v>20231540</v>
          </cell>
          <cell r="B1543"/>
          <cell r="C1543"/>
          <cell r="D1543"/>
          <cell r="E1543"/>
          <cell r="F1543"/>
          <cell r="G1543"/>
          <cell r="H1543"/>
          <cell r="I1543"/>
          <cell r="J1543"/>
          <cell r="K1543"/>
          <cell r="L1543"/>
          <cell r="M1543"/>
        </row>
        <row r="1544">
          <cell r="A1544">
            <v>20231541</v>
          </cell>
          <cell r="B1544"/>
          <cell r="C1544"/>
          <cell r="D1544"/>
          <cell r="E1544"/>
          <cell r="F1544"/>
          <cell r="G1544"/>
          <cell r="H1544"/>
          <cell r="I1544"/>
          <cell r="J1544"/>
          <cell r="K1544"/>
          <cell r="L1544"/>
          <cell r="M1544"/>
        </row>
        <row r="1545">
          <cell r="A1545">
            <v>20231542</v>
          </cell>
          <cell r="B1545"/>
          <cell r="C1545"/>
          <cell r="D1545"/>
          <cell r="E1545"/>
          <cell r="F1545"/>
          <cell r="G1545"/>
          <cell r="H1545"/>
          <cell r="I1545"/>
          <cell r="J1545"/>
          <cell r="K1545"/>
          <cell r="L1545"/>
          <cell r="M1545"/>
        </row>
        <row r="1546">
          <cell r="A1546">
            <v>20231543</v>
          </cell>
          <cell r="B1546"/>
          <cell r="C1546"/>
          <cell r="D1546"/>
          <cell r="E1546"/>
          <cell r="F1546"/>
          <cell r="G1546"/>
          <cell r="H1546"/>
          <cell r="I1546"/>
          <cell r="J1546"/>
          <cell r="K1546"/>
          <cell r="L1546"/>
          <cell r="M1546"/>
        </row>
        <row r="1547">
          <cell r="A1547">
            <v>20231544</v>
          </cell>
          <cell r="B1547"/>
          <cell r="C1547"/>
          <cell r="D1547"/>
          <cell r="E1547"/>
          <cell r="F1547"/>
          <cell r="G1547"/>
          <cell r="H1547"/>
          <cell r="I1547"/>
          <cell r="J1547"/>
          <cell r="K1547"/>
          <cell r="L1547"/>
          <cell r="M1547"/>
        </row>
        <row r="1548">
          <cell r="A1548">
            <v>20231545</v>
          </cell>
          <cell r="B1548"/>
          <cell r="C1548"/>
          <cell r="D1548"/>
          <cell r="E1548"/>
          <cell r="F1548"/>
          <cell r="G1548"/>
          <cell r="H1548"/>
          <cell r="I1548"/>
          <cell r="J1548"/>
          <cell r="K1548"/>
          <cell r="L1548"/>
          <cell r="M1548"/>
        </row>
        <row r="1549">
          <cell r="A1549">
            <v>20231546</v>
          </cell>
          <cell r="B1549"/>
          <cell r="C1549"/>
          <cell r="D1549"/>
          <cell r="E1549"/>
          <cell r="F1549"/>
          <cell r="G1549"/>
          <cell r="H1549"/>
          <cell r="I1549"/>
          <cell r="J1549"/>
          <cell r="K1549"/>
          <cell r="L1549"/>
          <cell r="M1549"/>
        </row>
        <row r="1550">
          <cell r="A1550">
            <v>20231547</v>
          </cell>
          <cell r="B1550"/>
          <cell r="C1550"/>
          <cell r="D1550"/>
          <cell r="E1550"/>
          <cell r="F1550"/>
          <cell r="G1550"/>
          <cell r="H1550"/>
          <cell r="I1550"/>
          <cell r="J1550"/>
          <cell r="K1550"/>
          <cell r="L1550"/>
          <cell r="M1550"/>
        </row>
        <row r="1551">
          <cell r="A1551">
            <v>20231548</v>
          </cell>
          <cell r="B1551"/>
          <cell r="C1551"/>
          <cell r="D1551"/>
          <cell r="E1551"/>
          <cell r="F1551"/>
          <cell r="G1551"/>
          <cell r="H1551"/>
          <cell r="I1551"/>
          <cell r="J1551"/>
          <cell r="K1551"/>
          <cell r="L1551"/>
          <cell r="M1551"/>
        </row>
        <row r="1552">
          <cell r="A1552">
            <v>20231549</v>
          </cell>
          <cell r="B1552"/>
          <cell r="C1552"/>
          <cell r="D1552"/>
          <cell r="E1552"/>
          <cell r="F1552"/>
          <cell r="G1552"/>
          <cell r="H1552"/>
          <cell r="I1552"/>
          <cell r="J1552"/>
          <cell r="K1552"/>
          <cell r="L1552"/>
          <cell r="M1552"/>
        </row>
        <row r="1553">
          <cell r="A1553">
            <v>20231550</v>
          </cell>
          <cell r="B1553"/>
          <cell r="C1553"/>
          <cell r="D1553"/>
          <cell r="E1553"/>
          <cell r="F1553"/>
          <cell r="G1553"/>
          <cell r="H1553"/>
          <cell r="I1553"/>
          <cell r="J1553"/>
          <cell r="K1553"/>
          <cell r="L1553"/>
          <cell r="M1553"/>
        </row>
        <row r="1554">
          <cell r="A1554">
            <v>20231551</v>
          </cell>
          <cell r="B1554"/>
          <cell r="C1554"/>
          <cell r="D1554"/>
          <cell r="E1554"/>
          <cell r="F1554"/>
          <cell r="G1554"/>
          <cell r="H1554"/>
          <cell r="I1554"/>
          <cell r="J1554"/>
          <cell r="K1554"/>
          <cell r="L1554"/>
          <cell r="M1554"/>
        </row>
        <row r="1555">
          <cell r="A1555">
            <v>20231552</v>
          </cell>
          <cell r="B1555"/>
          <cell r="C1555"/>
          <cell r="D1555"/>
          <cell r="E1555"/>
          <cell r="F1555"/>
          <cell r="G1555"/>
          <cell r="H1555"/>
          <cell r="I1555"/>
          <cell r="J1555"/>
          <cell r="K1555"/>
          <cell r="L1555"/>
          <cell r="M1555"/>
        </row>
        <row r="1556">
          <cell r="A1556">
            <v>20231553</v>
          </cell>
          <cell r="B1556"/>
          <cell r="C1556"/>
          <cell r="D1556"/>
          <cell r="E1556"/>
          <cell r="F1556"/>
          <cell r="G1556"/>
          <cell r="H1556"/>
          <cell r="I1556"/>
          <cell r="J1556"/>
          <cell r="K1556"/>
          <cell r="L1556"/>
          <cell r="M1556"/>
        </row>
        <row r="1557">
          <cell r="A1557">
            <v>20231554</v>
          </cell>
          <cell r="B1557"/>
          <cell r="C1557"/>
          <cell r="D1557"/>
          <cell r="E1557"/>
          <cell r="F1557"/>
          <cell r="G1557"/>
          <cell r="H1557"/>
          <cell r="I1557"/>
          <cell r="J1557"/>
          <cell r="K1557"/>
          <cell r="L1557"/>
          <cell r="M1557"/>
        </row>
        <row r="1558">
          <cell r="A1558">
            <v>20231555</v>
          </cell>
          <cell r="B1558"/>
          <cell r="C1558"/>
          <cell r="D1558"/>
          <cell r="E1558"/>
          <cell r="F1558"/>
          <cell r="G1558"/>
          <cell r="H1558"/>
          <cell r="I1558"/>
          <cell r="J1558"/>
          <cell r="K1558"/>
          <cell r="L1558"/>
          <cell r="M1558"/>
        </row>
        <row r="1559">
          <cell r="A1559">
            <v>20231556</v>
          </cell>
          <cell r="B1559"/>
          <cell r="C1559"/>
          <cell r="D1559"/>
          <cell r="E1559"/>
          <cell r="F1559"/>
          <cell r="G1559"/>
          <cell r="H1559"/>
          <cell r="I1559"/>
          <cell r="J1559"/>
          <cell r="K1559"/>
          <cell r="L1559"/>
          <cell r="M1559"/>
        </row>
        <row r="1560">
          <cell r="A1560">
            <v>20231557</v>
          </cell>
          <cell r="B1560"/>
          <cell r="C1560"/>
          <cell r="D1560"/>
          <cell r="E1560"/>
          <cell r="F1560"/>
          <cell r="G1560"/>
          <cell r="H1560"/>
          <cell r="I1560"/>
          <cell r="J1560"/>
          <cell r="K1560"/>
          <cell r="L1560"/>
          <cell r="M1560"/>
        </row>
        <row r="1561">
          <cell r="A1561">
            <v>20231558</v>
          </cell>
          <cell r="B1561"/>
          <cell r="C1561"/>
          <cell r="D1561"/>
          <cell r="E1561"/>
          <cell r="F1561"/>
          <cell r="G1561"/>
          <cell r="H1561"/>
          <cell r="I1561"/>
          <cell r="J1561"/>
          <cell r="K1561"/>
          <cell r="L1561"/>
          <cell r="M1561"/>
        </row>
        <row r="1562">
          <cell r="A1562">
            <v>20231559</v>
          </cell>
          <cell r="B1562"/>
          <cell r="C1562"/>
          <cell r="D1562"/>
          <cell r="E1562"/>
          <cell r="F1562"/>
          <cell r="G1562"/>
          <cell r="H1562"/>
          <cell r="I1562"/>
          <cell r="J1562"/>
          <cell r="K1562"/>
          <cell r="L1562"/>
          <cell r="M1562"/>
        </row>
        <row r="1563">
          <cell r="A1563">
            <v>20231560</v>
          </cell>
          <cell r="B1563"/>
          <cell r="C1563"/>
          <cell r="D1563"/>
          <cell r="E1563"/>
          <cell r="F1563"/>
          <cell r="G1563"/>
          <cell r="H1563"/>
          <cell r="I1563"/>
          <cell r="J1563"/>
          <cell r="K1563"/>
          <cell r="L1563"/>
          <cell r="M1563"/>
        </row>
        <row r="1564">
          <cell r="A1564">
            <v>20231561</v>
          </cell>
          <cell r="B1564"/>
          <cell r="C1564"/>
          <cell r="D1564"/>
          <cell r="E1564"/>
          <cell r="F1564"/>
          <cell r="G1564"/>
          <cell r="H1564"/>
          <cell r="I1564"/>
          <cell r="J1564"/>
          <cell r="K1564"/>
          <cell r="L1564"/>
          <cell r="M1564"/>
        </row>
        <row r="1565">
          <cell r="A1565">
            <v>20231562</v>
          </cell>
          <cell r="B1565"/>
          <cell r="C1565"/>
          <cell r="D1565"/>
          <cell r="E1565"/>
          <cell r="F1565"/>
          <cell r="G1565"/>
          <cell r="H1565"/>
          <cell r="I1565"/>
          <cell r="J1565"/>
          <cell r="K1565"/>
          <cell r="L1565"/>
          <cell r="M1565"/>
        </row>
        <row r="1566">
          <cell r="A1566">
            <v>20231563</v>
          </cell>
          <cell r="B1566"/>
          <cell r="C1566"/>
          <cell r="D1566"/>
          <cell r="E1566"/>
          <cell r="F1566"/>
          <cell r="G1566"/>
          <cell r="H1566"/>
          <cell r="I1566"/>
          <cell r="J1566"/>
          <cell r="K1566"/>
          <cell r="L1566"/>
          <cell r="M1566"/>
        </row>
        <row r="1567">
          <cell r="A1567">
            <v>20231564</v>
          </cell>
          <cell r="B1567"/>
          <cell r="C1567"/>
          <cell r="D1567"/>
          <cell r="E1567"/>
          <cell r="F1567"/>
          <cell r="G1567"/>
          <cell r="H1567"/>
          <cell r="I1567"/>
          <cell r="J1567"/>
          <cell r="K1567"/>
          <cell r="L1567"/>
          <cell r="M1567"/>
        </row>
        <row r="1568">
          <cell r="A1568">
            <v>20231565</v>
          </cell>
          <cell r="B1568"/>
          <cell r="C1568"/>
          <cell r="D1568"/>
          <cell r="E1568"/>
          <cell r="F1568"/>
          <cell r="G1568"/>
          <cell r="H1568"/>
          <cell r="I1568"/>
          <cell r="J1568"/>
          <cell r="K1568"/>
          <cell r="L1568"/>
          <cell r="M1568"/>
        </row>
        <row r="1569">
          <cell r="A1569">
            <v>20231566</v>
          </cell>
          <cell r="B1569"/>
          <cell r="C1569"/>
          <cell r="D1569"/>
          <cell r="E1569"/>
          <cell r="F1569"/>
          <cell r="G1569"/>
          <cell r="H1569"/>
          <cell r="I1569"/>
          <cell r="J1569"/>
          <cell r="K1569"/>
          <cell r="L1569"/>
          <cell r="M1569"/>
        </row>
        <row r="1570">
          <cell r="A1570">
            <v>20231567</v>
          </cell>
          <cell r="B1570"/>
          <cell r="C1570"/>
          <cell r="D1570"/>
          <cell r="E1570"/>
          <cell r="F1570"/>
          <cell r="G1570"/>
          <cell r="H1570"/>
          <cell r="I1570"/>
          <cell r="J1570"/>
          <cell r="K1570"/>
          <cell r="L1570"/>
          <cell r="M1570"/>
        </row>
        <row r="1571">
          <cell r="A1571">
            <v>20231568</v>
          </cell>
          <cell r="B1571"/>
          <cell r="C1571"/>
          <cell r="D1571"/>
          <cell r="E1571"/>
          <cell r="F1571"/>
          <cell r="G1571"/>
          <cell r="H1571"/>
          <cell r="I1571"/>
          <cell r="J1571"/>
          <cell r="K1571"/>
          <cell r="L1571"/>
          <cell r="M1571"/>
        </row>
        <row r="1572">
          <cell r="A1572">
            <v>20231569</v>
          </cell>
          <cell r="B1572"/>
          <cell r="C1572"/>
          <cell r="D1572"/>
          <cell r="E1572"/>
          <cell r="F1572"/>
          <cell r="G1572"/>
          <cell r="H1572"/>
          <cell r="I1572"/>
          <cell r="J1572"/>
          <cell r="K1572"/>
          <cell r="L1572"/>
          <cell r="M1572"/>
        </row>
        <row r="1573">
          <cell r="A1573">
            <v>20231570</v>
          </cell>
          <cell r="B1573"/>
          <cell r="C1573"/>
          <cell r="D1573"/>
          <cell r="E1573"/>
          <cell r="F1573"/>
          <cell r="G1573"/>
          <cell r="H1573"/>
          <cell r="I1573"/>
          <cell r="J1573"/>
          <cell r="K1573"/>
          <cell r="L1573"/>
          <cell r="M1573"/>
        </row>
        <row r="1574">
          <cell r="A1574">
            <v>20231571</v>
          </cell>
          <cell r="B1574"/>
          <cell r="C1574"/>
          <cell r="D1574"/>
          <cell r="E1574"/>
          <cell r="F1574"/>
          <cell r="G1574"/>
          <cell r="H1574"/>
          <cell r="I1574"/>
          <cell r="J1574"/>
          <cell r="K1574"/>
          <cell r="L1574"/>
          <cell r="M1574"/>
        </row>
        <row r="1575">
          <cell r="A1575">
            <v>20231572</v>
          </cell>
          <cell r="B1575"/>
          <cell r="C1575"/>
          <cell r="D1575"/>
          <cell r="E1575"/>
          <cell r="F1575"/>
          <cell r="G1575"/>
          <cell r="H1575"/>
          <cell r="I1575"/>
          <cell r="J1575"/>
          <cell r="K1575"/>
          <cell r="L1575"/>
          <cell r="M1575"/>
        </row>
        <row r="1576">
          <cell r="A1576">
            <v>20231573</v>
          </cell>
          <cell r="B1576"/>
          <cell r="C1576"/>
          <cell r="D1576"/>
          <cell r="E1576"/>
          <cell r="F1576"/>
          <cell r="G1576"/>
          <cell r="H1576"/>
          <cell r="I1576"/>
          <cell r="J1576"/>
          <cell r="K1576"/>
          <cell r="L1576"/>
          <cell r="M1576"/>
        </row>
        <row r="1577">
          <cell r="A1577">
            <v>20231574</v>
          </cell>
          <cell r="B1577"/>
          <cell r="C1577"/>
          <cell r="D1577"/>
          <cell r="E1577"/>
          <cell r="F1577"/>
          <cell r="G1577"/>
          <cell r="H1577"/>
          <cell r="I1577"/>
          <cell r="J1577"/>
          <cell r="K1577"/>
          <cell r="L1577"/>
          <cell r="M1577"/>
        </row>
        <row r="1578">
          <cell r="A1578">
            <v>20231575</v>
          </cell>
          <cell r="B1578"/>
          <cell r="C1578"/>
          <cell r="D1578"/>
          <cell r="E1578"/>
          <cell r="F1578"/>
          <cell r="G1578"/>
          <cell r="H1578"/>
          <cell r="I1578"/>
          <cell r="J1578"/>
          <cell r="K1578"/>
          <cell r="L1578"/>
          <cell r="M1578"/>
        </row>
        <row r="1579">
          <cell r="A1579">
            <v>20231576</v>
          </cell>
          <cell r="B1579"/>
          <cell r="C1579"/>
          <cell r="D1579"/>
          <cell r="E1579"/>
          <cell r="F1579"/>
          <cell r="G1579"/>
          <cell r="H1579"/>
          <cell r="I1579"/>
          <cell r="J1579"/>
          <cell r="K1579"/>
          <cell r="L1579"/>
          <cell r="M1579"/>
        </row>
        <row r="1580">
          <cell r="A1580">
            <v>20231577</v>
          </cell>
          <cell r="B1580"/>
          <cell r="C1580"/>
          <cell r="D1580"/>
          <cell r="E1580"/>
          <cell r="F1580"/>
          <cell r="G1580"/>
          <cell r="H1580"/>
          <cell r="I1580"/>
          <cell r="J1580"/>
          <cell r="K1580"/>
          <cell r="L1580"/>
          <cell r="M1580"/>
        </row>
        <row r="1581">
          <cell r="A1581">
            <v>20231578</v>
          </cell>
          <cell r="B1581"/>
          <cell r="C1581"/>
          <cell r="D1581"/>
          <cell r="E1581"/>
          <cell r="F1581"/>
          <cell r="G1581"/>
          <cell r="H1581"/>
          <cell r="I1581"/>
          <cell r="J1581"/>
          <cell r="K1581"/>
          <cell r="L1581"/>
          <cell r="M1581"/>
        </row>
        <row r="1582">
          <cell r="A1582">
            <v>20231579</v>
          </cell>
          <cell r="B1582"/>
          <cell r="C1582"/>
          <cell r="D1582"/>
          <cell r="E1582"/>
          <cell r="F1582"/>
          <cell r="G1582"/>
          <cell r="H1582"/>
          <cell r="I1582"/>
          <cell r="J1582"/>
          <cell r="K1582"/>
          <cell r="L1582"/>
          <cell r="M1582"/>
        </row>
        <row r="1583">
          <cell r="A1583">
            <v>20231580</v>
          </cell>
          <cell r="B1583"/>
          <cell r="C1583"/>
          <cell r="D1583"/>
          <cell r="E1583"/>
          <cell r="F1583"/>
          <cell r="G1583"/>
          <cell r="H1583"/>
          <cell r="I1583"/>
          <cell r="J1583"/>
          <cell r="K1583"/>
          <cell r="L1583"/>
          <cell r="M1583"/>
        </row>
        <row r="1584">
          <cell r="A1584">
            <v>20231581</v>
          </cell>
          <cell r="B1584"/>
          <cell r="C1584"/>
          <cell r="D1584"/>
          <cell r="E1584"/>
          <cell r="F1584"/>
          <cell r="G1584"/>
          <cell r="H1584"/>
          <cell r="I1584"/>
          <cell r="J1584"/>
          <cell r="K1584"/>
          <cell r="L1584"/>
          <cell r="M1584"/>
        </row>
        <row r="1585">
          <cell r="A1585">
            <v>20231582</v>
          </cell>
          <cell r="B1585"/>
          <cell r="C1585"/>
          <cell r="D1585"/>
          <cell r="E1585"/>
          <cell r="F1585"/>
          <cell r="G1585"/>
          <cell r="H1585"/>
          <cell r="I1585"/>
          <cell r="J1585"/>
          <cell r="K1585"/>
          <cell r="L1585"/>
          <cell r="M1585"/>
        </row>
        <row r="1586">
          <cell r="A1586">
            <v>20231583</v>
          </cell>
          <cell r="B1586"/>
          <cell r="C1586"/>
          <cell r="D1586"/>
          <cell r="E1586"/>
          <cell r="F1586"/>
          <cell r="G1586"/>
          <cell r="H1586"/>
          <cell r="I1586"/>
          <cell r="J1586"/>
          <cell r="K1586"/>
          <cell r="L1586"/>
          <cell r="M1586"/>
        </row>
        <row r="1587">
          <cell r="A1587">
            <v>20231584</v>
          </cell>
          <cell r="B1587"/>
          <cell r="C1587"/>
          <cell r="D1587"/>
          <cell r="E1587"/>
          <cell r="F1587"/>
          <cell r="G1587"/>
          <cell r="H1587"/>
          <cell r="I1587"/>
          <cell r="J1587"/>
          <cell r="K1587"/>
          <cell r="L1587"/>
          <cell r="M1587"/>
        </row>
        <row r="1588">
          <cell r="A1588">
            <v>20231585</v>
          </cell>
          <cell r="B1588"/>
          <cell r="C1588"/>
          <cell r="D1588"/>
          <cell r="E1588"/>
          <cell r="F1588"/>
          <cell r="G1588"/>
          <cell r="H1588"/>
          <cell r="I1588"/>
          <cell r="J1588"/>
          <cell r="K1588"/>
          <cell r="L1588"/>
          <cell r="M1588"/>
        </row>
        <row r="1589">
          <cell r="A1589">
            <v>20231586</v>
          </cell>
          <cell r="B1589"/>
          <cell r="C1589"/>
          <cell r="D1589"/>
          <cell r="E1589"/>
          <cell r="F1589"/>
          <cell r="G1589"/>
          <cell r="H1589"/>
          <cell r="I1589"/>
          <cell r="J1589"/>
          <cell r="K1589"/>
          <cell r="L1589"/>
          <cell r="M1589"/>
        </row>
        <row r="1590">
          <cell r="A1590">
            <v>20231587</v>
          </cell>
          <cell r="B1590"/>
          <cell r="C1590"/>
          <cell r="D1590"/>
          <cell r="E1590"/>
          <cell r="F1590"/>
          <cell r="G1590"/>
          <cell r="H1590"/>
          <cell r="I1590"/>
          <cell r="J1590"/>
          <cell r="K1590"/>
          <cell r="L1590"/>
          <cell r="M1590"/>
        </row>
        <row r="1591">
          <cell r="A1591">
            <v>20231588</v>
          </cell>
          <cell r="B1591"/>
          <cell r="C1591"/>
          <cell r="D1591"/>
          <cell r="E1591"/>
          <cell r="F1591"/>
          <cell r="G1591"/>
          <cell r="H1591"/>
          <cell r="I1591"/>
          <cell r="J1591"/>
          <cell r="K1591"/>
          <cell r="L1591"/>
          <cell r="M1591"/>
        </row>
        <row r="1592">
          <cell r="A1592">
            <v>20231589</v>
          </cell>
          <cell r="B1592"/>
          <cell r="C1592"/>
          <cell r="D1592"/>
          <cell r="E1592"/>
          <cell r="F1592"/>
          <cell r="G1592"/>
          <cell r="H1592"/>
          <cell r="I1592"/>
          <cell r="J1592"/>
          <cell r="K1592"/>
          <cell r="L1592"/>
          <cell r="M1592"/>
        </row>
        <row r="1593">
          <cell r="A1593">
            <v>20231590</v>
          </cell>
          <cell r="B1593"/>
          <cell r="C1593"/>
          <cell r="D1593"/>
          <cell r="E1593"/>
          <cell r="F1593"/>
          <cell r="G1593"/>
          <cell r="H1593"/>
          <cell r="I1593"/>
          <cell r="J1593"/>
          <cell r="K1593"/>
          <cell r="L1593"/>
          <cell r="M1593"/>
        </row>
        <row r="1594">
          <cell r="A1594">
            <v>20231591</v>
          </cell>
          <cell r="B1594"/>
          <cell r="C1594"/>
          <cell r="D1594"/>
          <cell r="E1594"/>
          <cell r="F1594"/>
          <cell r="G1594"/>
          <cell r="H1594"/>
          <cell r="I1594"/>
          <cell r="J1594"/>
          <cell r="K1594"/>
          <cell r="L1594"/>
          <cell r="M1594"/>
        </row>
        <row r="1595">
          <cell r="A1595">
            <v>20231592</v>
          </cell>
          <cell r="B1595"/>
          <cell r="C1595"/>
          <cell r="D1595"/>
          <cell r="E1595"/>
          <cell r="F1595"/>
          <cell r="G1595"/>
          <cell r="H1595"/>
          <cell r="I1595"/>
          <cell r="J1595"/>
          <cell r="K1595"/>
          <cell r="L1595"/>
          <cell r="M1595"/>
        </row>
        <row r="1596">
          <cell r="A1596">
            <v>20231593</v>
          </cell>
          <cell r="B1596"/>
          <cell r="C1596"/>
          <cell r="D1596"/>
          <cell r="E1596"/>
          <cell r="F1596"/>
          <cell r="G1596"/>
          <cell r="H1596"/>
          <cell r="I1596"/>
          <cell r="J1596"/>
          <cell r="K1596"/>
          <cell r="L1596"/>
          <cell r="M1596"/>
        </row>
        <row r="1597">
          <cell r="A1597">
            <v>20231594</v>
          </cell>
          <cell r="B1597"/>
          <cell r="C1597"/>
          <cell r="D1597"/>
          <cell r="E1597"/>
          <cell r="F1597"/>
          <cell r="G1597"/>
          <cell r="H1597"/>
          <cell r="I1597"/>
          <cell r="J1597"/>
          <cell r="K1597"/>
          <cell r="L1597"/>
          <cell r="M1597"/>
        </row>
        <row r="1598">
          <cell r="A1598">
            <v>20231595</v>
          </cell>
          <cell r="B1598"/>
          <cell r="C1598"/>
          <cell r="D1598"/>
          <cell r="E1598"/>
          <cell r="F1598"/>
          <cell r="G1598"/>
          <cell r="H1598"/>
          <cell r="I1598"/>
          <cell r="J1598"/>
          <cell r="K1598"/>
          <cell r="L1598"/>
          <cell r="M1598"/>
        </row>
        <row r="1599">
          <cell r="A1599">
            <v>20231596</v>
          </cell>
          <cell r="B1599"/>
          <cell r="C1599"/>
          <cell r="D1599"/>
          <cell r="E1599"/>
          <cell r="F1599"/>
          <cell r="G1599"/>
          <cell r="H1599"/>
          <cell r="I1599"/>
          <cell r="J1599"/>
          <cell r="K1599"/>
          <cell r="L1599"/>
          <cell r="M1599"/>
        </row>
        <row r="1600">
          <cell r="A1600">
            <v>20231597</v>
          </cell>
          <cell r="B1600"/>
          <cell r="C1600"/>
          <cell r="D1600"/>
          <cell r="E1600"/>
          <cell r="F1600"/>
          <cell r="G1600"/>
          <cell r="H1600"/>
          <cell r="I1600"/>
          <cell r="J1600"/>
          <cell r="K1600"/>
          <cell r="L1600"/>
          <cell r="M1600"/>
        </row>
        <row r="1601">
          <cell r="A1601">
            <v>20231598</v>
          </cell>
          <cell r="B1601"/>
          <cell r="C1601"/>
          <cell r="D1601"/>
          <cell r="E1601"/>
          <cell r="F1601"/>
          <cell r="G1601"/>
          <cell r="H1601"/>
          <cell r="I1601"/>
          <cell r="J1601"/>
          <cell r="K1601"/>
          <cell r="L1601"/>
          <cell r="M1601"/>
        </row>
        <row r="1602">
          <cell r="A1602">
            <v>20231599</v>
          </cell>
          <cell r="B1602"/>
          <cell r="C1602"/>
          <cell r="D1602"/>
          <cell r="E1602"/>
          <cell r="F1602"/>
          <cell r="G1602"/>
          <cell r="H1602"/>
          <cell r="I1602"/>
          <cell r="J1602"/>
          <cell r="K1602"/>
          <cell r="L1602"/>
          <cell r="M1602"/>
        </row>
        <row r="1603">
          <cell r="A1603">
            <v>20231600</v>
          </cell>
          <cell r="B1603"/>
          <cell r="C1603"/>
          <cell r="D1603"/>
          <cell r="E1603"/>
          <cell r="F1603"/>
          <cell r="G1603"/>
          <cell r="H1603"/>
          <cell r="I1603"/>
          <cell r="J1603"/>
          <cell r="K1603"/>
          <cell r="L1603"/>
          <cell r="M1603"/>
        </row>
        <row r="1604">
          <cell r="A1604">
            <v>20231601</v>
          </cell>
          <cell r="B1604"/>
          <cell r="C1604"/>
          <cell r="D1604"/>
          <cell r="E1604"/>
          <cell r="F1604"/>
          <cell r="G1604"/>
          <cell r="H1604"/>
          <cell r="I1604"/>
          <cell r="J1604"/>
          <cell r="K1604"/>
          <cell r="L1604"/>
          <cell r="M1604"/>
        </row>
        <row r="1605">
          <cell r="A1605">
            <v>20231602</v>
          </cell>
          <cell r="B1605"/>
          <cell r="C1605"/>
          <cell r="D1605"/>
          <cell r="E1605"/>
          <cell r="F1605"/>
          <cell r="G1605"/>
          <cell r="H1605"/>
          <cell r="I1605"/>
          <cell r="J1605"/>
          <cell r="K1605"/>
          <cell r="L1605"/>
          <cell r="M1605"/>
        </row>
        <row r="1606">
          <cell r="A1606">
            <v>20231603</v>
          </cell>
          <cell r="B1606"/>
          <cell r="C1606"/>
          <cell r="D1606"/>
          <cell r="E1606"/>
          <cell r="F1606"/>
          <cell r="G1606"/>
          <cell r="H1606"/>
          <cell r="I1606"/>
          <cell r="J1606"/>
          <cell r="K1606"/>
          <cell r="L1606"/>
          <cell r="M1606"/>
        </row>
        <row r="1607">
          <cell r="A1607">
            <v>20231604</v>
          </cell>
          <cell r="B1607"/>
          <cell r="C1607"/>
          <cell r="D1607"/>
          <cell r="E1607"/>
          <cell r="F1607"/>
          <cell r="G1607"/>
          <cell r="H1607"/>
          <cell r="I1607"/>
          <cell r="J1607"/>
          <cell r="K1607"/>
          <cell r="L1607"/>
          <cell r="M1607"/>
        </row>
        <row r="1608">
          <cell r="A1608">
            <v>20231605</v>
          </cell>
          <cell r="B1608"/>
          <cell r="C1608"/>
          <cell r="D1608"/>
          <cell r="E1608"/>
          <cell r="F1608"/>
          <cell r="G1608"/>
          <cell r="H1608"/>
          <cell r="I1608"/>
          <cell r="J1608"/>
          <cell r="K1608"/>
          <cell r="L1608"/>
          <cell r="M1608"/>
        </row>
        <row r="1609">
          <cell r="A1609">
            <v>20231606</v>
          </cell>
          <cell r="B1609"/>
          <cell r="C1609"/>
          <cell r="D1609"/>
          <cell r="E1609"/>
          <cell r="F1609"/>
          <cell r="G1609"/>
          <cell r="H1609"/>
          <cell r="I1609"/>
          <cell r="J1609"/>
          <cell r="K1609"/>
          <cell r="L1609"/>
          <cell r="M1609"/>
        </row>
        <row r="1610">
          <cell r="A1610">
            <v>20231607</v>
          </cell>
          <cell r="B1610"/>
          <cell r="C1610"/>
          <cell r="D1610"/>
          <cell r="E1610"/>
          <cell r="F1610"/>
          <cell r="G1610"/>
          <cell r="H1610"/>
          <cell r="I1610"/>
          <cell r="J1610"/>
          <cell r="K1610"/>
          <cell r="L1610"/>
          <cell r="M1610"/>
        </row>
        <row r="1611">
          <cell r="A1611">
            <v>20231608</v>
          </cell>
          <cell r="B1611"/>
          <cell r="C1611"/>
          <cell r="D1611"/>
          <cell r="E1611"/>
          <cell r="F1611"/>
          <cell r="G1611"/>
          <cell r="H1611"/>
          <cell r="I1611"/>
          <cell r="J1611"/>
          <cell r="K1611"/>
          <cell r="L1611"/>
          <cell r="M1611"/>
        </row>
        <row r="1612">
          <cell r="A1612">
            <v>20231609</v>
          </cell>
          <cell r="B1612"/>
          <cell r="C1612"/>
          <cell r="D1612"/>
          <cell r="E1612"/>
          <cell r="F1612"/>
          <cell r="G1612"/>
          <cell r="H1612"/>
          <cell r="I1612"/>
          <cell r="J1612"/>
          <cell r="K1612"/>
          <cell r="L1612"/>
          <cell r="M1612"/>
        </row>
        <row r="1613">
          <cell r="A1613">
            <v>20231610</v>
          </cell>
          <cell r="B1613"/>
          <cell r="C1613"/>
          <cell r="D1613"/>
          <cell r="E1613"/>
          <cell r="F1613"/>
          <cell r="G1613"/>
          <cell r="H1613"/>
          <cell r="I1613"/>
          <cell r="J1613"/>
          <cell r="K1613"/>
          <cell r="L1613"/>
          <cell r="M1613"/>
        </row>
        <row r="1614">
          <cell r="A1614">
            <v>20231611</v>
          </cell>
          <cell r="B1614"/>
          <cell r="C1614"/>
          <cell r="D1614"/>
          <cell r="E1614"/>
          <cell r="F1614"/>
          <cell r="G1614"/>
          <cell r="H1614"/>
          <cell r="I1614"/>
          <cell r="J1614"/>
          <cell r="K1614"/>
          <cell r="L1614"/>
          <cell r="M1614"/>
        </row>
        <row r="1615">
          <cell r="A1615">
            <v>20231612</v>
          </cell>
          <cell r="B1615"/>
          <cell r="C1615"/>
          <cell r="D1615"/>
          <cell r="E1615"/>
          <cell r="F1615"/>
          <cell r="G1615"/>
          <cell r="H1615"/>
          <cell r="I1615"/>
          <cell r="J1615"/>
          <cell r="K1615"/>
          <cell r="L1615"/>
          <cell r="M1615"/>
        </row>
        <row r="1616">
          <cell r="A1616">
            <v>20231613</v>
          </cell>
          <cell r="B1616"/>
          <cell r="C1616"/>
          <cell r="D1616"/>
          <cell r="E1616"/>
          <cell r="F1616"/>
          <cell r="G1616"/>
          <cell r="H1616"/>
          <cell r="I1616"/>
          <cell r="J1616"/>
          <cell r="K1616"/>
          <cell r="L1616"/>
          <cell r="M1616"/>
        </row>
        <row r="1617">
          <cell r="A1617">
            <v>20231614</v>
          </cell>
          <cell r="B1617"/>
          <cell r="C1617"/>
          <cell r="D1617"/>
          <cell r="E1617"/>
          <cell r="F1617"/>
          <cell r="G1617"/>
          <cell r="H1617"/>
          <cell r="I1617"/>
          <cell r="J1617"/>
          <cell r="K1617"/>
          <cell r="L1617"/>
          <cell r="M1617"/>
        </row>
        <row r="1618">
          <cell r="A1618">
            <v>20231615</v>
          </cell>
          <cell r="B1618"/>
          <cell r="C1618"/>
          <cell r="D1618"/>
          <cell r="E1618"/>
          <cell r="F1618"/>
          <cell r="G1618"/>
          <cell r="H1618"/>
          <cell r="I1618"/>
          <cell r="J1618"/>
          <cell r="K1618"/>
          <cell r="L1618"/>
          <cell r="M1618"/>
        </row>
        <row r="1619">
          <cell r="A1619">
            <v>20231616</v>
          </cell>
          <cell r="B1619"/>
          <cell r="C1619"/>
          <cell r="D1619"/>
          <cell r="E1619"/>
          <cell r="F1619"/>
          <cell r="G1619"/>
          <cell r="H1619"/>
          <cell r="I1619"/>
          <cell r="J1619"/>
          <cell r="K1619"/>
          <cell r="L1619"/>
          <cell r="M1619"/>
        </row>
        <row r="1620">
          <cell r="A1620">
            <v>20231617</v>
          </cell>
          <cell r="B1620"/>
          <cell r="C1620"/>
          <cell r="D1620"/>
          <cell r="E1620"/>
          <cell r="F1620"/>
          <cell r="G1620"/>
          <cell r="H1620"/>
          <cell r="I1620"/>
          <cell r="J1620"/>
          <cell r="K1620"/>
          <cell r="L1620"/>
          <cell r="M1620"/>
        </row>
        <row r="1621">
          <cell r="A1621">
            <v>20231618</v>
          </cell>
          <cell r="B1621"/>
          <cell r="C1621"/>
          <cell r="D1621"/>
          <cell r="E1621"/>
          <cell r="F1621"/>
          <cell r="G1621"/>
          <cell r="H1621"/>
          <cell r="I1621"/>
          <cell r="J1621"/>
          <cell r="K1621"/>
          <cell r="L1621"/>
          <cell r="M1621"/>
        </row>
        <row r="1622">
          <cell r="A1622">
            <v>20231619</v>
          </cell>
          <cell r="B1622"/>
          <cell r="C1622"/>
          <cell r="D1622"/>
          <cell r="E1622"/>
          <cell r="F1622"/>
          <cell r="G1622"/>
          <cell r="H1622"/>
          <cell r="I1622"/>
          <cell r="J1622"/>
          <cell r="K1622"/>
          <cell r="L1622"/>
          <cell r="M1622"/>
        </row>
        <row r="1623">
          <cell r="A1623">
            <v>20231620</v>
          </cell>
          <cell r="B1623"/>
          <cell r="C1623"/>
          <cell r="D1623"/>
          <cell r="E1623"/>
          <cell r="F1623"/>
          <cell r="G1623"/>
          <cell r="H1623"/>
          <cell r="I1623"/>
          <cell r="J1623"/>
          <cell r="K1623"/>
          <cell r="L1623"/>
          <cell r="M1623"/>
        </row>
        <row r="1624">
          <cell r="A1624">
            <v>20231621</v>
          </cell>
          <cell r="B1624"/>
          <cell r="C1624"/>
          <cell r="D1624"/>
          <cell r="E1624"/>
          <cell r="F1624"/>
          <cell r="G1624"/>
          <cell r="H1624"/>
          <cell r="I1624"/>
          <cell r="J1624"/>
          <cell r="K1624"/>
          <cell r="L1624"/>
          <cell r="M1624"/>
        </row>
        <row r="1625">
          <cell r="A1625">
            <v>20231622</v>
          </cell>
          <cell r="B1625"/>
          <cell r="C1625"/>
          <cell r="D1625"/>
          <cell r="E1625"/>
          <cell r="F1625"/>
          <cell r="G1625"/>
          <cell r="H1625"/>
          <cell r="I1625"/>
          <cell r="J1625"/>
          <cell r="K1625"/>
          <cell r="L1625"/>
          <cell r="M1625"/>
        </row>
        <row r="1626">
          <cell r="A1626">
            <v>20231623</v>
          </cell>
          <cell r="B1626"/>
          <cell r="C1626"/>
          <cell r="D1626"/>
          <cell r="E1626"/>
          <cell r="F1626"/>
          <cell r="G1626"/>
          <cell r="H1626"/>
          <cell r="I1626"/>
          <cell r="J1626"/>
          <cell r="K1626"/>
          <cell r="L1626"/>
          <cell r="M1626"/>
        </row>
        <row r="1627">
          <cell r="A1627">
            <v>20231624</v>
          </cell>
          <cell r="B1627"/>
          <cell r="C1627"/>
          <cell r="D1627"/>
          <cell r="E1627"/>
          <cell r="F1627"/>
          <cell r="G1627"/>
          <cell r="H1627"/>
          <cell r="I1627"/>
          <cell r="J1627"/>
          <cell r="K1627"/>
          <cell r="L1627"/>
          <cell r="M1627"/>
        </row>
        <row r="1628">
          <cell r="A1628">
            <v>20231625</v>
          </cell>
          <cell r="B1628"/>
          <cell r="C1628"/>
          <cell r="D1628"/>
          <cell r="E1628"/>
          <cell r="F1628"/>
          <cell r="G1628"/>
          <cell r="H1628"/>
          <cell r="I1628"/>
          <cell r="J1628"/>
          <cell r="K1628"/>
          <cell r="L1628"/>
          <cell r="M1628"/>
        </row>
        <row r="1629">
          <cell r="A1629">
            <v>20231626</v>
          </cell>
          <cell r="B1629"/>
          <cell r="C1629"/>
          <cell r="D1629"/>
          <cell r="E1629"/>
          <cell r="F1629"/>
          <cell r="G1629"/>
          <cell r="H1629"/>
          <cell r="I1629"/>
          <cell r="J1629"/>
          <cell r="K1629"/>
          <cell r="L1629"/>
          <cell r="M1629"/>
        </row>
        <row r="1630">
          <cell r="A1630">
            <v>20231627</v>
          </cell>
          <cell r="B1630"/>
          <cell r="C1630"/>
          <cell r="D1630"/>
          <cell r="E1630"/>
          <cell r="F1630"/>
          <cell r="G1630"/>
          <cell r="H1630"/>
          <cell r="I1630"/>
          <cell r="J1630"/>
          <cell r="K1630"/>
          <cell r="L1630"/>
          <cell r="M1630"/>
        </row>
        <row r="1631">
          <cell r="A1631">
            <v>20231628</v>
          </cell>
          <cell r="B1631"/>
          <cell r="C1631"/>
          <cell r="D1631"/>
          <cell r="E1631"/>
          <cell r="F1631"/>
          <cell r="G1631"/>
          <cell r="H1631"/>
          <cell r="I1631"/>
          <cell r="J1631"/>
          <cell r="K1631"/>
          <cell r="L1631"/>
          <cell r="M1631"/>
        </row>
        <row r="1632">
          <cell r="A1632">
            <v>20231629</v>
          </cell>
          <cell r="B1632"/>
          <cell r="C1632"/>
          <cell r="D1632"/>
          <cell r="E1632"/>
          <cell r="F1632"/>
          <cell r="G1632"/>
          <cell r="H1632"/>
          <cell r="I1632"/>
          <cell r="J1632"/>
          <cell r="K1632"/>
          <cell r="L1632"/>
          <cell r="M1632"/>
        </row>
        <row r="1633">
          <cell r="A1633">
            <v>20231630</v>
          </cell>
          <cell r="B1633"/>
          <cell r="C1633"/>
          <cell r="D1633"/>
          <cell r="E1633"/>
          <cell r="F1633"/>
          <cell r="G1633"/>
          <cell r="H1633"/>
          <cell r="I1633"/>
          <cell r="J1633"/>
          <cell r="K1633"/>
          <cell r="L1633"/>
          <cell r="M1633"/>
        </row>
        <row r="1634">
          <cell r="A1634">
            <v>20231631</v>
          </cell>
          <cell r="B1634"/>
          <cell r="C1634"/>
          <cell r="D1634"/>
          <cell r="E1634"/>
          <cell r="F1634"/>
          <cell r="G1634"/>
          <cell r="H1634"/>
          <cell r="I1634"/>
          <cell r="J1634"/>
          <cell r="K1634"/>
          <cell r="L1634"/>
          <cell r="M1634"/>
        </row>
        <row r="1635">
          <cell r="A1635">
            <v>20231632</v>
          </cell>
          <cell r="B1635"/>
          <cell r="C1635"/>
          <cell r="D1635"/>
          <cell r="E1635"/>
          <cell r="F1635"/>
          <cell r="G1635"/>
          <cell r="H1635"/>
          <cell r="I1635"/>
          <cell r="J1635"/>
          <cell r="K1635"/>
          <cell r="L1635"/>
          <cell r="M1635"/>
        </row>
        <row r="1636">
          <cell r="A1636">
            <v>20231633</v>
          </cell>
          <cell r="B1636"/>
          <cell r="C1636"/>
          <cell r="D1636"/>
          <cell r="E1636"/>
          <cell r="F1636"/>
          <cell r="G1636"/>
          <cell r="H1636"/>
          <cell r="I1636"/>
          <cell r="J1636"/>
          <cell r="K1636"/>
          <cell r="L1636"/>
          <cell r="M1636"/>
        </row>
        <row r="1637">
          <cell r="A1637">
            <v>20231634</v>
          </cell>
          <cell r="B1637"/>
          <cell r="C1637"/>
          <cell r="D1637"/>
          <cell r="E1637"/>
          <cell r="F1637"/>
          <cell r="G1637"/>
          <cell r="H1637"/>
          <cell r="I1637"/>
          <cell r="J1637"/>
          <cell r="K1637"/>
          <cell r="L1637"/>
          <cell r="M1637"/>
        </row>
        <row r="1638">
          <cell r="A1638">
            <v>20231635</v>
          </cell>
          <cell r="B1638"/>
          <cell r="C1638"/>
          <cell r="D1638"/>
          <cell r="E1638"/>
          <cell r="F1638"/>
          <cell r="G1638"/>
          <cell r="H1638"/>
          <cell r="I1638"/>
          <cell r="J1638"/>
          <cell r="K1638"/>
          <cell r="L1638"/>
          <cell r="M1638"/>
        </row>
        <row r="1639">
          <cell r="A1639">
            <v>20231636</v>
          </cell>
          <cell r="B1639"/>
          <cell r="C1639"/>
          <cell r="D1639"/>
          <cell r="E1639"/>
          <cell r="F1639"/>
          <cell r="G1639"/>
          <cell r="H1639"/>
          <cell r="I1639"/>
          <cell r="J1639"/>
          <cell r="K1639"/>
          <cell r="L1639"/>
          <cell r="M1639"/>
        </row>
        <row r="1640">
          <cell r="A1640">
            <v>20231637</v>
          </cell>
          <cell r="B1640"/>
          <cell r="C1640"/>
          <cell r="D1640"/>
          <cell r="E1640"/>
          <cell r="F1640"/>
          <cell r="G1640"/>
          <cell r="H1640"/>
          <cell r="I1640"/>
          <cell r="J1640"/>
          <cell r="K1640"/>
          <cell r="L1640"/>
          <cell r="M1640"/>
        </row>
        <row r="1641">
          <cell r="A1641">
            <v>20231638</v>
          </cell>
          <cell r="B1641"/>
          <cell r="C1641"/>
          <cell r="D1641"/>
          <cell r="E1641"/>
          <cell r="F1641"/>
          <cell r="G1641"/>
          <cell r="H1641"/>
          <cell r="I1641"/>
          <cell r="J1641"/>
          <cell r="K1641"/>
          <cell r="L1641"/>
          <cell r="M1641"/>
        </row>
        <row r="1642">
          <cell r="A1642">
            <v>20231639</v>
          </cell>
          <cell r="B1642"/>
          <cell r="C1642"/>
          <cell r="D1642"/>
          <cell r="E1642"/>
          <cell r="F1642"/>
          <cell r="G1642"/>
          <cell r="H1642"/>
          <cell r="I1642"/>
          <cell r="J1642"/>
          <cell r="K1642"/>
          <cell r="L1642"/>
          <cell r="M1642"/>
        </row>
        <row r="1643">
          <cell r="A1643">
            <v>20231640</v>
          </cell>
          <cell r="B1643"/>
          <cell r="C1643"/>
          <cell r="D1643"/>
          <cell r="E1643"/>
          <cell r="F1643"/>
          <cell r="G1643"/>
          <cell r="H1643"/>
          <cell r="I1643"/>
          <cell r="J1643"/>
          <cell r="K1643"/>
          <cell r="L1643"/>
          <cell r="M1643"/>
        </row>
        <row r="1644">
          <cell r="A1644">
            <v>20231641</v>
          </cell>
          <cell r="B1644"/>
          <cell r="C1644"/>
          <cell r="D1644"/>
          <cell r="E1644"/>
          <cell r="F1644"/>
          <cell r="G1644"/>
          <cell r="H1644"/>
          <cell r="I1644"/>
          <cell r="J1644"/>
          <cell r="K1644"/>
          <cell r="L1644"/>
          <cell r="M1644"/>
        </row>
        <row r="1645">
          <cell r="A1645">
            <v>20231642</v>
          </cell>
          <cell r="B1645"/>
          <cell r="C1645"/>
          <cell r="D1645"/>
          <cell r="E1645"/>
          <cell r="F1645"/>
          <cell r="G1645"/>
          <cell r="H1645"/>
          <cell r="I1645"/>
          <cell r="J1645"/>
          <cell r="K1645"/>
          <cell r="L1645"/>
          <cell r="M1645"/>
        </row>
        <row r="1646">
          <cell r="A1646">
            <v>20231643</v>
          </cell>
          <cell r="B1646"/>
          <cell r="C1646"/>
          <cell r="D1646"/>
          <cell r="E1646"/>
          <cell r="F1646"/>
          <cell r="G1646"/>
          <cell r="H1646"/>
          <cell r="I1646"/>
          <cell r="J1646"/>
          <cell r="K1646"/>
          <cell r="L1646"/>
          <cell r="M1646"/>
        </row>
        <row r="1647">
          <cell r="A1647">
            <v>20231644</v>
          </cell>
          <cell r="B1647"/>
          <cell r="C1647"/>
          <cell r="D1647"/>
          <cell r="E1647"/>
          <cell r="F1647"/>
          <cell r="G1647"/>
          <cell r="H1647"/>
          <cell r="I1647"/>
          <cell r="J1647"/>
          <cell r="K1647"/>
          <cell r="L1647"/>
          <cell r="M1647"/>
        </row>
        <row r="1648">
          <cell r="A1648">
            <v>20231645</v>
          </cell>
          <cell r="B1648"/>
          <cell r="C1648"/>
          <cell r="D1648"/>
          <cell r="E1648"/>
          <cell r="F1648"/>
          <cell r="G1648"/>
          <cell r="H1648"/>
          <cell r="I1648"/>
          <cell r="J1648"/>
          <cell r="K1648"/>
          <cell r="L1648"/>
          <cell r="M1648"/>
        </row>
        <row r="1649">
          <cell r="A1649">
            <v>20231646</v>
          </cell>
          <cell r="B1649"/>
          <cell r="C1649"/>
          <cell r="D1649"/>
          <cell r="E1649"/>
          <cell r="F1649"/>
          <cell r="G1649"/>
          <cell r="H1649"/>
          <cell r="I1649"/>
          <cell r="J1649"/>
          <cell r="K1649"/>
          <cell r="L1649"/>
          <cell r="M1649"/>
        </row>
        <row r="1650">
          <cell r="A1650">
            <v>20231647</v>
          </cell>
          <cell r="B1650"/>
          <cell r="C1650"/>
          <cell r="D1650"/>
          <cell r="E1650"/>
          <cell r="F1650"/>
          <cell r="G1650"/>
          <cell r="H1650"/>
          <cell r="I1650"/>
          <cell r="J1650"/>
          <cell r="K1650"/>
          <cell r="L1650"/>
          <cell r="M1650"/>
        </row>
        <row r="1651">
          <cell r="A1651">
            <v>20231648</v>
          </cell>
          <cell r="B1651"/>
          <cell r="C1651"/>
          <cell r="D1651"/>
          <cell r="E1651"/>
          <cell r="F1651"/>
          <cell r="G1651"/>
          <cell r="H1651"/>
          <cell r="I1651"/>
          <cell r="J1651"/>
          <cell r="K1651"/>
          <cell r="L1651"/>
          <cell r="M1651"/>
        </row>
        <row r="1652">
          <cell r="A1652">
            <v>20231649</v>
          </cell>
          <cell r="B1652"/>
          <cell r="C1652"/>
          <cell r="D1652"/>
          <cell r="E1652"/>
          <cell r="F1652"/>
          <cell r="G1652"/>
          <cell r="H1652"/>
          <cell r="I1652"/>
          <cell r="J1652"/>
          <cell r="K1652"/>
          <cell r="L1652"/>
          <cell r="M1652"/>
        </row>
        <row r="1653">
          <cell r="A1653">
            <v>20231650</v>
          </cell>
          <cell r="B1653"/>
          <cell r="C1653"/>
          <cell r="D1653"/>
          <cell r="E1653"/>
          <cell r="F1653"/>
          <cell r="G1653"/>
          <cell r="H1653"/>
          <cell r="I1653"/>
          <cell r="J1653"/>
          <cell r="K1653"/>
          <cell r="L1653"/>
          <cell r="M1653"/>
        </row>
        <row r="1654">
          <cell r="A1654">
            <v>20231651</v>
          </cell>
          <cell r="B1654"/>
          <cell r="C1654"/>
          <cell r="D1654"/>
          <cell r="E1654"/>
          <cell r="F1654"/>
          <cell r="G1654"/>
          <cell r="H1654"/>
          <cell r="I1654"/>
          <cell r="J1654"/>
          <cell r="K1654"/>
          <cell r="L1654"/>
          <cell r="M1654"/>
        </row>
        <row r="1655">
          <cell r="A1655">
            <v>20231652</v>
          </cell>
          <cell r="B1655"/>
          <cell r="C1655"/>
          <cell r="D1655"/>
          <cell r="E1655"/>
          <cell r="F1655"/>
          <cell r="G1655"/>
          <cell r="H1655"/>
          <cell r="I1655"/>
          <cell r="J1655"/>
          <cell r="K1655"/>
          <cell r="L1655"/>
          <cell r="M1655"/>
        </row>
        <row r="1656">
          <cell r="A1656">
            <v>20231653</v>
          </cell>
          <cell r="B1656"/>
          <cell r="C1656"/>
          <cell r="D1656"/>
          <cell r="E1656"/>
          <cell r="F1656"/>
          <cell r="G1656"/>
          <cell r="H1656"/>
          <cell r="I1656"/>
          <cell r="J1656"/>
          <cell r="K1656"/>
          <cell r="L1656"/>
          <cell r="M1656"/>
        </row>
        <row r="1657">
          <cell r="A1657">
            <v>20231654</v>
          </cell>
          <cell r="B1657"/>
          <cell r="C1657"/>
          <cell r="D1657"/>
          <cell r="E1657"/>
          <cell r="F1657"/>
          <cell r="G1657"/>
          <cell r="H1657"/>
          <cell r="I1657"/>
          <cell r="J1657"/>
          <cell r="K1657"/>
          <cell r="L1657"/>
          <cell r="M1657"/>
        </row>
        <row r="1658">
          <cell r="A1658">
            <v>20231655</v>
          </cell>
          <cell r="B1658"/>
          <cell r="C1658"/>
          <cell r="D1658"/>
          <cell r="E1658"/>
          <cell r="F1658"/>
          <cell r="G1658"/>
          <cell r="H1658"/>
          <cell r="I1658"/>
          <cell r="J1658"/>
          <cell r="K1658"/>
          <cell r="L1658"/>
          <cell r="M1658"/>
        </row>
        <row r="1659">
          <cell r="A1659">
            <v>20231656</v>
          </cell>
          <cell r="B1659"/>
          <cell r="C1659"/>
          <cell r="D1659"/>
          <cell r="E1659"/>
          <cell r="F1659"/>
          <cell r="G1659"/>
          <cell r="H1659"/>
          <cell r="I1659"/>
          <cell r="J1659"/>
          <cell r="K1659"/>
          <cell r="L1659"/>
          <cell r="M1659"/>
        </row>
        <row r="1660">
          <cell r="A1660">
            <v>20231657</v>
          </cell>
          <cell r="B1660"/>
          <cell r="C1660"/>
          <cell r="D1660"/>
          <cell r="E1660"/>
          <cell r="F1660"/>
          <cell r="G1660"/>
          <cell r="H1660"/>
          <cell r="I1660"/>
          <cell r="J1660"/>
          <cell r="K1660"/>
          <cell r="L1660"/>
          <cell r="M1660"/>
        </row>
        <row r="1661">
          <cell r="A1661">
            <v>20231658</v>
          </cell>
          <cell r="B1661"/>
          <cell r="C1661"/>
          <cell r="D1661"/>
          <cell r="E1661"/>
          <cell r="F1661"/>
          <cell r="G1661"/>
          <cell r="H1661"/>
          <cell r="I1661"/>
          <cell r="J1661"/>
          <cell r="K1661"/>
          <cell r="L1661"/>
          <cell r="M1661"/>
        </row>
        <row r="1662">
          <cell r="A1662">
            <v>20231659</v>
          </cell>
          <cell r="B1662"/>
          <cell r="C1662"/>
          <cell r="D1662"/>
          <cell r="E1662"/>
          <cell r="F1662"/>
          <cell r="G1662"/>
          <cell r="H1662"/>
          <cell r="I1662"/>
          <cell r="J1662"/>
          <cell r="K1662"/>
          <cell r="L1662"/>
          <cell r="M1662"/>
        </row>
        <row r="1663">
          <cell r="A1663">
            <v>20231660</v>
          </cell>
          <cell r="B1663"/>
          <cell r="C1663"/>
          <cell r="D1663"/>
          <cell r="E1663"/>
          <cell r="F1663"/>
          <cell r="G1663"/>
          <cell r="H1663"/>
          <cell r="I1663"/>
          <cell r="J1663"/>
          <cell r="K1663"/>
          <cell r="L1663"/>
          <cell r="M1663"/>
        </row>
        <row r="1664">
          <cell r="A1664">
            <v>20231661</v>
          </cell>
          <cell r="B1664"/>
          <cell r="C1664"/>
          <cell r="D1664"/>
          <cell r="E1664"/>
          <cell r="F1664"/>
          <cell r="G1664"/>
          <cell r="H1664"/>
          <cell r="I1664"/>
          <cell r="J1664"/>
          <cell r="K1664"/>
          <cell r="L1664"/>
          <cell r="M1664"/>
        </row>
        <row r="1665">
          <cell r="A1665">
            <v>20231662</v>
          </cell>
          <cell r="B1665"/>
          <cell r="C1665"/>
          <cell r="D1665"/>
          <cell r="E1665"/>
          <cell r="F1665"/>
          <cell r="G1665"/>
          <cell r="H1665"/>
          <cell r="I1665"/>
          <cell r="J1665"/>
          <cell r="K1665"/>
          <cell r="L1665"/>
          <cell r="M1665"/>
        </row>
        <row r="1666">
          <cell r="A1666">
            <v>20231663</v>
          </cell>
          <cell r="B1666"/>
          <cell r="C1666"/>
          <cell r="D1666"/>
          <cell r="E1666"/>
          <cell r="F1666"/>
          <cell r="G1666"/>
          <cell r="H1666"/>
          <cell r="I1666"/>
          <cell r="J1666"/>
          <cell r="K1666"/>
          <cell r="L1666"/>
          <cell r="M1666"/>
        </row>
        <row r="1667">
          <cell r="A1667">
            <v>20231664</v>
          </cell>
          <cell r="B1667"/>
          <cell r="C1667"/>
          <cell r="D1667"/>
          <cell r="E1667"/>
          <cell r="F1667"/>
          <cell r="G1667"/>
          <cell r="H1667"/>
          <cell r="I1667"/>
          <cell r="J1667"/>
          <cell r="K1667"/>
          <cell r="L1667"/>
          <cell r="M1667"/>
        </row>
        <row r="1668">
          <cell r="A1668">
            <v>20231665</v>
          </cell>
          <cell r="B1668"/>
          <cell r="C1668"/>
          <cell r="D1668"/>
          <cell r="E1668"/>
          <cell r="F1668"/>
          <cell r="G1668"/>
          <cell r="H1668"/>
          <cell r="I1668"/>
          <cell r="J1668"/>
          <cell r="K1668"/>
          <cell r="L1668"/>
          <cell r="M1668"/>
        </row>
        <row r="1669">
          <cell r="A1669">
            <v>20231666</v>
          </cell>
          <cell r="B1669"/>
          <cell r="C1669"/>
          <cell r="D1669"/>
          <cell r="E1669"/>
          <cell r="F1669"/>
          <cell r="G1669"/>
          <cell r="H1669"/>
          <cell r="I1669"/>
          <cell r="J1669"/>
          <cell r="K1669"/>
          <cell r="L1669"/>
          <cell r="M1669"/>
        </row>
        <row r="1670">
          <cell r="A1670">
            <v>20231667</v>
          </cell>
          <cell r="B1670"/>
          <cell r="C1670"/>
          <cell r="D1670"/>
          <cell r="E1670"/>
          <cell r="F1670"/>
          <cell r="G1670"/>
          <cell r="H1670"/>
          <cell r="I1670"/>
          <cell r="J1670"/>
          <cell r="K1670"/>
          <cell r="L1670"/>
          <cell r="M1670"/>
        </row>
        <row r="1671">
          <cell r="A1671">
            <v>20231668</v>
          </cell>
          <cell r="B1671"/>
          <cell r="C1671"/>
          <cell r="D1671"/>
          <cell r="E1671"/>
          <cell r="F1671"/>
          <cell r="G1671"/>
          <cell r="H1671"/>
          <cell r="I1671"/>
          <cell r="J1671"/>
          <cell r="K1671"/>
          <cell r="L1671"/>
          <cell r="M1671"/>
        </row>
        <row r="1672">
          <cell r="A1672">
            <v>20231669</v>
          </cell>
          <cell r="B1672"/>
          <cell r="C1672"/>
          <cell r="D1672"/>
          <cell r="E1672"/>
          <cell r="F1672"/>
          <cell r="G1672"/>
          <cell r="H1672"/>
          <cell r="I1672"/>
          <cell r="J1672"/>
          <cell r="K1672"/>
          <cell r="L1672"/>
          <cell r="M1672"/>
        </row>
        <row r="1673">
          <cell r="A1673">
            <v>20231670</v>
          </cell>
          <cell r="B1673"/>
          <cell r="C1673"/>
          <cell r="D1673"/>
          <cell r="E1673"/>
          <cell r="F1673"/>
          <cell r="G1673"/>
          <cell r="H1673"/>
          <cell r="I1673"/>
          <cell r="J1673"/>
          <cell r="K1673"/>
          <cell r="L1673"/>
          <cell r="M1673"/>
        </row>
        <row r="1674">
          <cell r="A1674">
            <v>20231671</v>
          </cell>
          <cell r="B1674"/>
          <cell r="C1674"/>
          <cell r="D1674"/>
          <cell r="E1674"/>
          <cell r="F1674"/>
          <cell r="G1674"/>
          <cell r="H1674"/>
          <cell r="I1674"/>
          <cell r="J1674"/>
          <cell r="K1674"/>
          <cell r="L1674"/>
          <cell r="M1674"/>
        </row>
        <row r="1675">
          <cell r="A1675">
            <v>20231672</v>
          </cell>
          <cell r="B1675"/>
          <cell r="C1675"/>
          <cell r="D1675"/>
          <cell r="E1675"/>
          <cell r="F1675"/>
          <cell r="G1675"/>
          <cell r="H1675"/>
          <cell r="I1675"/>
          <cell r="J1675"/>
          <cell r="K1675"/>
          <cell r="L1675"/>
          <cell r="M1675"/>
        </row>
        <row r="1676">
          <cell r="A1676">
            <v>20231673</v>
          </cell>
          <cell r="B1676"/>
          <cell r="C1676"/>
          <cell r="D1676"/>
          <cell r="E1676"/>
          <cell r="F1676"/>
          <cell r="G1676"/>
          <cell r="H1676"/>
          <cell r="I1676"/>
          <cell r="J1676"/>
          <cell r="K1676"/>
          <cell r="L1676"/>
          <cell r="M1676"/>
        </row>
        <row r="1677">
          <cell r="A1677">
            <v>20231674</v>
          </cell>
          <cell r="B1677"/>
          <cell r="C1677"/>
          <cell r="D1677"/>
          <cell r="E1677"/>
          <cell r="F1677"/>
          <cell r="G1677"/>
          <cell r="H1677"/>
          <cell r="I1677"/>
          <cell r="J1677"/>
          <cell r="K1677"/>
          <cell r="L1677"/>
          <cell r="M1677"/>
        </row>
        <row r="1678">
          <cell r="A1678">
            <v>20231675</v>
          </cell>
          <cell r="B1678"/>
          <cell r="C1678"/>
          <cell r="D1678"/>
          <cell r="E1678"/>
          <cell r="F1678"/>
          <cell r="G1678"/>
          <cell r="H1678"/>
          <cell r="I1678"/>
          <cell r="J1678"/>
          <cell r="K1678"/>
          <cell r="L1678"/>
          <cell r="M1678"/>
        </row>
        <row r="1679">
          <cell r="A1679">
            <v>20231676</v>
          </cell>
          <cell r="B1679"/>
          <cell r="C1679"/>
          <cell r="D1679"/>
          <cell r="E1679"/>
          <cell r="F1679"/>
          <cell r="G1679"/>
          <cell r="H1679"/>
          <cell r="I1679"/>
          <cell r="J1679"/>
          <cell r="K1679"/>
          <cell r="L1679"/>
          <cell r="M1679"/>
        </row>
        <row r="1680">
          <cell r="A1680">
            <v>20231677</v>
          </cell>
          <cell r="B1680"/>
          <cell r="C1680"/>
          <cell r="D1680"/>
          <cell r="E1680"/>
          <cell r="F1680"/>
          <cell r="G1680"/>
          <cell r="H1680"/>
          <cell r="I1680"/>
          <cell r="J1680"/>
          <cell r="K1680"/>
          <cell r="L1680"/>
          <cell r="M1680"/>
        </row>
        <row r="1681">
          <cell r="A1681">
            <v>20231678</v>
          </cell>
          <cell r="B1681"/>
          <cell r="C1681"/>
          <cell r="D1681"/>
          <cell r="E1681"/>
          <cell r="F1681"/>
          <cell r="G1681"/>
          <cell r="H1681"/>
          <cell r="I1681"/>
          <cell r="J1681"/>
          <cell r="K1681"/>
          <cell r="L1681"/>
          <cell r="M1681"/>
        </row>
        <row r="1682">
          <cell r="A1682">
            <v>20231679</v>
          </cell>
          <cell r="B1682"/>
          <cell r="C1682"/>
          <cell r="D1682"/>
          <cell r="E1682"/>
          <cell r="F1682"/>
          <cell r="G1682"/>
          <cell r="H1682"/>
          <cell r="I1682"/>
          <cell r="J1682"/>
          <cell r="K1682"/>
          <cell r="L1682"/>
          <cell r="M1682"/>
        </row>
        <row r="1683">
          <cell r="A1683">
            <v>20231680</v>
          </cell>
          <cell r="B1683"/>
          <cell r="C1683"/>
          <cell r="D1683"/>
          <cell r="E1683"/>
          <cell r="F1683"/>
          <cell r="G1683"/>
          <cell r="H1683"/>
          <cell r="I1683"/>
          <cell r="J1683"/>
          <cell r="K1683"/>
          <cell r="L1683"/>
          <cell r="M1683"/>
        </row>
        <row r="1684">
          <cell r="A1684">
            <v>20231681</v>
          </cell>
          <cell r="B1684"/>
          <cell r="C1684"/>
          <cell r="D1684"/>
          <cell r="E1684"/>
          <cell r="F1684"/>
          <cell r="G1684"/>
          <cell r="H1684"/>
          <cell r="I1684"/>
          <cell r="J1684"/>
          <cell r="K1684"/>
          <cell r="L1684"/>
          <cell r="M1684"/>
        </row>
        <row r="1685">
          <cell r="A1685">
            <v>20231682</v>
          </cell>
          <cell r="B1685"/>
          <cell r="C1685"/>
          <cell r="D1685"/>
          <cell r="E1685"/>
          <cell r="F1685"/>
          <cell r="G1685"/>
          <cell r="H1685"/>
          <cell r="I1685"/>
          <cell r="J1685"/>
          <cell r="K1685"/>
          <cell r="L1685"/>
          <cell r="M1685"/>
        </row>
        <row r="1686">
          <cell r="A1686">
            <v>20231683</v>
          </cell>
          <cell r="B1686"/>
          <cell r="C1686"/>
          <cell r="D1686"/>
          <cell r="E1686"/>
          <cell r="F1686"/>
          <cell r="G1686"/>
          <cell r="H1686"/>
          <cell r="I1686"/>
          <cell r="J1686"/>
          <cell r="K1686"/>
          <cell r="L1686"/>
          <cell r="M1686"/>
        </row>
        <row r="1687">
          <cell r="A1687">
            <v>20231684</v>
          </cell>
          <cell r="B1687"/>
          <cell r="C1687"/>
          <cell r="D1687"/>
          <cell r="E1687"/>
          <cell r="F1687"/>
          <cell r="G1687"/>
          <cell r="H1687"/>
          <cell r="I1687"/>
          <cell r="J1687"/>
          <cell r="K1687"/>
          <cell r="L1687"/>
          <cell r="M1687"/>
        </row>
        <row r="1688">
          <cell r="A1688">
            <v>20231685</v>
          </cell>
          <cell r="B1688"/>
          <cell r="C1688"/>
          <cell r="D1688"/>
          <cell r="E1688"/>
          <cell r="F1688"/>
          <cell r="G1688"/>
          <cell r="H1688"/>
          <cell r="I1688"/>
          <cell r="J1688"/>
          <cell r="K1688"/>
          <cell r="L1688"/>
          <cell r="M1688"/>
        </row>
        <row r="1689">
          <cell r="A1689">
            <v>20231686</v>
          </cell>
          <cell r="B1689"/>
          <cell r="C1689"/>
          <cell r="D1689"/>
          <cell r="E1689"/>
          <cell r="F1689"/>
          <cell r="G1689"/>
          <cell r="H1689"/>
          <cell r="I1689"/>
          <cell r="J1689"/>
          <cell r="K1689"/>
          <cell r="L1689"/>
          <cell r="M1689"/>
        </row>
        <row r="1690">
          <cell r="A1690">
            <v>20231687</v>
          </cell>
          <cell r="B1690"/>
          <cell r="C1690"/>
          <cell r="D1690"/>
          <cell r="E1690"/>
          <cell r="F1690"/>
          <cell r="G1690"/>
          <cell r="H1690"/>
          <cell r="I1690"/>
          <cell r="J1690"/>
          <cell r="K1690"/>
          <cell r="L1690"/>
          <cell r="M1690"/>
        </row>
        <row r="1691">
          <cell r="A1691">
            <v>20231688</v>
          </cell>
          <cell r="B1691"/>
          <cell r="C1691"/>
          <cell r="D1691"/>
          <cell r="E1691"/>
          <cell r="F1691"/>
          <cell r="G1691"/>
          <cell r="H1691"/>
          <cell r="I1691"/>
          <cell r="J1691"/>
          <cell r="K1691"/>
          <cell r="L1691"/>
          <cell r="M1691"/>
        </row>
        <row r="1692">
          <cell r="A1692">
            <v>20231689</v>
          </cell>
          <cell r="B1692"/>
          <cell r="C1692"/>
          <cell r="D1692"/>
          <cell r="E1692"/>
          <cell r="F1692"/>
          <cell r="G1692"/>
          <cell r="H1692"/>
          <cell r="I1692"/>
          <cell r="J1692"/>
          <cell r="K1692"/>
          <cell r="L1692"/>
          <cell r="M1692"/>
        </row>
        <row r="1693">
          <cell r="A1693">
            <v>20231690</v>
          </cell>
          <cell r="B1693"/>
          <cell r="C1693"/>
          <cell r="D1693"/>
          <cell r="E1693"/>
          <cell r="F1693"/>
          <cell r="G1693"/>
          <cell r="H1693"/>
          <cell r="I1693"/>
          <cell r="J1693"/>
          <cell r="K1693"/>
          <cell r="L1693"/>
          <cell r="M1693"/>
        </row>
        <row r="1694">
          <cell r="A1694">
            <v>20231691</v>
          </cell>
          <cell r="B1694"/>
          <cell r="C1694"/>
          <cell r="D1694"/>
          <cell r="E1694"/>
          <cell r="F1694"/>
          <cell r="G1694"/>
          <cell r="H1694"/>
          <cell r="I1694"/>
          <cell r="J1694"/>
          <cell r="K1694"/>
          <cell r="L1694"/>
          <cell r="M1694"/>
        </row>
        <row r="1695">
          <cell r="A1695">
            <v>20231692</v>
          </cell>
          <cell r="B1695"/>
          <cell r="C1695"/>
          <cell r="D1695"/>
          <cell r="E1695"/>
          <cell r="F1695"/>
          <cell r="G1695"/>
          <cell r="H1695"/>
          <cell r="I1695"/>
          <cell r="J1695"/>
          <cell r="K1695"/>
          <cell r="L1695"/>
          <cell r="M1695"/>
        </row>
        <row r="1696">
          <cell r="A1696">
            <v>20231693</v>
          </cell>
          <cell r="B1696"/>
          <cell r="C1696"/>
          <cell r="D1696"/>
          <cell r="E1696"/>
          <cell r="F1696"/>
          <cell r="G1696"/>
          <cell r="H1696"/>
          <cell r="I1696"/>
          <cell r="J1696"/>
          <cell r="K1696"/>
          <cell r="L1696"/>
          <cell r="M1696"/>
        </row>
        <row r="1697">
          <cell r="A1697">
            <v>20231694</v>
          </cell>
          <cell r="B1697"/>
          <cell r="C1697"/>
          <cell r="D1697"/>
          <cell r="E1697"/>
          <cell r="F1697"/>
          <cell r="G1697"/>
          <cell r="H1697"/>
          <cell r="I1697"/>
          <cell r="J1697"/>
          <cell r="K1697"/>
          <cell r="L1697"/>
          <cell r="M1697"/>
        </row>
        <row r="1698">
          <cell r="A1698">
            <v>20231695</v>
          </cell>
          <cell r="B1698"/>
          <cell r="C1698"/>
          <cell r="D1698"/>
          <cell r="E1698"/>
          <cell r="F1698"/>
          <cell r="G1698"/>
          <cell r="H1698"/>
          <cell r="I1698"/>
          <cell r="J1698"/>
          <cell r="K1698"/>
          <cell r="L1698"/>
          <cell r="M1698"/>
        </row>
        <row r="1699">
          <cell r="A1699">
            <v>20231696</v>
          </cell>
          <cell r="B1699"/>
          <cell r="C1699"/>
          <cell r="D1699"/>
          <cell r="E1699"/>
          <cell r="F1699"/>
          <cell r="G1699"/>
          <cell r="H1699"/>
          <cell r="I1699"/>
          <cell r="J1699"/>
          <cell r="K1699"/>
          <cell r="L1699"/>
          <cell r="M1699"/>
        </row>
        <row r="1700">
          <cell r="A1700">
            <v>20231697</v>
          </cell>
          <cell r="B1700"/>
          <cell r="C1700"/>
          <cell r="D1700"/>
          <cell r="E1700"/>
          <cell r="F1700"/>
          <cell r="G1700"/>
          <cell r="H1700"/>
          <cell r="I1700"/>
          <cell r="J1700"/>
          <cell r="K1700"/>
          <cell r="L1700"/>
          <cell r="M1700"/>
        </row>
        <row r="1701">
          <cell r="A1701">
            <v>20231698</v>
          </cell>
          <cell r="B1701"/>
          <cell r="C1701"/>
          <cell r="D1701"/>
          <cell r="E1701"/>
          <cell r="F1701"/>
          <cell r="G1701"/>
          <cell r="H1701"/>
          <cell r="I1701"/>
          <cell r="J1701"/>
          <cell r="K1701"/>
          <cell r="L1701"/>
          <cell r="M1701"/>
        </row>
        <row r="1702">
          <cell r="A1702">
            <v>20231699</v>
          </cell>
          <cell r="B1702"/>
          <cell r="C1702"/>
          <cell r="D1702"/>
          <cell r="E1702"/>
          <cell r="F1702"/>
          <cell r="G1702"/>
          <cell r="H1702"/>
          <cell r="I1702"/>
          <cell r="J1702"/>
          <cell r="K1702"/>
          <cell r="L1702"/>
          <cell r="M1702"/>
        </row>
        <row r="1703">
          <cell r="A1703">
            <v>20231700</v>
          </cell>
          <cell r="B1703"/>
          <cell r="C1703"/>
          <cell r="D1703"/>
          <cell r="E1703"/>
          <cell r="F1703"/>
          <cell r="G1703"/>
          <cell r="H1703"/>
          <cell r="I1703"/>
          <cell r="J1703"/>
          <cell r="K1703"/>
          <cell r="L1703"/>
          <cell r="M1703"/>
        </row>
        <row r="1704">
          <cell r="A1704">
            <v>20231701</v>
          </cell>
          <cell r="B1704"/>
          <cell r="C1704"/>
          <cell r="D1704"/>
          <cell r="E1704"/>
          <cell r="F1704"/>
          <cell r="G1704"/>
          <cell r="H1704"/>
          <cell r="I1704"/>
          <cell r="J1704"/>
          <cell r="K1704"/>
          <cell r="L1704"/>
          <cell r="M1704"/>
        </row>
        <row r="1705">
          <cell r="A1705">
            <v>20231702</v>
          </cell>
          <cell r="B1705"/>
          <cell r="C1705"/>
          <cell r="D1705"/>
          <cell r="E1705"/>
          <cell r="F1705"/>
          <cell r="G1705"/>
          <cell r="H1705"/>
          <cell r="I1705"/>
          <cell r="J1705"/>
          <cell r="K1705"/>
          <cell r="L1705"/>
          <cell r="M1705"/>
        </row>
        <row r="1706">
          <cell r="A1706">
            <v>20231703</v>
          </cell>
          <cell r="B1706"/>
          <cell r="C1706"/>
          <cell r="D1706"/>
          <cell r="E1706"/>
          <cell r="F1706"/>
          <cell r="G1706"/>
          <cell r="H1706"/>
          <cell r="I1706"/>
          <cell r="J1706"/>
          <cell r="K1706"/>
          <cell r="L1706"/>
          <cell r="M1706"/>
        </row>
        <row r="1707">
          <cell r="A1707">
            <v>20231704</v>
          </cell>
          <cell r="B1707"/>
          <cell r="C1707"/>
          <cell r="D1707"/>
          <cell r="E1707"/>
          <cell r="F1707"/>
          <cell r="G1707"/>
          <cell r="H1707"/>
          <cell r="I1707"/>
          <cell r="J1707"/>
          <cell r="K1707"/>
          <cell r="L1707"/>
          <cell r="M1707"/>
        </row>
        <row r="1708">
          <cell r="A1708">
            <v>20231705</v>
          </cell>
          <cell r="B1708"/>
          <cell r="C1708"/>
          <cell r="D1708"/>
          <cell r="E1708"/>
          <cell r="F1708"/>
          <cell r="G1708"/>
          <cell r="H1708"/>
          <cell r="I1708"/>
          <cell r="J1708"/>
          <cell r="K1708"/>
          <cell r="L1708"/>
          <cell r="M1708"/>
        </row>
        <row r="1709">
          <cell r="A1709">
            <v>20231706</v>
          </cell>
          <cell r="B1709"/>
          <cell r="C1709"/>
          <cell r="D1709"/>
          <cell r="E1709"/>
          <cell r="F1709"/>
          <cell r="G1709"/>
          <cell r="H1709"/>
          <cell r="I1709"/>
          <cell r="J1709"/>
          <cell r="K1709"/>
          <cell r="L1709"/>
          <cell r="M1709"/>
        </row>
        <row r="1710">
          <cell r="A1710">
            <v>20231707</v>
          </cell>
          <cell r="B1710"/>
          <cell r="C1710"/>
          <cell r="D1710"/>
          <cell r="E1710"/>
          <cell r="F1710"/>
          <cell r="G1710"/>
          <cell r="H1710"/>
          <cell r="I1710"/>
          <cell r="J1710"/>
          <cell r="K1710"/>
          <cell r="L1710"/>
          <cell r="M1710"/>
        </row>
        <row r="1711">
          <cell r="A1711">
            <v>20231708</v>
          </cell>
          <cell r="B1711"/>
          <cell r="C1711"/>
          <cell r="D1711"/>
          <cell r="E1711"/>
          <cell r="F1711"/>
          <cell r="G1711"/>
          <cell r="H1711"/>
          <cell r="I1711"/>
          <cell r="J1711"/>
          <cell r="K1711"/>
          <cell r="L1711"/>
          <cell r="M1711"/>
        </row>
        <row r="1712">
          <cell r="A1712">
            <v>20231709</v>
          </cell>
          <cell r="B1712"/>
          <cell r="C1712"/>
          <cell r="D1712"/>
          <cell r="E1712"/>
          <cell r="F1712"/>
          <cell r="G1712"/>
          <cell r="H1712"/>
          <cell r="I1712"/>
          <cell r="J1712"/>
          <cell r="K1712"/>
          <cell r="L1712"/>
          <cell r="M1712"/>
        </row>
        <row r="1713">
          <cell r="A1713">
            <v>20231710</v>
          </cell>
          <cell r="B1713"/>
          <cell r="C1713"/>
          <cell r="D1713"/>
          <cell r="E1713"/>
          <cell r="F1713"/>
          <cell r="G1713"/>
          <cell r="H1713"/>
          <cell r="I1713"/>
          <cell r="J1713"/>
          <cell r="K1713"/>
          <cell r="L1713"/>
          <cell r="M1713"/>
        </row>
        <row r="1714">
          <cell r="A1714">
            <v>20231711</v>
          </cell>
          <cell r="B1714"/>
          <cell r="C1714"/>
          <cell r="D1714"/>
          <cell r="E1714"/>
          <cell r="F1714"/>
          <cell r="G1714"/>
          <cell r="H1714"/>
          <cell r="I1714"/>
          <cell r="J1714"/>
          <cell r="K1714"/>
          <cell r="L1714"/>
          <cell r="M1714"/>
        </row>
        <row r="1715">
          <cell r="A1715">
            <v>20231712</v>
          </cell>
          <cell r="B1715"/>
          <cell r="C1715"/>
          <cell r="D1715"/>
          <cell r="E1715"/>
          <cell r="F1715"/>
          <cell r="G1715"/>
          <cell r="H1715"/>
          <cell r="I1715"/>
          <cell r="J1715"/>
          <cell r="K1715"/>
          <cell r="L1715"/>
          <cell r="M1715"/>
        </row>
        <row r="1716">
          <cell r="A1716">
            <v>20231713</v>
          </cell>
          <cell r="B1716"/>
          <cell r="C1716"/>
          <cell r="D1716"/>
          <cell r="E1716"/>
          <cell r="F1716"/>
          <cell r="G1716"/>
          <cell r="H1716"/>
          <cell r="I1716"/>
          <cell r="J1716"/>
          <cell r="K1716"/>
          <cell r="L1716"/>
          <cell r="M1716"/>
        </row>
        <row r="1717">
          <cell r="A1717">
            <v>20231714</v>
          </cell>
          <cell r="B1717"/>
          <cell r="C1717"/>
          <cell r="D1717"/>
          <cell r="E1717"/>
          <cell r="F1717"/>
          <cell r="G1717"/>
          <cell r="H1717"/>
          <cell r="I1717"/>
          <cell r="J1717"/>
          <cell r="K1717"/>
          <cell r="L1717"/>
          <cell r="M1717"/>
        </row>
        <row r="1718">
          <cell r="A1718">
            <v>20231715</v>
          </cell>
          <cell r="B1718"/>
          <cell r="C1718"/>
          <cell r="D1718"/>
          <cell r="E1718"/>
          <cell r="F1718"/>
          <cell r="G1718"/>
          <cell r="H1718"/>
          <cell r="I1718"/>
          <cell r="J1718"/>
          <cell r="K1718"/>
          <cell r="L1718"/>
          <cell r="M1718"/>
        </row>
        <row r="1719">
          <cell r="A1719">
            <v>20231716</v>
          </cell>
          <cell r="B1719"/>
          <cell r="C1719"/>
          <cell r="D1719"/>
          <cell r="E1719"/>
          <cell r="F1719"/>
          <cell r="G1719"/>
          <cell r="H1719"/>
          <cell r="I1719"/>
          <cell r="J1719"/>
          <cell r="K1719"/>
          <cell r="L1719"/>
          <cell r="M1719"/>
        </row>
        <row r="1720">
          <cell r="A1720">
            <v>20231717</v>
          </cell>
          <cell r="B1720"/>
          <cell r="C1720"/>
          <cell r="D1720"/>
          <cell r="E1720"/>
          <cell r="F1720"/>
          <cell r="G1720"/>
          <cell r="H1720"/>
          <cell r="I1720"/>
          <cell r="J1720"/>
          <cell r="K1720"/>
          <cell r="L1720"/>
          <cell r="M1720"/>
        </row>
        <row r="1721">
          <cell r="A1721">
            <v>20231718</v>
          </cell>
          <cell r="B1721"/>
          <cell r="C1721"/>
          <cell r="D1721"/>
          <cell r="E1721"/>
          <cell r="F1721"/>
          <cell r="G1721"/>
          <cell r="H1721"/>
          <cell r="I1721"/>
          <cell r="J1721"/>
          <cell r="K1721"/>
          <cell r="L1721"/>
          <cell r="M1721"/>
        </row>
        <row r="1722">
          <cell r="A1722">
            <v>20231719</v>
          </cell>
          <cell r="B1722"/>
          <cell r="C1722"/>
          <cell r="D1722"/>
          <cell r="E1722"/>
          <cell r="F1722"/>
          <cell r="G1722"/>
          <cell r="H1722"/>
          <cell r="I1722"/>
          <cell r="J1722"/>
          <cell r="K1722"/>
          <cell r="L1722"/>
          <cell r="M1722"/>
        </row>
        <row r="1723">
          <cell r="A1723">
            <v>20231720</v>
          </cell>
          <cell r="B1723"/>
          <cell r="C1723"/>
          <cell r="D1723"/>
          <cell r="E1723"/>
          <cell r="F1723"/>
          <cell r="G1723"/>
          <cell r="H1723"/>
          <cell r="I1723"/>
          <cell r="J1723"/>
          <cell r="K1723"/>
          <cell r="L1723"/>
          <cell r="M1723"/>
        </row>
        <row r="1724">
          <cell r="A1724">
            <v>20231721</v>
          </cell>
          <cell r="B1724"/>
          <cell r="C1724"/>
          <cell r="D1724"/>
          <cell r="E1724"/>
          <cell r="F1724"/>
          <cell r="G1724"/>
          <cell r="H1724"/>
          <cell r="I1724"/>
          <cell r="J1724"/>
          <cell r="K1724"/>
          <cell r="L1724"/>
          <cell r="M1724"/>
        </row>
        <row r="1725">
          <cell r="A1725">
            <v>20231722</v>
          </cell>
          <cell r="B1725"/>
          <cell r="C1725"/>
          <cell r="D1725"/>
          <cell r="E1725"/>
          <cell r="F1725"/>
          <cell r="G1725"/>
          <cell r="H1725"/>
          <cell r="I1725"/>
          <cell r="J1725"/>
          <cell r="K1725"/>
          <cell r="L1725"/>
          <cell r="M1725"/>
        </row>
        <row r="1726">
          <cell r="A1726">
            <v>20231723</v>
          </cell>
          <cell r="B1726"/>
          <cell r="C1726"/>
          <cell r="D1726"/>
          <cell r="E1726"/>
          <cell r="F1726"/>
          <cell r="G1726"/>
          <cell r="H1726"/>
          <cell r="I1726"/>
          <cell r="J1726"/>
          <cell r="K1726"/>
          <cell r="L1726"/>
          <cell r="M1726"/>
        </row>
        <row r="1727">
          <cell r="A1727">
            <v>20231724</v>
          </cell>
          <cell r="B1727"/>
          <cell r="C1727"/>
          <cell r="D1727"/>
          <cell r="E1727"/>
          <cell r="F1727"/>
          <cell r="G1727"/>
          <cell r="H1727"/>
          <cell r="I1727"/>
          <cell r="J1727"/>
          <cell r="K1727"/>
          <cell r="L1727"/>
          <cell r="M1727"/>
        </row>
        <row r="1728">
          <cell r="A1728">
            <v>20231725</v>
          </cell>
          <cell r="B1728"/>
          <cell r="C1728"/>
          <cell r="D1728"/>
          <cell r="E1728"/>
          <cell r="F1728"/>
          <cell r="G1728"/>
          <cell r="H1728"/>
          <cell r="I1728"/>
          <cell r="J1728"/>
          <cell r="K1728"/>
          <cell r="L1728"/>
          <cell r="M1728"/>
        </row>
        <row r="1729">
          <cell r="A1729">
            <v>20231726</v>
          </cell>
          <cell r="B1729"/>
          <cell r="C1729"/>
          <cell r="D1729"/>
          <cell r="E1729"/>
          <cell r="F1729"/>
          <cell r="G1729"/>
          <cell r="H1729"/>
          <cell r="I1729"/>
          <cell r="J1729"/>
          <cell r="K1729"/>
          <cell r="L1729"/>
          <cell r="M1729"/>
        </row>
        <row r="1730">
          <cell r="A1730">
            <v>20231727</v>
          </cell>
          <cell r="B1730"/>
          <cell r="C1730"/>
          <cell r="D1730"/>
          <cell r="E1730"/>
          <cell r="F1730"/>
          <cell r="G1730"/>
          <cell r="H1730"/>
          <cell r="I1730"/>
          <cell r="J1730"/>
          <cell r="K1730"/>
          <cell r="L1730"/>
          <cell r="M1730"/>
        </row>
        <row r="1731">
          <cell r="A1731">
            <v>20231728</v>
          </cell>
          <cell r="B1731"/>
          <cell r="C1731"/>
          <cell r="D1731"/>
          <cell r="E1731"/>
          <cell r="F1731"/>
          <cell r="G1731"/>
          <cell r="H1731"/>
          <cell r="I1731"/>
          <cell r="J1731"/>
          <cell r="K1731"/>
          <cell r="L1731"/>
          <cell r="M1731"/>
        </row>
        <row r="1732">
          <cell r="A1732">
            <v>20231729</v>
          </cell>
          <cell r="B1732"/>
          <cell r="C1732"/>
          <cell r="D1732"/>
          <cell r="E1732"/>
          <cell r="F1732"/>
          <cell r="G1732"/>
          <cell r="H1732"/>
          <cell r="I1732"/>
          <cell r="J1732"/>
          <cell r="K1732"/>
          <cell r="L1732"/>
          <cell r="M1732"/>
        </row>
        <row r="1733">
          <cell r="A1733">
            <v>20231730</v>
          </cell>
          <cell r="B1733"/>
          <cell r="C1733"/>
          <cell r="D1733"/>
          <cell r="E1733"/>
          <cell r="F1733"/>
          <cell r="G1733"/>
          <cell r="H1733"/>
          <cell r="I1733"/>
          <cell r="J1733"/>
          <cell r="K1733"/>
          <cell r="L1733"/>
          <cell r="M1733"/>
        </row>
        <row r="1734">
          <cell r="A1734">
            <v>20231731</v>
          </cell>
          <cell r="B1734"/>
          <cell r="C1734"/>
          <cell r="D1734"/>
          <cell r="E1734"/>
          <cell r="F1734"/>
          <cell r="G1734"/>
          <cell r="H1734"/>
          <cell r="I1734"/>
          <cell r="J1734"/>
          <cell r="K1734"/>
          <cell r="L1734"/>
          <cell r="M1734"/>
        </row>
        <row r="1735">
          <cell r="A1735">
            <v>20231732</v>
          </cell>
          <cell r="B1735"/>
          <cell r="C1735"/>
          <cell r="D1735"/>
          <cell r="E1735"/>
          <cell r="F1735"/>
          <cell r="G1735"/>
          <cell r="H1735"/>
          <cell r="I1735"/>
          <cell r="J1735"/>
          <cell r="K1735"/>
          <cell r="L1735"/>
          <cell r="M1735"/>
        </row>
        <row r="1736">
          <cell r="A1736">
            <v>20231733</v>
          </cell>
          <cell r="B1736"/>
          <cell r="C1736"/>
          <cell r="D1736"/>
          <cell r="E1736"/>
          <cell r="F1736"/>
          <cell r="G1736"/>
          <cell r="H1736"/>
          <cell r="I1736"/>
          <cell r="J1736"/>
          <cell r="K1736"/>
          <cell r="L1736"/>
          <cell r="M1736"/>
        </row>
        <row r="1737">
          <cell r="A1737">
            <v>20231734</v>
          </cell>
          <cell r="B1737"/>
          <cell r="C1737"/>
          <cell r="D1737"/>
          <cell r="E1737"/>
          <cell r="F1737"/>
          <cell r="G1737"/>
          <cell r="H1737"/>
          <cell r="I1737"/>
          <cell r="J1737"/>
          <cell r="K1737"/>
          <cell r="L1737"/>
          <cell r="M1737"/>
        </row>
        <row r="1738">
          <cell r="A1738">
            <v>20231735</v>
          </cell>
          <cell r="B1738"/>
          <cell r="C1738"/>
          <cell r="D1738"/>
          <cell r="E1738"/>
          <cell r="F1738"/>
          <cell r="G1738"/>
          <cell r="H1738"/>
          <cell r="I1738"/>
          <cell r="J1738"/>
          <cell r="K1738"/>
          <cell r="L1738"/>
          <cell r="M1738"/>
        </row>
        <row r="1739">
          <cell r="A1739">
            <v>20231736</v>
          </cell>
          <cell r="B1739"/>
          <cell r="C1739"/>
          <cell r="D1739"/>
          <cell r="E1739"/>
          <cell r="F1739"/>
          <cell r="G1739"/>
          <cell r="H1739"/>
          <cell r="I1739"/>
          <cell r="J1739"/>
          <cell r="K1739"/>
          <cell r="L1739"/>
          <cell r="M1739"/>
        </row>
        <row r="1740">
          <cell r="A1740">
            <v>20231737</v>
          </cell>
          <cell r="B1740"/>
          <cell r="C1740"/>
          <cell r="D1740"/>
          <cell r="E1740"/>
          <cell r="F1740"/>
          <cell r="G1740"/>
          <cell r="H1740"/>
          <cell r="I1740"/>
          <cell r="J1740"/>
          <cell r="K1740"/>
          <cell r="L1740"/>
          <cell r="M1740"/>
        </row>
        <row r="1741">
          <cell r="A1741">
            <v>20231738</v>
          </cell>
          <cell r="B1741"/>
          <cell r="C1741"/>
          <cell r="D1741"/>
          <cell r="E1741"/>
          <cell r="F1741"/>
          <cell r="G1741"/>
          <cell r="H1741"/>
          <cell r="I1741"/>
          <cell r="J1741"/>
          <cell r="K1741"/>
          <cell r="L1741"/>
          <cell r="M1741"/>
        </row>
        <row r="1742">
          <cell r="A1742">
            <v>20231739</v>
          </cell>
          <cell r="B1742"/>
          <cell r="C1742"/>
          <cell r="D1742"/>
          <cell r="E1742"/>
          <cell r="F1742"/>
          <cell r="G1742"/>
          <cell r="H1742"/>
          <cell r="I1742"/>
          <cell r="J1742"/>
          <cell r="K1742"/>
          <cell r="L1742"/>
          <cell r="M1742"/>
        </row>
        <row r="1743">
          <cell r="A1743">
            <v>20231740</v>
          </cell>
          <cell r="B1743"/>
          <cell r="C1743"/>
          <cell r="D1743"/>
          <cell r="E1743"/>
          <cell r="F1743"/>
          <cell r="G1743"/>
          <cell r="H1743"/>
          <cell r="I1743"/>
          <cell r="J1743"/>
          <cell r="K1743"/>
          <cell r="L1743"/>
          <cell r="M1743"/>
        </row>
        <row r="1744">
          <cell r="A1744">
            <v>20231741</v>
          </cell>
          <cell r="B1744"/>
          <cell r="C1744"/>
          <cell r="D1744"/>
          <cell r="E1744"/>
          <cell r="F1744"/>
          <cell r="G1744"/>
          <cell r="H1744"/>
          <cell r="I1744"/>
          <cell r="J1744"/>
          <cell r="K1744"/>
          <cell r="L1744"/>
          <cell r="M1744"/>
        </row>
        <row r="1745">
          <cell r="A1745">
            <v>20231742</v>
          </cell>
          <cell r="B1745"/>
          <cell r="C1745"/>
          <cell r="D1745"/>
          <cell r="E1745"/>
          <cell r="F1745"/>
          <cell r="G1745"/>
          <cell r="H1745"/>
          <cell r="I1745"/>
          <cell r="J1745"/>
          <cell r="K1745"/>
          <cell r="L1745"/>
          <cell r="M1745"/>
        </row>
        <row r="1746">
          <cell r="A1746">
            <v>20231743</v>
          </cell>
          <cell r="B1746"/>
          <cell r="C1746"/>
          <cell r="D1746"/>
          <cell r="E1746"/>
          <cell r="F1746"/>
          <cell r="G1746"/>
          <cell r="H1746"/>
          <cell r="I1746"/>
          <cell r="J1746"/>
          <cell r="K1746"/>
          <cell r="L1746"/>
          <cell r="M1746"/>
        </row>
        <row r="1747">
          <cell r="A1747">
            <v>20231744</v>
          </cell>
          <cell r="B1747"/>
          <cell r="C1747"/>
          <cell r="D1747"/>
          <cell r="E1747"/>
          <cell r="F1747"/>
          <cell r="G1747"/>
          <cell r="H1747"/>
          <cell r="I1747"/>
          <cell r="J1747"/>
          <cell r="K1747"/>
          <cell r="L1747"/>
          <cell r="M1747"/>
        </row>
        <row r="1748">
          <cell r="A1748">
            <v>20231745</v>
          </cell>
          <cell r="B1748"/>
          <cell r="C1748"/>
          <cell r="D1748"/>
          <cell r="E1748"/>
          <cell r="F1748"/>
          <cell r="G1748"/>
          <cell r="H1748"/>
          <cell r="I1748"/>
          <cell r="J1748"/>
          <cell r="K1748"/>
          <cell r="L1748"/>
          <cell r="M1748"/>
        </row>
        <row r="1749">
          <cell r="A1749">
            <v>20231746</v>
          </cell>
          <cell r="B1749"/>
          <cell r="C1749"/>
          <cell r="D1749"/>
          <cell r="E1749"/>
          <cell r="F1749"/>
          <cell r="G1749"/>
          <cell r="H1749"/>
          <cell r="I1749"/>
          <cell r="J1749"/>
          <cell r="K1749"/>
          <cell r="L1749"/>
          <cell r="M1749"/>
        </row>
        <row r="1750">
          <cell r="A1750">
            <v>20231747</v>
          </cell>
          <cell r="B1750"/>
          <cell r="C1750"/>
          <cell r="D1750"/>
          <cell r="E1750"/>
          <cell r="F1750"/>
          <cell r="G1750"/>
          <cell r="H1750"/>
          <cell r="I1750"/>
          <cell r="J1750"/>
          <cell r="K1750"/>
          <cell r="L1750"/>
          <cell r="M1750"/>
        </row>
        <row r="1751">
          <cell r="A1751">
            <v>20231748</v>
          </cell>
          <cell r="B1751"/>
          <cell r="C1751"/>
          <cell r="D1751"/>
          <cell r="E1751"/>
          <cell r="F1751"/>
          <cell r="G1751"/>
          <cell r="H1751"/>
          <cell r="I1751"/>
          <cell r="J1751"/>
          <cell r="K1751"/>
          <cell r="L1751"/>
          <cell r="M1751"/>
        </row>
        <row r="1752">
          <cell r="A1752">
            <v>20231749</v>
          </cell>
          <cell r="B1752"/>
          <cell r="C1752"/>
          <cell r="D1752"/>
          <cell r="E1752"/>
          <cell r="F1752"/>
          <cell r="G1752"/>
          <cell r="H1752"/>
          <cell r="I1752"/>
          <cell r="J1752"/>
          <cell r="K1752"/>
          <cell r="L1752"/>
          <cell r="M1752"/>
        </row>
        <row r="1753">
          <cell r="A1753">
            <v>20231750</v>
          </cell>
          <cell r="B1753"/>
          <cell r="C1753"/>
          <cell r="D1753"/>
          <cell r="E1753"/>
          <cell r="F1753"/>
          <cell r="G1753"/>
          <cell r="H1753"/>
          <cell r="I1753"/>
          <cell r="J1753"/>
          <cell r="K1753"/>
          <cell r="L1753"/>
          <cell r="M1753"/>
        </row>
        <row r="1754">
          <cell r="A1754">
            <v>20231751</v>
          </cell>
          <cell r="B1754"/>
          <cell r="C1754"/>
          <cell r="D1754"/>
          <cell r="E1754"/>
          <cell r="F1754"/>
          <cell r="G1754"/>
          <cell r="H1754"/>
          <cell r="I1754"/>
          <cell r="J1754"/>
          <cell r="K1754"/>
          <cell r="L1754"/>
          <cell r="M1754"/>
        </row>
        <row r="1755">
          <cell r="A1755">
            <v>20231752</v>
          </cell>
          <cell r="B1755"/>
          <cell r="C1755"/>
          <cell r="D1755"/>
          <cell r="E1755"/>
          <cell r="F1755"/>
          <cell r="G1755"/>
          <cell r="H1755"/>
          <cell r="I1755"/>
          <cell r="J1755"/>
          <cell r="K1755"/>
          <cell r="L1755"/>
          <cell r="M1755"/>
        </row>
        <row r="1756">
          <cell r="A1756">
            <v>20231753</v>
          </cell>
          <cell r="B1756"/>
          <cell r="C1756"/>
          <cell r="D1756"/>
          <cell r="E1756"/>
          <cell r="F1756"/>
          <cell r="G1756"/>
          <cell r="H1756"/>
          <cell r="I1756"/>
          <cell r="J1756"/>
          <cell r="K1756"/>
          <cell r="L1756"/>
          <cell r="M1756"/>
        </row>
        <row r="1757">
          <cell r="A1757">
            <v>20231754</v>
          </cell>
          <cell r="B1757"/>
          <cell r="C1757"/>
          <cell r="D1757"/>
          <cell r="E1757"/>
          <cell r="F1757"/>
          <cell r="G1757"/>
          <cell r="H1757"/>
          <cell r="I1757"/>
          <cell r="J1757"/>
          <cell r="K1757"/>
          <cell r="L1757"/>
          <cell r="M1757"/>
        </row>
        <row r="1758">
          <cell r="A1758">
            <v>20231755</v>
          </cell>
          <cell r="B1758"/>
          <cell r="C1758"/>
          <cell r="D1758"/>
          <cell r="E1758"/>
          <cell r="F1758"/>
          <cell r="G1758"/>
          <cell r="H1758"/>
          <cell r="I1758"/>
          <cell r="J1758"/>
          <cell r="K1758"/>
          <cell r="L1758"/>
          <cell r="M1758"/>
        </row>
        <row r="1759">
          <cell r="A1759">
            <v>20231756</v>
          </cell>
          <cell r="B1759"/>
          <cell r="C1759"/>
          <cell r="D1759"/>
          <cell r="E1759"/>
          <cell r="F1759"/>
          <cell r="G1759"/>
          <cell r="H1759"/>
          <cell r="I1759"/>
          <cell r="J1759"/>
          <cell r="K1759"/>
          <cell r="L1759"/>
          <cell r="M1759"/>
        </row>
        <row r="1760">
          <cell r="A1760">
            <v>20231757</v>
          </cell>
          <cell r="B1760"/>
          <cell r="C1760"/>
          <cell r="D1760"/>
          <cell r="E1760"/>
          <cell r="F1760"/>
          <cell r="G1760"/>
          <cell r="H1760"/>
          <cell r="I1760"/>
          <cell r="J1760"/>
          <cell r="K1760"/>
          <cell r="L1760"/>
          <cell r="M1760"/>
        </row>
        <row r="1761">
          <cell r="A1761">
            <v>20231758</v>
          </cell>
          <cell r="B1761"/>
          <cell r="C1761"/>
          <cell r="D1761"/>
          <cell r="E1761"/>
          <cell r="F1761"/>
          <cell r="G1761"/>
          <cell r="H1761"/>
          <cell r="I1761"/>
          <cell r="J1761"/>
          <cell r="K1761"/>
          <cell r="L1761"/>
          <cell r="M1761"/>
        </row>
        <row r="1762">
          <cell r="A1762">
            <v>20231759</v>
          </cell>
          <cell r="B1762"/>
          <cell r="C1762"/>
          <cell r="D1762"/>
          <cell r="E1762"/>
          <cell r="F1762"/>
          <cell r="G1762"/>
          <cell r="H1762"/>
          <cell r="I1762"/>
          <cell r="J1762"/>
          <cell r="K1762"/>
          <cell r="L1762"/>
          <cell r="M1762"/>
        </row>
        <row r="1763">
          <cell r="A1763">
            <v>20231760</v>
          </cell>
          <cell r="B1763"/>
          <cell r="C1763"/>
          <cell r="D1763"/>
          <cell r="E1763"/>
          <cell r="F1763"/>
          <cell r="G1763"/>
          <cell r="H1763"/>
          <cell r="I1763"/>
          <cell r="J1763"/>
          <cell r="K1763"/>
          <cell r="L1763"/>
          <cell r="M1763"/>
        </row>
        <row r="1764">
          <cell r="A1764">
            <v>20231761</v>
          </cell>
          <cell r="B1764"/>
          <cell r="C1764"/>
          <cell r="D1764"/>
          <cell r="E1764"/>
          <cell r="F1764"/>
          <cell r="G1764"/>
          <cell r="H1764"/>
          <cell r="I1764"/>
          <cell r="J1764"/>
          <cell r="K1764"/>
          <cell r="L1764"/>
          <cell r="M1764"/>
        </row>
        <row r="1765">
          <cell r="A1765">
            <v>20231762</v>
          </cell>
          <cell r="B1765"/>
          <cell r="C1765"/>
          <cell r="D1765"/>
          <cell r="E1765"/>
          <cell r="F1765"/>
          <cell r="G1765"/>
          <cell r="H1765"/>
          <cell r="I1765"/>
          <cell r="J1765"/>
          <cell r="K1765"/>
          <cell r="L1765"/>
          <cell r="M1765"/>
        </row>
        <row r="1766">
          <cell r="A1766">
            <v>20231763</v>
          </cell>
          <cell r="B1766"/>
          <cell r="C1766"/>
          <cell r="D1766"/>
          <cell r="E1766"/>
          <cell r="F1766"/>
          <cell r="G1766"/>
          <cell r="H1766"/>
          <cell r="I1766"/>
          <cell r="J1766"/>
          <cell r="K1766"/>
          <cell r="L1766"/>
          <cell r="M1766"/>
        </row>
        <row r="1767">
          <cell r="A1767">
            <v>20231764</v>
          </cell>
          <cell r="B1767"/>
          <cell r="C1767"/>
          <cell r="D1767"/>
          <cell r="E1767"/>
          <cell r="F1767"/>
          <cell r="G1767"/>
          <cell r="H1767"/>
          <cell r="I1767"/>
          <cell r="J1767"/>
          <cell r="K1767"/>
          <cell r="L1767"/>
          <cell r="M1767"/>
        </row>
        <row r="1768">
          <cell r="A1768">
            <v>20231765</v>
          </cell>
          <cell r="B1768"/>
          <cell r="C1768"/>
          <cell r="D1768"/>
          <cell r="E1768"/>
          <cell r="F1768"/>
          <cell r="G1768"/>
          <cell r="H1768"/>
          <cell r="I1768"/>
          <cell r="J1768"/>
          <cell r="K1768"/>
          <cell r="L1768"/>
          <cell r="M1768"/>
        </row>
        <row r="1769">
          <cell r="A1769">
            <v>20231766</v>
          </cell>
          <cell r="B1769"/>
          <cell r="C1769"/>
          <cell r="D1769"/>
          <cell r="E1769"/>
          <cell r="F1769"/>
          <cell r="G1769"/>
          <cell r="H1769"/>
          <cell r="I1769"/>
          <cell r="J1769"/>
          <cell r="K1769"/>
          <cell r="L1769"/>
          <cell r="M1769"/>
        </row>
        <row r="1770">
          <cell r="A1770">
            <v>20231767</v>
          </cell>
          <cell r="B1770"/>
          <cell r="C1770"/>
          <cell r="D1770"/>
          <cell r="E1770"/>
          <cell r="F1770"/>
          <cell r="G1770"/>
          <cell r="H1770"/>
          <cell r="I1770"/>
          <cell r="J1770"/>
          <cell r="K1770"/>
          <cell r="L1770"/>
          <cell r="M1770"/>
        </row>
        <row r="1771">
          <cell r="A1771">
            <v>20231768</v>
          </cell>
          <cell r="B1771"/>
          <cell r="C1771"/>
          <cell r="D1771"/>
          <cell r="E1771"/>
          <cell r="F1771"/>
          <cell r="G1771"/>
          <cell r="H1771"/>
          <cell r="I1771"/>
          <cell r="J1771"/>
          <cell r="K1771"/>
          <cell r="L1771"/>
          <cell r="M1771"/>
        </row>
        <row r="1772">
          <cell r="A1772">
            <v>20231769</v>
          </cell>
          <cell r="B1772"/>
          <cell r="C1772"/>
          <cell r="D1772"/>
          <cell r="E1772"/>
          <cell r="F1772"/>
          <cell r="G1772"/>
          <cell r="H1772"/>
          <cell r="I1772"/>
          <cell r="J1772"/>
          <cell r="K1772"/>
          <cell r="L1772"/>
          <cell r="M1772"/>
        </row>
        <row r="1773">
          <cell r="A1773">
            <v>20231770</v>
          </cell>
          <cell r="B1773"/>
          <cell r="C1773"/>
          <cell r="D1773"/>
          <cell r="E1773"/>
          <cell r="F1773"/>
          <cell r="G1773"/>
          <cell r="H1773"/>
          <cell r="I1773"/>
          <cell r="J1773"/>
          <cell r="K1773"/>
          <cell r="L1773"/>
          <cell r="M1773"/>
        </row>
        <row r="1774">
          <cell r="A1774">
            <v>20231771</v>
          </cell>
          <cell r="B1774"/>
          <cell r="C1774"/>
          <cell r="D1774"/>
          <cell r="E1774"/>
          <cell r="F1774"/>
          <cell r="G1774"/>
          <cell r="H1774"/>
          <cell r="I1774"/>
          <cell r="J1774"/>
          <cell r="K1774"/>
          <cell r="L1774"/>
          <cell r="M1774"/>
        </row>
        <row r="1775">
          <cell r="A1775">
            <v>20231772</v>
          </cell>
          <cell r="B1775"/>
          <cell r="C1775"/>
          <cell r="D1775"/>
          <cell r="E1775"/>
          <cell r="F1775"/>
          <cell r="G1775"/>
          <cell r="H1775"/>
          <cell r="I1775"/>
          <cell r="J1775"/>
          <cell r="K1775"/>
          <cell r="L1775"/>
          <cell r="M1775"/>
        </row>
        <row r="1776">
          <cell r="A1776">
            <v>20231773</v>
          </cell>
          <cell r="B1776"/>
          <cell r="C1776"/>
          <cell r="D1776"/>
          <cell r="E1776"/>
          <cell r="F1776"/>
          <cell r="G1776"/>
          <cell r="H1776"/>
          <cell r="I1776"/>
          <cell r="J1776"/>
          <cell r="K1776"/>
          <cell r="L1776"/>
          <cell r="M1776"/>
        </row>
        <row r="1777">
          <cell r="A1777">
            <v>20231774</v>
          </cell>
          <cell r="B1777"/>
          <cell r="C1777"/>
          <cell r="D1777"/>
          <cell r="E1777"/>
          <cell r="F1777"/>
          <cell r="G1777"/>
          <cell r="H1777"/>
          <cell r="I1777"/>
          <cell r="J1777"/>
          <cell r="K1777"/>
          <cell r="L1777"/>
          <cell r="M1777"/>
        </row>
        <row r="1778">
          <cell r="A1778">
            <v>20231775</v>
          </cell>
          <cell r="B1778"/>
          <cell r="C1778"/>
          <cell r="D1778"/>
          <cell r="E1778"/>
          <cell r="F1778"/>
          <cell r="G1778"/>
          <cell r="H1778"/>
          <cell r="I1778"/>
          <cell r="J1778"/>
          <cell r="K1778"/>
          <cell r="L1778"/>
          <cell r="M1778"/>
        </row>
        <row r="1779">
          <cell r="A1779">
            <v>20231776</v>
          </cell>
          <cell r="B1779"/>
          <cell r="C1779"/>
          <cell r="D1779"/>
          <cell r="E1779"/>
          <cell r="F1779"/>
          <cell r="G1779"/>
          <cell r="H1779"/>
          <cell r="I1779"/>
          <cell r="J1779"/>
          <cell r="K1779"/>
          <cell r="L1779"/>
          <cell r="M1779"/>
        </row>
        <row r="1780">
          <cell r="A1780">
            <v>20231777</v>
          </cell>
          <cell r="B1780"/>
          <cell r="C1780"/>
          <cell r="D1780"/>
          <cell r="E1780"/>
          <cell r="F1780"/>
          <cell r="G1780"/>
          <cell r="H1780"/>
          <cell r="I1780"/>
          <cell r="J1780"/>
          <cell r="K1780"/>
          <cell r="L1780"/>
          <cell r="M1780"/>
        </row>
        <row r="1781">
          <cell r="A1781">
            <v>20231778</v>
          </cell>
          <cell r="B1781"/>
          <cell r="C1781"/>
          <cell r="D1781"/>
          <cell r="E1781"/>
          <cell r="F1781"/>
          <cell r="G1781"/>
          <cell r="H1781"/>
          <cell r="I1781"/>
          <cell r="J1781"/>
          <cell r="K1781"/>
          <cell r="L1781"/>
          <cell r="M1781"/>
        </row>
        <row r="1782">
          <cell r="A1782">
            <v>20231779</v>
          </cell>
          <cell r="B1782"/>
          <cell r="C1782"/>
          <cell r="D1782"/>
          <cell r="E1782"/>
          <cell r="F1782"/>
          <cell r="G1782"/>
          <cell r="H1782"/>
          <cell r="I1782"/>
          <cell r="J1782"/>
          <cell r="K1782"/>
          <cell r="L1782"/>
          <cell r="M1782"/>
        </row>
        <row r="1783">
          <cell r="A1783">
            <v>20231780</v>
          </cell>
          <cell r="B1783"/>
          <cell r="C1783"/>
          <cell r="D1783"/>
          <cell r="E1783"/>
          <cell r="F1783"/>
          <cell r="G1783"/>
          <cell r="H1783"/>
          <cell r="I1783"/>
          <cell r="J1783"/>
          <cell r="K1783"/>
          <cell r="L1783"/>
          <cell r="M1783"/>
        </row>
        <row r="1784">
          <cell r="A1784">
            <v>20231781</v>
          </cell>
          <cell r="B1784"/>
          <cell r="C1784"/>
          <cell r="D1784"/>
          <cell r="E1784"/>
          <cell r="F1784"/>
          <cell r="G1784"/>
          <cell r="H1784"/>
          <cell r="I1784"/>
          <cell r="J1784"/>
          <cell r="K1784"/>
          <cell r="L1784"/>
          <cell r="M1784"/>
        </row>
        <row r="1785">
          <cell r="A1785">
            <v>20231782</v>
          </cell>
          <cell r="B1785"/>
          <cell r="C1785"/>
          <cell r="D1785"/>
          <cell r="E1785"/>
          <cell r="F1785"/>
          <cell r="G1785"/>
          <cell r="H1785"/>
          <cell r="I1785"/>
          <cell r="J1785"/>
          <cell r="K1785"/>
          <cell r="L1785"/>
          <cell r="M1785"/>
        </row>
        <row r="1786">
          <cell r="A1786">
            <v>20231783</v>
          </cell>
          <cell r="B1786"/>
          <cell r="C1786"/>
          <cell r="D1786"/>
          <cell r="E1786"/>
          <cell r="F1786"/>
          <cell r="G1786"/>
          <cell r="H1786"/>
          <cell r="I1786"/>
          <cell r="J1786"/>
          <cell r="K1786"/>
          <cell r="L1786"/>
          <cell r="M1786"/>
        </row>
        <row r="1787">
          <cell r="A1787">
            <v>20231784</v>
          </cell>
          <cell r="B1787"/>
          <cell r="C1787"/>
          <cell r="D1787"/>
          <cell r="E1787"/>
          <cell r="F1787"/>
          <cell r="G1787"/>
          <cell r="H1787"/>
          <cell r="I1787"/>
          <cell r="J1787"/>
          <cell r="K1787"/>
          <cell r="L1787"/>
          <cell r="M1787"/>
        </row>
        <row r="1788">
          <cell r="A1788">
            <v>20231785</v>
          </cell>
          <cell r="B1788"/>
          <cell r="C1788"/>
          <cell r="D1788"/>
          <cell r="E1788"/>
          <cell r="F1788"/>
          <cell r="G1788"/>
          <cell r="H1788"/>
          <cell r="I1788"/>
          <cell r="J1788"/>
          <cell r="K1788"/>
          <cell r="L1788"/>
          <cell r="M1788"/>
        </row>
        <row r="1789">
          <cell r="A1789">
            <v>20231786</v>
          </cell>
          <cell r="B1789"/>
          <cell r="C1789"/>
          <cell r="D1789"/>
          <cell r="E1789"/>
          <cell r="F1789"/>
          <cell r="G1789"/>
          <cell r="H1789"/>
          <cell r="I1789"/>
          <cell r="J1789"/>
          <cell r="K1789"/>
          <cell r="L1789"/>
          <cell r="M1789"/>
        </row>
        <row r="1790">
          <cell r="A1790">
            <v>20231787</v>
          </cell>
          <cell r="B1790"/>
          <cell r="C1790"/>
          <cell r="D1790"/>
          <cell r="E1790"/>
          <cell r="F1790"/>
          <cell r="G1790"/>
          <cell r="H1790"/>
          <cell r="I1790"/>
          <cell r="J1790"/>
          <cell r="K1790"/>
          <cell r="L1790"/>
          <cell r="M1790"/>
        </row>
        <row r="1791">
          <cell r="A1791">
            <v>20231788</v>
          </cell>
          <cell r="B1791"/>
          <cell r="C1791"/>
          <cell r="D1791"/>
          <cell r="E1791"/>
          <cell r="F1791"/>
          <cell r="G1791"/>
          <cell r="H1791"/>
          <cell r="I1791"/>
          <cell r="J1791"/>
          <cell r="K1791"/>
          <cell r="L1791"/>
          <cell r="M1791"/>
        </row>
        <row r="1792">
          <cell r="A1792">
            <v>20231789</v>
          </cell>
          <cell r="B1792"/>
          <cell r="C1792"/>
          <cell r="D1792"/>
          <cell r="E1792"/>
          <cell r="F1792"/>
          <cell r="G1792"/>
          <cell r="H1792"/>
          <cell r="I1792"/>
          <cell r="J1792"/>
          <cell r="K1792"/>
          <cell r="L1792"/>
          <cell r="M1792"/>
        </row>
        <row r="1793">
          <cell r="A1793">
            <v>20231790</v>
          </cell>
          <cell r="B1793"/>
          <cell r="C1793"/>
          <cell r="D1793"/>
          <cell r="E1793"/>
          <cell r="F1793"/>
          <cell r="G1793"/>
          <cell r="H1793"/>
          <cell r="I1793"/>
          <cell r="J1793"/>
          <cell r="K1793"/>
          <cell r="L1793"/>
          <cell r="M1793"/>
        </row>
        <row r="1794">
          <cell r="A1794">
            <v>20231791</v>
          </cell>
          <cell r="B1794"/>
          <cell r="C1794"/>
          <cell r="D1794"/>
          <cell r="E1794"/>
          <cell r="F1794"/>
          <cell r="G1794"/>
          <cell r="H1794"/>
          <cell r="I1794"/>
          <cell r="J1794"/>
          <cell r="K1794"/>
          <cell r="L1794"/>
          <cell r="M1794"/>
        </row>
        <row r="1795">
          <cell r="A1795">
            <v>20231792</v>
          </cell>
          <cell r="B1795"/>
          <cell r="C1795"/>
          <cell r="D1795"/>
          <cell r="E1795"/>
          <cell r="F1795"/>
          <cell r="G1795"/>
          <cell r="H1795"/>
          <cell r="I1795"/>
          <cell r="J1795"/>
          <cell r="K1795"/>
          <cell r="L1795"/>
          <cell r="M1795"/>
        </row>
        <row r="1796">
          <cell r="A1796">
            <v>20231793</v>
          </cell>
          <cell r="B1796"/>
          <cell r="C1796"/>
          <cell r="D1796"/>
          <cell r="E1796"/>
          <cell r="F1796"/>
          <cell r="G1796"/>
          <cell r="H1796"/>
          <cell r="I1796"/>
          <cell r="J1796"/>
          <cell r="K1796"/>
          <cell r="L1796"/>
          <cell r="M1796"/>
        </row>
        <row r="1797">
          <cell r="A1797">
            <v>20231794</v>
          </cell>
          <cell r="B1797"/>
          <cell r="C1797"/>
          <cell r="D1797"/>
          <cell r="E1797"/>
          <cell r="F1797"/>
          <cell r="G1797"/>
          <cell r="H1797"/>
          <cell r="I1797"/>
          <cell r="J1797"/>
          <cell r="K1797"/>
          <cell r="L1797"/>
          <cell r="M1797"/>
        </row>
        <row r="1798">
          <cell r="A1798">
            <v>20231795</v>
          </cell>
          <cell r="B1798"/>
          <cell r="C1798"/>
          <cell r="D1798"/>
          <cell r="E1798"/>
          <cell r="F1798"/>
          <cell r="G1798"/>
          <cell r="H1798"/>
          <cell r="I1798"/>
          <cell r="J1798"/>
          <cell r="K1798"/>
          <cell r="L1798"/>
          <cell r="M1798"/>
        </row>
        <row r="1799">
          <cell r="A1799">
            <v>20231796</v>
          </cell>
          <cell r="B1799"/>
          <cell r="C1799"/>
          <cell r="D1799"/>
          <cell r="E1799"/>
          <cell r="F1799"/>
          <cell r="G1799"/>
          <cell r="H1799"/>
          <cell r="I1799"/>
          <cell r="J1799"/>
          <cell r="K1799"/>
          <cell r="L1799"/>
          <cell r="M1799"/>
        </row>
        <row r="1800">
          <cell r="A1800">
            <v>20231797</v>
          </cell>
          <cell r="B1800"/>
          <cell r="C1800"/>
          <cell r="D1800"/>
          <cell r="E1800"/>
          <cell r="F1800"/>
          <cell r="G1800"/>
          <cell r="H1800"/>
          <cell r="I1800"/>
          <cell r="J1800"/>
          <cell r="K1800"/>
          <cell r="L1800"/>
          <cell r="M1800"/>
        </row>
        <row r="1801">
          <cell r="A1801">
            <v>20231798</v>
          </cell>
          <cell r="B1801"/>
          <cell r="C1801"/>
          <cell r="D1801"/>
          <cell r="E1801"/>
          <cell r="F1801"/>
          <cell r="G1801"/>
          <cell r="H1801"/>
          <cell r="I1801"/>
          <cell r="J1801"/>
          <cell r="K1801"/>
          <cell r="L1801"/>
          <cell r="M1801"/>
        </row>
        <row r="1802">
          <cell r="A1802">
            <v>20231799</v>
          </cell>
          <cell r="B1802"/>
          <cell r="C1802"/>
          <cell r="D1802"/>
          <cell r="E1802"/>
          <cell r="F1802"/>
          <cell r="G1802"/>
          <cell r="H1802"/>
          <cell r="I1802"/>
          <cell r="J1802"/>
          <cell r="K1802"/>
          <cell r="L1802"/>
          <cell r="M1802"/>
        </row>
        <row r="1803">
          <cell r="A1803">
            <v>20231800</v>
          </cell>
          <cell r="B1803"/>
          <cell r="C1803"/>
          <cell r="D1803"/>
          <cell r="E1803"/>
          <cell r="F1803"/>
          <cell r="G1803"/>
          <cell r="H1803"/>
          <cell r="I1803"/>
          <cell r="J1803"/>
          <cell r="K1803"/>
          <cell r="L1803"/>
          <cell r="M1803"/>
        </row>
        <row r="1804">
          <cell r="A1804">
            <v>20231801</v>
          </cell>
          <cell r="B1804"/>
          <cell r="C1804"/>
          <cell r="D1804"/>
          <cell r="E1804"/>
          <cell r="F1804"/>
          <cell r="G1804"/>
          <cell r="H1804"/>
          <cell r="I1804"/>
          <cell r="J1804"/>
          <cell r="K1804"/>
          <cell r="L1804"/>
          <cell r="M1804"/>
        </row>
        <row r="1805">
          <cell r="A1805">
            <v>20231802</v>
          </cell>
          <cell r="B1805"/>
          <cell r="C1805"/>
          <cell r="D1805"/>
          <cell r="E1805"/>
          <cell r="F1805"/>
          <cell r="G1805"/>
          <cell r="H1805"/>
          <cell r="I1805"/>
          <cell r="J1805"/>
          <cell r="K1805"/>
          <cell r="L1805"/>
          <cell r="M1805"/>
        </row>
        <row r="1806">
          <cell r="A1806">
            <v>20231803</v>
          </cell>
          <cell r="B1806"/>
          <cell r="C1806"/>
          <cell r="D1806"/>
          <cell r="E1806"/>
          <cell r="F1806"/>
          <cell r="G1806"/>
          <cell r="H1806"/>
          <cell r="I1806"/>
          <cell r="J1806"/>
          <cell r="K1806"/>
          <cell r="L1806"/>
          <cell r="M1806"/>
        </row>
        <row r="1807">
          <cell r="A1807">
            <v>20231804</v>
          </cell>
          <cell r="B1807"/>
          <cell r="C1807"/>
          <cell r="D1807"/>
          <cell r="E1807"/>
          <cell r="F1807"/>
          <cell r="G1807"/>
          <cell r="H1807"/>
          <cell r="I1807"/>
          <cell r="J1807"/>
          <cell r="K1807"/>
          <cell r="L1807"/>
          <cell r="M1807"/>
        </row>
        <row r="1808">
          <cell r="A1808">
            <v>20231805</v>
          </cell>
          <cell r="B1808"/>
          <cell r="C1808"/>
          <cell r="D1808"/>
          <cell r="E1808"/>
          <cell r="F1808"/>
          <cell r="G1808"/>
          <cell r="H1808"/>
          <cell r="I1808"/>
          <cell r="J1808"/>
          <cell r="K1808"/>
          <cell r="L1808"/>
          <cell r="M1808"/>
        </row>
        <row r="1809">
          <cell r="A1809">
            <v>20231806</v>
          </cell>
          <cell r="B1809"/>
          <cell r="C1809"/>
          <cell r="D1809"/>
          <cell r="E1809"/>
          <cell r="F1809"/>
          <cell r="G1809"/>
          <cell r="H1809"/>
          <cell r="I1809"/>
          <cell r="J1809"/>
          <cell r="K1809"/>
          <cell r="L1809"/>
          <cell r="M1809"/>
        </row>
        <row r="1810">
          <cell r="A1810">
            <v>20231807</v>
          </cell>
          <cell r="B1810"/>
          <cell r="C1810"/>
          <cell r="D1810"/>
          <cell r="E1810"/>
          <cell r="F1810"/>
          <cell r="G1810"/>
          <cell r="H1810"/>
          <cell r="I1810"/>
          <cell r="J1810"/>
          <cell r="K1810"/>
          <cell r="L1810"/>
          <cell r="M1810"/>
        </row>
        <row r="1811">
          <cell r="A1811">
            <v>20231808</v>
          </cell>
          <cell r="B1811"/>
          <cell r="C1811"/>
          <cell r="D1811"/>
          <cell r="E1811"/>
          <cell r="F1811"/>
          <cell r="G1811"/>
          <cell r="H1811"/>
          <cell r="I1811"/>
          <cell r="J1811"/>
          <cell r="K1811"/>
          <cell r="L1811"/>
          <cell r="M1811"/>
        </row>
        <row r="1812">
          <cell r="A1812">
            <v>20231809</v>
          </cell>
          <cell r="B1812"/>
          <cell r="C1812"/>
          <cell r="D1812"/>
          <cell r="E1812"/>
          <cell r="F1812"/>
          <cell r="G1812"/>
          <cell r="H1812"/>
          <cell r="I1812"/>
          <cell r="J1812"/>
          <cell r="K1812"/>
          <cell r="L1812"/>
          <cell r="M1812"/>
        </row>
        <row r="1813">
          <cell r="A1813">
            <v>20231810</v>
          </cell>
          <cell r="B1813"/>
          <cell r="C1813"/>
          <cell r="D1813"/>
          <cell r="E1813"/>
          <cell r="F1813"/>
          <cell r="G1813"/>
          <cell r="H1813"/>
          <cell r="I1813"/>
          <cell r="J1813"/>
          <cell r="K1813"/>
          <cell r="L1813"/>
          <cell r="M1813"/>
        </row>
        <row r="1814">
          <cell r="A1814">
            <v>20231811</v>
          </cell>
          <cell r="B1814"/>
          <cell r="C1814"/>
          <cell r="D1814"/>
          <cell r="E1814"/>
          <cell r="F1814"/>
          <cell r="G1814"/>
          <cell r="H1814"/>
          <cell r="I1814"/>
          <cell r="J1814"/>
          <cell r="K1814"/>
          <cell r="L1814"/>
          <cell r="M1814"/>
        </row>
        <row r="1815">
          <cell r="A1815">
            <v>20231812</v>
          </cell>
          <cell r="B1815"/>
          <cell r="C1815"/>
          <cell r="D1815"/>
          <cell r="E1815"/>
          <cell r="F1815"/>
          <cell r="G1815"/>
          <cell r="H1815"/>
          <cell r="I1815"/>
          <cell r="J1815"/>
          <cell r="K1815"/>
          <cell r="L1815"/>
          <cell r="M1815"/>
        </row>
        <row r="1816">
          <cell r="A1816">
            <v>20231813</v>
          </cell>
          <cell r="B1816"/>
          <cell r="C1816"/>
          <cell r="D1816"/>
          <cell r="E1816"/>
          <cell r="F1816"/>
          <cell r="G1816"/>
          <cell r="H1816"/>
          <cell r="I1816"/>
          <cell r="J1816"/>
          <cell r="K1816"/>
          <cell r="L1816"/>
          <cell r="M1816"/>
        </row>
        <row r="1817">
          <cell r="A1817">
            <v>20231814</v>
          </cell>
          <cell r="B1817"/>
          <cell r="C1817"/>
          <cell r="D1817"/>
          <cell r="E1817"/>
          <cell r="F1817"/>
          <cell r="G1817"/>
          <cell r="H1817"/>
          <cell r="I1817"/>
          <cell r="J1817"/>
          <cell r="K1817"/>
          <cell r="L1817"/>
          <cell r="M1817"/>
        </row>
        <row r="1818">
          <cell r="A1818">
            <v>20231815</v>
          </cell>
          <cell r="B1818"/>
          <cell r="C1818"/>
          <cell r="D1818"/>
          <cell r="E1818"/>
          <cell r="F1818"/>
          <cell r="G1818"/>
          <cell r="H1818"/>
          <cell r="I1818"/>
          <cell r="J1818"/>
          <cell r="K1818"/>
          <cell r="L1818"/>
          <cell r="M1818"/>
        </row>
        <row r="1819">
          <cell r="A1819">
            <v>20231816</v>
          </cell>
          <cell r="B1819"/>
          <cell r="C1819"/>
          <cell r="D1819"/>
          <cell r="E1819"/>
          <cell r="F1819"/>
          <cell r="G1819"/>
          <cell r="H1819"/>
          <cell r="I1819"/>
          <cell r="J1819"/>
          <cell r="K1819"/>
          <cell r="L1819"/>
          <cell r="M1819"/>
        </row>
        <row r="1820">
          <cell r="A1820">
            <v>20231817</v>
          </cell>
          <cell r="B1820"/>
          <cell r="C1820"/>
          <cell r="D1820"/>
          <cell r="E1820"/>
          <cell r="F1820"/>
          <cell r="G1820"/>
          <cell r="H1820"/>
          <cell r="I1820"/>
          <cell r="J1820"/>
          <cell r="K1820"/>
          <cell r="L1820"/>
          <cell r="M1820"/>
        </row>
        <row r="1821">
          <cell r="A1821">
            <v>20231818</v>
          </cell>
          <cell r="B1821"/>
          <cell r="C1821"/>
          <cell r="D1821"/>
          <cell r="E1821"/>
          <cell r="F1821"/>
          <cell r="G1821"/>
          <cell r="H1821"/>
          <cell r="I1821"/>
          <cell r="J1821"/>
          <cell r="K1821"/>
          <cell r="L1821"/>
          <cell r="M1821"/>
        </row>
        <row r="1822">
          <cell r="A1822">
            <v>20231819</v>
          </cell>
          <cell r="B1822"/>
          <cell r="C1822"/>
          <cell r="D1822"/>
          <cell r="E1822"/>
          <cell r="F1822"/>
          <cell r="G1822"/>
          <cell r="H1822"/>
          <cell r="I1822"/>
          <cell r="J1822"/>
          <cell r="K1822"/>
          <cell r="L1822"/>
          <cell r="M1822"/>
        </row>
        <row r="1823">
          <cell r="A1823">
            <v>20231820</v>
          </cell>
          <cell r="B1823"/>
          <cell r="C1823"/>
          <cell r="D1823"/>
          <cell r="E1823"/>
          <cell r="F1823"/>
          <cell r="G1823"/>
          <cell r="H1823"/>
          <cell r="I1823"/>
          <cell r="J1823"/>
          <cell r="K1823"/>
          <cell r="L1823"/>
          <cell r="M1823"/>
        </row>
        <row r="1824">
          <cell r="A1824">
            <v>20231821</v>
          </cell>
          <cell r="B1824"/>
          <cell r="C1824"/>
          <cell r="D1824"/>
          <cell r="E1824"/>
          <cell r="F1824"/>
          <cell r="G1824"/>
          <cell r="H1824"/>
          <cell r="I1824"/>
          <cell r="J1824"/>
          <cell r="K1824"/>
          <cell r="L1824"/>
          <cell r="M1824"/>
        </row>
        <row r="1825">
          <cell r="A1825">
            <v>20231822</v>
          </cell>
          <cell r="B1825"/>
          <cell r="C1825"/>
          <cell r="D1825"/>
          <cell r="E1825"/>
          <cell r="F1825"/>
          <cell r="G1825"/>
          <cell r="H1825"/>
          <cell r="I1825"/>
          <cell r="J1825"/>
          <cell r="K1825"/>
          <cell r="L1825"/>
          <cell r="M1825"/>
        </row>
        <row r="1826">
          <cell r="A1826">
            <v>20231823</v>
          </cell>
          <cell r="B1826"/>
          <cell r="C1826"/>
          <cell r="D1826"/>
          <cell r="E1826"/>
          <cell r="F1826"/>
          <cell r="G1826"/>
          <cell r="H1826"/>
          <cell r="I1826"/>
          <cell r="J1826"/>
          <cell r="K1826"/>
          <cell r="L1826"/>
          <cell r="M1826"/>
        </row>
        <row r="1827">
          <cell r="A1827">
            <v>20231824</v>
          </cell>
          <cell r="B1827"/>
          <cell r="C1827"/>
          <cell r="D1827"/>
          <cell r="E1827"/>
          <cell r="F1827"/>
          <cell r="G1827"/>
          <cell r="H1827"/>
          <cell r="I1827"/>
          <cell r="J1827"/>
          <cell r="K1827"/>
          <cell r="L1827"/>
          <cell r="M1827"/>
        </row>
        <row r="1828">
          <cell r="A1828">
            <v>20231825</v>
          </cell>
          <cell r="B1828"/>
          <cell r="C1828"/>
          <cell r="D1828"/>
          <cell r="E1828"/>
          <cell r="F1828"/>
          <cell r="G1828"/>
          <cell r="H1828"/>
          <cell r="I1828"/>
          <cell r="J1828"/>
          <cell r="K1828"/>
          <cell r="L1828"/>
          <cell r="M1828"/>
        </row>
        <row r="1829">
          <cell r="A1829">
            <v>20231826</v>
          </cell>
          <cell r="B1829"/>
          <cell r="C1829"/>
          <cell r="D1829"/>
          <cell r="E1829"/>
          <cell r="F1829"/>
          <cell r="G1829"/>
          <cell r="H1829"/>
          <cell r="I1829"/>
          <cell r="J1829"/>
          <cell r="K1829"/>
          <cell r="L1829"/>
          <cell r="M1829"/>
        </row>
        <row r="1830">
          <cell r="A1830">
            <v>20231827</v>
          </cell>
          <cell r="B1830"/>
          <cell r="C1830"/>
          <cell r="D1830"/>
          <cell r="E1830"/>
          <cell r="F1830"/>
          <cell r="G1830"/>
          <cell r="H1830"/>
          <cell r="I1830"/>
          <cell r="J1830"/>
          <cell r="K1830"/>
          <cell r="L1830"/>
          <cell r="M1830"/>
        </row>
        <row r="1831">
          <cell r="A1831">
            <v>20231828</v>
          </cell>
          <cell r="B1831"/>
          <cell r="C1831"/>
          <cell r="D1831"/>
          <cell r="E1831"/>
          <cell r="F1831"/>
          <cell r="G1831"/>
          <cell r="H1831"/>
          <cell r="I1831"/>
          <cell r="J1831"/>
          <cell r="K1831"/>
          <cell r="L1831"/>
          <cell r="M1831"/>
        </row>
        <row r="1832">
          <cell r="A1832">
            <v>20231829</v>
          </cell>
          <cell r="B1832"/>
          <cell r="C1832"/>
          <cell r="D1832"/>
          <cell r="E1832"/>
          <cell r="F1832"/>
          <cell r="G1832"/>
          <cell r="H1832"/>
          <cell r="I1832"/>
          <cell r="J1832"/>
          <cell r="K1832"/>
          <cell r="L1832"/>
          <cell r="M1832"/>
        </row>
        <row r="1833">
          <cell r="A1833">
            <v>20231830</v>
          </cell>
          <cell r="B1833"/>
          <cell r="C1833"/>
          <cell r="D1833"/>
          <cell r="E1833"/>
          <cell r="F1833"/>
          <cell r="G1833"/>
          <cell r="H1833"/>
          <cell r="I1833"/>
          <cell r="J1833"/>
          <cell r="K1833"/>
          <cell r="L1833"/>
          <cell r="M1833"/>
        </row>
        <row r="1834">
          <cell r="A1834">
            <v>20231831</v>
          </cell>
          <cell r="B1834"/>
          <cell r="C1834"/>
          <cell r="D1834"/>
          <cell r="E1834"/>
          <cell r="F1834"/>
          <cell r="G1834"/>
          <cell r="H1834"/>
          <cell r="I1834"/>
          <cell r="J1834"/>
          <cell r="K1834"/>
          <cell r="L1834"/>
          <cell r="M1834"/>
        </row>
        <row r="1835">
          <cell r="A1835">
            <v>20231832</v>
          </cell>
          <cell r="B1835"/>
          <cell r="C1835"/>
          <cell r="D1835"/>
          <cell r="E1835"/>
          <cell r="F1835"/>
          <cell r="G1835"/>
          <cell r="H1835"/>
          <cell r="I1835"/>
          <cell r="J1835"/>
          <cell r="K1835"/>
          <cell r="L1835"/>
          <cell r="M1835"/>
        </row>
        <row r="1836">
          <cell r="A1836">
            <v>20231833</v>
          </cell>
          <cell r="B1836"/>
          <cell r="C1836"/>
          <cell r="D1836"/>
          <cell r="E1836"/>
          <cell r="F1836"/>
          <cell r="G1836"/>
          <cell r="H1836"/>
          <cell r="I1836"/>
          <cell r="J1836"/>
          <cell r="K1836"/>
          <cell r="L1836"/>
          <cell r="M1836"/>
        </row>
        <row r="1837">
          <cell r="A1837">
            <v>20231834</v>
          </cell>
          <cell r="B1837"/>
          <cell r="C1837"/>
          <cell r="D1837"/>
          <cell r="E1837"/>
          <cell r="F1837"/>
          <cell r="G1837"/>
          <cell r="H1837"/>
          <cell r="I1837"/>
          <cell r="J1837"/>
          <cell r="K1837"/>
          <cell r="L1837"/>
          <cell r="M1837"/>
        </row>
        <row r="1838">
          <cell r="A1838">
            <v>20231835</v>
          </cell>
          <cell r="B1838"/>
          <cell r="C1838"/>
          <cell r="D1838"/>
          <cell r="E1838"/>
          <cell r="F1838"/>
          <cell r="G1838"/>
          <cell r="H1838"/>
          <cell r="I1838"/>
          <cell r="J1838"/>
          <cell r="K1838"/>
          <cell r="L1838"/>
          <cell r="M1838"/>
        </row>
        <row r="1839">
          <cell r="A1839">
            <v>20231836</v>
          </cell>
          <cell r="B1839"/>
          <cell r="C1839"/>
          <cell r="D1839"/>
          <cell r="E1839"/>
          <cell r="F1839"/>
          <cell r="G1839"/>
          <cell r="H1839"/>
          <cell r="I1839"/>
          <cell r="J1839"/>
          <cell r="K1839"/>
          <cell r="L1839"/>
          <cell r="M1839"/>
        </row>
        <row r="1840">
          <cell r="A1840">
            <v>20231837</v>
          </cell>
          <cell r="B1840"/>
          <cell r="C1840"/>
          <cell r="D1840"/>
          <cell r="E1840"/>
          <cell r="F1840"/>
          <cell r="G1840"/>
          <cell r="H1840"/>
          <cell r="I1840"/>
          <cell r="J1840"/>
          <cell r="K1840"/>
          <cell r="L1840"/>
          <cell r="M1840"/>
        </row>
        <row r="1841">
          <cell r="A1841">
            <v>20231838</v>
          </cell>
          <cell r="B1841"/>
          <cell r="C1841"/>
          <cell r="D1841"/>
          <cell r="E1841"/>
          <cell r="F1841"/>
          <cell r="G1841"/>
          <cell r="H1841"/>
          <cell r="I1841"/>
          <cell r="J1841"/>
          <cell r="K1841"/>
          <cell r="L1841"/>
          <cell r="M1841"/>
        </row>
        <row r="1842">
          <cell r="A1842">
            <v>20231839</v>
          </cell>
          <cell r="B1842"/>
          <cell r="C1842"/>
          <cell r="D1842"/>
          <cell r="E1842"/>
          <cell r="F1842"/>
          <cell r="G1842"/>
          <cell r="H1842"/>
          <cell r="I1842"/>
          <cell r="J1842"/>
          <cell r="K1842"/>
          <cell r="L1842"/>
          <cell r="M1842"/>
        </row>
        <row r="1843">
          <cell r="A1843">
            <v>20231840</v>
          </cell>
          <cell r="B1843"/>
          <cell r="C1843"/>
          <cell r="D1843"/>
          <cell r="E1843"/>
          <cell r="F1843"/>
          <cell r="G1843"/>
          <cell r="H1843"/>
          <cell r="I1843"/>
          <cell r="J1843"/>
          <cell r="K1843"/>
          <cell r="L1843"/>
          <cell r="M1843"/>
        </row>
        <row r="1844">
          <cell r="A1844">
            <v>20231841</v>
          </cell>
          <cell r="B1844"/>
          <cell r="C1844"/>
          <cell r="D1844"/>
          <cell r="E1844"/>
          <cell r="F1844"/>
          <cell r="G1844"/>
          <cell r="H1844"/>
          <cell r="I1844"/>
          <cell r="J1844"/>
          <cell r="K1844"/>
          <cell r="L1844"/>
          <cell r="M1844"/>
        </row>
        <row r="1845">
          <cell r="A1845">
            <v>20231842</v>
          </cell>
          <cell r="B1845"/>
          <cell r="C1845"/>
          <cell r="D1845"/>
          <cell r="E1845"/>
          <cell r="F1845"/>
          <cell r="G1845"/>
          <cell r="H1845"/>
          <cell r="I1845"/>
          <cell r="J1845"/>
          <cell r="K1845"/>
          <cell r="L1845"/>
          <cell r="M1845"/>
        </row>
        <row r="1846">
          <cell r="A1846">
            <v>20231843</v>
          </cell>
          <cell r="B1846"/>
          <cell r="C1846"/>
          <cell r="D1846"/>
          <cell r="E1846"/>
          <cell r="F1846"/>
          <cell r="G1846"/>
          <cell r="H1846"/>
          <cell r="I1846"/>
          <cell r="J1846"/>
          <cell r="K1846"/>
          <cell r="L1846"/>
          <cell r="M1846"/>
        </row>
        <row r="1847">
          <cell r="A1847">
            <v>20231844</v>
          </cell>
          <cell r="B1847"/>
          <cell r="C1847"/>
          <cell r="D1847"/>
          <cell r="E1847"/>
          <cell r="F1847"/>
          <cell r="G1847"/>
          <cell r="H1847"/>
          <cell r="I1847"/>
          <cell r="J1847"/>
          <cell r="K1847"/>
          <cell r="L1847"/>
          <cell r="M1847"/>
        </row>
        <row r="1848">
          <cell r="A1848">
            <v>20231845</v>
          </cell>
          <cell r="B1848"/>
          <cell r="C1848"/>
          <cell r="D1848"/>
          <cell r="E1848"/>
          <cell r="F1848"/>
          <cell r="G1848"/>
          <cell r="H1848"/>
          <cell r="I1848"/>
          <cell r="J1848"/>
          <cell r="K1848"/>
          <cell r="L1848"/>
          <cell r="M1848"/>
        </row>
        <row r="1849">
          <cell r="A1849">
            <v>20231846</v>
          </cell>
          <cell r="B1849"/>
          <cell r="C1849"/>
          <cell r="D1849"/>
          <cell r="E1849"/>
          <cell r="F1849"/>
          <cell r="G1849"/>
          <cell r="H1849"/>
          <cell r="I1849"/>
          <cell r="J1849"/>
          <cell r="K1849"/>
          <cell r="L1849"/>
          <cell r="M1849"/>
        </row>
        <row r="1850">
          <cell r="A1850">
            <v>20231847</v>
          </cell>
          <cell r="B1850"/>
          <cell r="C1850"/>
          <cell r="D1850"/>
          <cell r="E1850"/>
          <cell r="F1850"/>
          <cell r="G1850"/>
          <cell r="H1850"/>
          <cell r="I1850"/>
          <cell r="J1850"/>
          <cell r="K1850"/>
          <cell r="L1850"/>
          <cell r="M1850"/>
        </row>
        <row r="1851">
          <cell r="A1851">
            <v>20231848</v>
          </cell>
          <cell r="B1851"/>
          <cell r="C1851"/>
          <cell r="D1851"/>
          <cell r="E1851"/>
          <cell r="F1851"/>
          <cell r="G1851"/>
          <cell r="H1851"/>
          <cell r="I1851"/>
          <cell r="J1851"/>
          <cell r="K1851"/>
          <cell r="L1851"/>
          <cell r="M1851"/>
        </row>
        <row r="1852">
          <cell r="A1852">
            <v>20231849</v>
          </cell>
          <cell r="B1852"/>
          <cell r="C1852"/>
          <cell r="D1852"/>
          <cell r="E1852"/>
          <cell r="F1852"/>
          <cell r="G1852"/>
          <cell r="H1852"/>
          <cell r="I1852"/>
          <cell r="J1852"/>
          <cell r="K1852"/>
          <cell r="L1852"/>
          <cell r="M1852"/>
        </row>
        <row r="1853">
          <cell r="A1853">
            <v>20231850</v>
          </cell>
          <cell r="B1853"/>
          <cell r="C1853"/>
          <cell r="D1853"/>
          <cell r="E1853"/>
          <cell r="F1853"/>
          <cell r="G1853"/>
          <cell r="H1853"/>
          <cell r="I1853"/>
          <cell r="J1853"/>
          <cell r="K1853"/>
          <cell r="L1853"/>
          <cell r="M1853"/>
        </row>
        <row r="1854">
          <cell r="A1854">
            <v>20231851</v>
          </cell>
          <cell r="B1854"/>
          <cell r="C1854"/>
          <cell r="D1854"/>
          <cell r="E1854"/>
          <cell r="F1854"/>
          <cell r="G1854"/>
          <cell r="H1854"/>
          <cell r="I1854"/>
          <cell r="J1854"/>
          <cell r="K1854"/>
          <cell r="L1854"/>
          <cell r="M1854"/>
        </row>
        <row r="1855">
          <cell r="A1855">
            <v>20231852</v>
          </cell>
          <cell r="B1855"/>
          <cell r="C1855"/>
          <cell r="D1855"/>
          <cell r="E1855"/>
          <cell r="F1855"/>
          <cell r="G1855"/>
          <cell r="H1855"/>
          <cell r="I1855"/>
          <cell r="J1855"/>
          <cell r="K1855"/>
          <cell r="L1855"/>
          <cell r="M1855"/>
        </row>
        <row r="1856">
          <cell r="A1856">
            <v>20231853</v>
          </cell>
          <cell r="B1856"/>
          <cell r="C1856"/>
          <cell r="D1856"/>
          <cell r="E1856"/>
          <cell r="F1856"/>
          <cell r="G1856"/>
          <cell r="H1856"/>
          <cell r="I1856"/>
          <cell r="J1856"/>
          <cell r="K1856"/>
          <cell r="L1856"/>
          <cell r="M1856"/>
        </row>
        <row r="1857">
          <cell r="A1857">
            <v>20231854</v>
          </cell>
          <cell r="B1857"/>
          <cell r="C1857"/>
          <cell r="D1857"/>
          <cell r="E1857"/>
          <cell r="F1857"/>
          <cell r="G1857"/>
          <cell r="H1857"/>
          <cell r="I1857"/>
          <cell r="J1857"/>
          <cell r="K1857"/>
          <cell r="L1857"/>
          <cell r="M1857"/>
        </row>
        <row r="1858">
          <cell r="A1858">
            <v>20231855</v>
          </cell>
          <cell r="B1858"/>
          <cell r="C1858"/>
          <cell r="D1858"/>
          <cell r="E1858"/>
          <cell r="F1858"/>
          <cell r="G1858"/>
          <cell r="H1858"/>
          <cell r="I1858"/>
          <cell r="J1858"/>
          <cell r="K1858"/>
          <cell r="L1858"/>
          <cell r="M1858"/>
        </row>
        <row r="1859">
          <cell r="A1859">
            <v>20231856</v>
          </cell>
          <cell r="B1859"/>
          <cell r="C1859"/>
          <cell r="D1859"/>
          <cell r="E1859"/>
          <cell r="F1859"/>
          <cell r="G1859"/>
          <cell r="H1859"/>
          <cell r="I1859"/>
          <cell r="J1859"/>
          <cell r="K1859"/>
          <cell r="L1859"/>
          <cell r="M1859"/>
        </row>
        <row r="1860">
          <cell r="A1860">
            <v>20231857</v>
          </cell>
          <cell r="B1860"/>
          <cell r="C1860"/>
          <cell r="D1860"/>
          <cell r="E1860"/>
          <cell r="F1860"/>
          <cell r="G1860"/>
          <cell r="H1860"/>
          <cell r="I1860"/>
          <cell r="J1860"/>
          <cell r="K1860"/>
          <cell r="L1860"/>
          <cell r="M1860"/>
        </row>
        <row r="1861">
          <cell r="A1861">
            <v>20231858</v>
          </cell>
          <cell r="B1861"/>
          <cell r="C1861"/>
          <cell r="D1861"/>
          <cell r="E1861"/>
          <cell r="F1861"/>
          <cell r="G1861"/>
          <cell r="H1861"/>
          <cell r="I1861"/>
          <cell r="J1861"/>
          <cell r="K1861"/>
          <cell r="L1861"/>
          <cell r="M1861"/>
        </row>
        <row r="1862">
          <cell r="A1862">
            <v>20231859</v>
          </cell>
          <cell r="B1862"/>
          <cell r="C1862"/>
          <cell r="D1862"/>
          <cell r="E1862"/>
          <cell r="F1862"/>
          <cell r="G1862"/>
          <cell r="H1862"/>
          <cell r="I1862"/>
          <cell r="J1862"/>
          <cell r="K1862"/>
          <cell r="L1862"/>
          <cell r="M1862"/>
        </row>
        <row r="1863">
          <cell r="A1863">
            <v>20231860</v>
          </cell>
          <cell r="B1863"/>
          <cell r="C1863"/>
          <cell r="D1863"/>
          <cell r="E1863"/>
          <cell r="F1863"/>
          <cell r="G1863"/>
          <cell r="H1863"/>
          <cell r="I1863"/>
          <cell r="J1863"/>
          <cell r="K1863"/>
          <cell r="L1863"/>
          <cell r="M1863"/>
        </row>
        <row r="1864">
          <cell r="A1864">
            <v>20231861</v>
          </cell>
          <cell r="B1864"/>
          <cell r="C1864"/>
          <cell r="D1864"/>
          <cell r="E1864"/>
          <cell r="F1864"/>
          <cell r="G1864"/>
          <cell r="H1864"/>
          <cell r="I1864"/>
          <cell r="J1864"/>
          <cell r="K1864"/>
          <cell r="L1864"/>
          <cell r="M1864"/>
        </row>
        <row r="1865">
          <cell r="A1865">
            <v>20231862</v>
          </cell>
          <cell r="B1865"/>
          <cell r="C1865"/>
          <cell r="D1865"/>
          <cell r="E1865"/>
          <cell r="F1865"/>
          <cell r="G1865"/>
          <cell r="H1865"/>
          <cell r="I1865"/>
          <cell r="J1865"/>
          <cell r="K1865"/>
          <cell r="L1865"/>
          <cell r="M1865"/>
        </row>
        <row r="1866">
          <cell r="A1866">
            <v>20231863</v>
          </cell>
          <cell r="B1866"/>
          <cell r="C1866"/>
          <cell r="D1866"/>
          <cell r="E1866"/>
          <cell r="F1866"/>
          <cell r="G1866"/>
          <cell r="H1866"/>
          <cell r="I1866"/>
          <cell r="J1866"/>
          <cell r="K1866"/>
          <cell r="L1866"/>
          <cell r="M1866"/>
        </row>
        <row r="1867">
          <cell r="A1867">
            <v>20231864</v>
          </cell>
          <cell r="B1867"/>
          <cell r="C1867"/>
          <cell r="D1867"/>
          <cell r="E1867"/>
          <cell r="F1867"/>
          <cell r="G1867"/>
          <cell r="H1867"/>
          <cell r="I1867"/>
          <cell r="J1867"/>
          <cell r="K1867"/>
          <cell r="L1867"/>
          <cell r="M1867"/>
        </row>
        <row r="1868">
          <cell r="A1868">
            <v>20231865</v>
          </cell>
          <cell r="B1868"/>
          <cell r="C1868"/>
          <cell r="D1868"/>
          <cell r="E1868"/>
          <cell r="F1868"/>
          <cell r="G1868"/>
          <cell r="H1868"/>
          <cell r="I1868"/>
          <cell r="J1868"/>
          <cell r="K1868"/>
          <cell r="L1868"/>
          <cell r="M1868"/>
        </row>
        <row r="1869">
          <cell r="A1869">
            <v>20231866</v>
          </cell>
          <cell r="B1869"/>
          <cell r="C1869"/>
          <cell r="D1869"/>
          <cell r="E1869"/>
          <cell r="F1869"/>
          <cell r="G1869"/>
          <cell r="H1869"/>
          <cell r="I1869"/>
          <cell r="J1869"/>
          <cell r="K1869"/>
          <cell r="L1869"/>
          <cell r="M1869"/>
        </row>
        <row r="1870">
          <cell r="A1870">
            <v>20231867</v>
          </cell>
          <cell r="B1870"/>
          <cell r="C1870"/>
          <cell r="D1870"/>
          <cell r="E1870"/>
          <cell r="F1870"/>
          <cell r="G1870"/>
          <cell r="H1870"/>
          <cell r="I1870"/>
          <cell r="J1870"/>
          <cell r="K1870"/>
          <cell r="L1870"/>
          <cell r="M1870"/>
        </row>
        <row r="1871">
          <cell r="A1871">
            <v>20231868</v>
          </cell>
          <cell r="B1871"/>
          <cell r="C1871"/>
          <cell r="D1871"/>
          <cell r="E1871"/>
          <cell r="F1871"/>
          <cell r="G1871"/>
          <cell r="H1871"/>
          <cell r="I1871"/>
          <cell r="J1871"/>
          <cell r="K1871"/>
          <cell r="L1871"/>
          <cell r="M1871"/>
        </row>
        <row r="1872">
          <cell r="A1872">
            <v>20231869</v>
          </cell>
          <cell r="B1872"/>
          <cell r="C1872"/>
          <cell r="D1872"/>
          <cell r="E1872"/>
          <cell r="F1872"/>
          <cell r="G1872"/>
          <cell r="H1872"/>
          <cell r="I1872"/>
          <cell r="J1872"/>
          <cell r="K1872"/>
          <cell r="L1872"/>
          <cell r="M1872"/>
        </row>
        <row r="1873">
          <cell r="A1873">
            <v>20231870</v>
          </cell>
          <cell r="B1873"/>
          <cell r="C1873"/>
          <cell r="D1873"/>
          <cell r="E1873"/>
          <cell r="F1873"/>
          <cell r="G1873"/>
          <cell r="H1873"/>
          <cell r="I1873"/>
          <cell r="J1873"/>
          <cell r="K1873"/>
          <cell r="L1873"/>
          <cell r="M1873"/>
        </row>
        <row r="1874">
          <cell r="A1874">
            <v>20231871</v>
          </cell>
          <cell r="B1874"/>
          <cell r="C1874"/>
          <cell r="D1874"/>
          <cell r="E1874"/>
          <cell r="F1874"/>
          <cell r="G1874"/>
          <cell r="H1874"/>
          <cell r="I1874"/>
          <cell r="J1874"/>
          <cell r="K1874"/>
          <cell r="L1874"/>
          <cell r="M1874"/>
        </row>
        <row r="1875">
          <cell r="A1875">
            <v>20231872</v>
          </cell>
          <cell r="B1875"/>
          <cell r="C1875"/>
          <cell r="D1875"/>
          <cell r="E1875"/>
          <cell r="F1875"/>
          <cell r="G1875"/>
          <cell r="H1875"/>
          <cell r="I1875"/>
          <cell r="J1875"/>
          <cell r="K1875"/>
          <cell r="L1875"/>
          <cell r="M1875"/>
        </row>
        <row r="1876">
          <cell r="A1876">
            <v>20231873</v>
          </cell>
          <cell r="B1876"/>
          <cell r="C1876"/>
          <cell r="D1876"/>
          <cell r="E1876"/>
          <cell r="F1876"/>
          <cell r="G1876"/>
          <cell r="H1876"/>
          <cell r="I1876"/>
          <cell r="J1876"/>
          <cell r="K1876"/>
          <cell r="L1876"/>
          <cell r="M1876"/>
        </row>
        <row r="1877">
          <cell r="A1877">
            <v>20231874</v>
          </cell>
          <cell r="B1877"/>
          <cell r="C1877"/>
          <cell r="D1877"/>
          <cell r="E1877"/>
          <cell r="F1877"/>
          <cell r="G1877"/>
          <cell r="H1877"/>
          <cell r="I1877"/>
          <cell r="J1877"/>
          <cell r="K1877"/>
          <cell r="L1877"/>
          <cell r="M1877"/>
        </row>
        <row r="1878">
          <cell r="A1878">
            <v>20231875</v>
          </cell>
          <cell r="B1878"/>
          <cell r="C1878"/>
          <cell r="D1878"/>
          <cell r="E1878"/>
          <cell r="F1878"/>
          <cell r="G1878"/>
          <cell r="H1878"/>
          <cell r="I1878"/>
          <cell r="J1878"/>
          <cell r="K1878"/>
          <cell r="L1878"/>
          <cell r="M1878"/>
        </row>
        <row r="1879">
          <cell r="A1879">
            <v>20231876</v>
          </cell>
          <cell r="B1879"/>
          <cell r="C1879"/>
          <cell r="D1879"/>
          <cell r="E1879"/>
          <cell r="F1879"/>
          <cell r="G1879"/>
          <cell r="H1879"/>
          <cell r="I1879"/>
          <cell r="J1879"/>
          <cell r="K1879"/>
          <cell r="L1879"/>
          <cell r="M1879"/>
        </row>
        <row r="1880">
          <cell r="A1880">
            <v>20231877</v>
          </cell>
          <cell r="B1880"/>
          <cell r="C1880"/>
          <cell r="D1880"/>
          <cell r="E1880"/>
          <cell r="F1880"/>
          <cell r="G1880"/>
          <cell r="H1880"/>
          <cell r="I1880"/>
          <cell r="J1880"/>
          <cell r="K1880"/>
          <cell r="L1880"/>
          <cell r="M1880"/>
        </row>
        <row r="1881">
          <cell r="A1881">
            <v>20231878</v>
          </cell>
          <cell r="B1881"/>
          <cell r="C1881"/>
          <cell r="D1881"/>
          <cell r="E1881"/>
          <cell r="F1881"/>
          <cell r="G1881"/>
          <cell r="H1881"/>
          <cell r="I1881"/>
          <cell r="J1881"/>
          <cell r="K1881"/>
          <cell r="L1881"/>
          <cell r="M1881"/>
        </row>
        <row r="1882">
          <cell r="A1882">
            <v>20231879</v>
          </cell>
          <cell r="B1882"/>
          <cell r="C1882"/>
          <cell r="D1882"/>
          <cell r="E1882"/>
          <cell r="F1882"/>
          <cell r="G1882"/>
          <cell r="H1882"/>
          <cell r="I1882"/>
          <cell r="J1882"/>
          <cell r="K1882"/>
          <cell r="L1882"/>
          <cell r="M1882"/>
        </row>
        <row r="1883">
          <cell r="A1883">
            <v>20231880</v>
          </cell>
          <cell r="B1883"/>
          <cell r="C1883"/>
          <cell r="D1883"/>
          <cell r="E1883"/>
          <cell r="F1883"/>
          <cell r="G1883"/>
          <cell r="H1883"/>
          <cell r="I1883"/>
          <cell r="J1883"/>
          <cell r="K1883"/>
          <cell r="L1883"/>
          <cell r="M1883"/>
        </row>
        <row r="1884">
          <cell r="A1884">
            <v>20231881</v>
          </cell>
          <cell r="B1884"/>
          <cell r="C1884"/>
          <cell r="D1884"/>
          <cell r="E1884"/>
          <cell r="F1884"/>
          <cell r="G1884"/>
          <cell r="H1884"/>
          <cell r="I1884"/>
          <cell r="J1884"/>
          <cell r="K1884"/>
          <cell r="L1884"/>
          <cell r="M1884"/>
        </row>
        <row r="1885">
          <cell r="A1885">
            <v>20231882</v>
          </cell>
          <cell r="B1885"/>
          <cell r="C1885"/>
          <cell r="D1885"/>
          <cell r="E1885"/>
          <cell r="F1885"/>
          <cell r="G1885"/>
          <cell r="H1885"/>
          <cell r="I1885"/>
          <cell r="J1885"/>
          <cell r="K1885"/>
          <cell r="L1885"/>
          <cell r="M1885"/>
        </row>
        <row r="1886">
          <cell r="A1886">
            <v>20231883</v>
          </cell>
          <cell r="B1886"/>
          <cell r="C1886"/>
          <cell r="D1886"/>
          <cell r="E1886"/>
          <cell r="F1886"/>
          <cell r="G1886"/>
          <cell r="H1886"/>
          <cell r="I1886"/>
          <cell r="J1886"/>
          <cell r="K1886"/>
          <cell r="L1886"/>
          <cell r="M1886"/>
        </row>
        <row r="1887">
          <cell r="A1887">
            <v>20231884</v>
          </cell>
          <cell r="B1887"/>
          <cell r="C1887"/>
          <cell r="D1887"/>
          <cell r="E1887"/>
          <cell r="F1887"/>
          <cell r="G1887"/>
          <cell r="H1887"/>
          <cell r="I1887"/>
          <cell r="J1887"/>
          <cell r="K1887"/>
          <cell r="L1887"/>
          <cell r="M1887"/>
        </row>
        <row r="1888">
          <cell r="A1888">
            <v>20231885</v>
          </cell>
          <cell r="B1888"/>
          <cell r="C1888"/>
          <cell r="D1888"/>
          <cell r="E1888"/>
          <cell r="F1888"/>
          <cell r="G1888"/>
          <cell r="H1888"/>
          <cell r="I1888"/>
          <cell r="J1888"/>
          <cell r="K1888"/>
          <cell r="L1888"/>
          <cell r="M1888"/>
        </row>
        <row r="1889">
          <cell r="A1889">
            <v>20231886</v>
          </cell>
          <cell r="B1889"/>
          <cell r="C1889"/>
          <cell r="D1889"/>
          <cell r="E1889"/>
          <cell r="F1889"/>
          <cell r="G1889"/>
          <cell r="H1889"/>
          <cell r="I1889"/>
          <cell r="J1889"/>
          <cell r="K1889"/>
          <cell r="L1889"/>
          <cell r="M1889"/>
        </row>
        <row r="1890">
          <cell r="A1890">
            <v>20231887</v>
          </cell>
          <cell r="B1890"/>
          <cell r="C1890"/>
          <cell r="D1890"/>
          <cell r="E1890"/>
          <cell r="F1890"/>
          <cell r="G1890"/>
          <cell r="H1890"/>
          <cell r="I1890"/>
          <cell r="J1890"/>
          <cell r="K1890"/>
          <cell r="L1890"/>
          <cell r="M1890"/>
        </row>
        <row r="1891">
          <cell r="A1891">
            <v>20231888</v>
          </cell>
          <cell r="B1891"/>
          <cell r="C1891"/>
          <cell r="D1891"/>
          <cell r="E1891"/>
          <cell r="F1891"/>
          <cell r="G1891"/>
          <cell r="H1891"/>
          <cell r="I1891"/>
          <cell r="J1891"/>
          <cell r="K1891"/>
          <cell r="L1891"/>
          <cell r="M1891"/>
        </row>
        <row r="1892">
          <cell r="A1892">
            <v>20231889</v>
          </cell>
          <cell r="B1892"/>
          <cell r="C1892"/>
          <cell r="D1892"/>
          <cell r="E1892"/>
          <cell r="F1892"/>
          <cell r="G1892"/>
          <cell r="H1892"/>
          <cell r="I1892"/>
          <cell r="J1892"/>
          <cell r="K1892"/>
          <cell r="L1892"/>
          <cell r="M1892"/>
        </row>
        <row r="1893">
          <cell r="A1893">
            <v>20231890</v>
          </cell>
          <cell r="B1893"/>
          <cell r="C1893"/>
          <cell r="D1893"/>
          <cell r="E1893"/>
          <cell r="F1893"/>
          <cell r="G1893"/>
          <cell r="H1893"/>
          <cell r="I1893"/>
          <cell r="J1893"/>
          <cell r="K1893"/>
          <cell r="L1893"/>
          <cell r="M1893"/>
        </row>
        <row r="1894">
          <cell r="A1894">
            <v>20231891</v>
          </cell>
          <cell r="B1894"/>
          <cell r="C1894"/>
          <cell r="D1894"/>
          <cell r="E1894"/>
          <cell r="F1894"/>
          <cell r="G1894"/>
          <cell r="H1894"/>
          <cell r="I1894"/>
          <cell r="J1894"/>
          <cell r="K1894"/>
          <cell r="L1894"/>
          <cell r="M1894"/>
        </row>
        <row r="1895">
          <cell r="A1895">
            <v>20231892</v>
          </cell>
          <cell r="B1895"/>
          <cell r="C1895"/>
          <cell r="D1895"/>
          <cell r="E1895"/>
          <cell r="F1895"/>
          <cell r="G1895"/>
          <cell r="H1895"/>
          <cell r="I1895"/>
          <cell r="J1895"/>
          <cell r="K1895"/>
          <cell r="L1895"/>
          <cell r="M1895"/>
        </row>
        <row r="1896">
          <cell r="A1896">
            <v>20231893</v>
          </cell>
          <cell r="B1896"/>
          <cell r="C1896"/>
          <cell r="D1896"/>
          <cell r="E1896"/>
          <cell r="F1896"/>
          <cell r="G1896"/>
          <cell r="H1896"/>
          <cell r="I1896"/>
          <cell r="J1896"/>
          <cell r="K1896"/>
          <cell r="L1896"/>
          <cell r="M1896"/>
        </row>
        <row r="1897">
          <cell r="A1897">
            <v>20231894</v>
          </cell>
          <cell r="B1897"/>
          <cell r="C1897"/>
          <cell r="D1897"/>
          <cell r="E1897"/>
          <cell r="F1897"/>
          <cell r="G1897"/>
          <cell r="H1897"/>
          <cell r="I1897"/>
          <cell r="J1897"/>
          <cell r="K1897"/>
          <cell r="L1897"/>
          <cell r="M1897"/>
        </row>
        <row r="1898">
          <cell r="A1898">
            <v>20231895</v>
          </cell>
          <cell r="B1898"/>
          <cell r="C1898"/>
          <cell r="D1898"/>
          <cell r="E1898"/>
          <cell r="F1898"/>
          <cell r="G1898"/>
          <cell r="H1898"/>
          <cell r="I1898"/>
          <cell r="J1898"/>
          <cell r="K1898"/>
          <cell r="L1898"/>
          <cell r="M1898"/>
        </row>
        <row r="1899">
          <cell r="A1899">
            <v>20231896</v>
          </cell>
          <cell r="B1899"/>
          <cell r="C1899"/>
          <cell r="D1899"/>
          <cell r="E1899"/>
          <cell r="F1899"/>
          <cell r="G1899"/>
          <cell r="H1899"/>
          <cell r="I1899"/>
          <cell r="J1899"/>
          <cell r="K1899"/>
          <cell r="L1899"/>
          <cell r="M1899"/>
        </row>
        <row r="1900">
          <cell r="A1900">
            <v>20231897</v>
          </cell>
          <cell r="B1900"/>
          <cell r="C1900"/>
          <cell r="D1900"/>
          <cell r="E1900"/>
          <cell r="F1900"/>
          <cell r="G1900"/>
          <cell r="H1900"/>
          <cell r="I1900"/>
          <cell r="J1900"/>
          <cell r="K1900"/>
          <cell r="L1900"/>
          <cell r="M1900"/>
        </row>
        <row r="1901">
          <cell r="A1901">
            <v>20231898</v>
          </cell>
          <cell r="B1901"/>
          <cell r="C1901"/>
          <cell r="D1901"/>
          <cell r="E1901"/>
          <cell r="F1901"/>
          <cell r="G1901"/>
          <cell r="H1901"/>
          <cell r="I1901"/>
          <cell r="J1901"/>
          <cell r="K1901"/>
          <cell r="L1901"/>
          <cell r="M1901"/>
        </row>
        <row r="1902">
          <cell r="A1902">
            <v>20231899</v>
          </cell>
          <cell r="B1902"/>
          <cell r="C1902"/>
          <cell r="D1902"/>
          <cell r="E1902"/>
          <cell r="F1902"/>
          <cell r="G1902"/>
          <cell r="H1902"/>
          <cell r="I1902"/>
          <cell r="J1902"/>
          <cell r="K1902"/>
          <cell r="L1902"/>
          <cell r="M1902"/>
        </row>
        <row r="1903">
          <cell r="A1903">
            <v>20231900</v>
          </cell>
          <cell r="B1903"/>
          <cell r="C1903"/>
          <cell r="D1903"/>
          <cell r="E1903"/>
          <cell r="F1903"/>
          <cell r="G1903"/>
          <cell r="H1903"/>
          <cell r="I1903"/>
          <cell r="J1903"/>
          <cell r="K1903"/>
          <cell r="L1903"/>
          <cell r="M1903"/>
        </row>
        <row r="1904">
          <cell r="A1904">
            <v>20231901</v>
          </cell>
          <cell r="B1904"/>
          <cell r="C1904"/>
          <cell r="D1904"/>
          <cell r="E1904"/>
          <cell r="F1904"/>
          <cell r="G1904"/>
          <cell r="H1904"/>
          <cell r="I1904"/>
          <cell r="J1904"/>
          <cell r="K1904"/>
          <cell r="L1904"/>
          <cell r="M1904"/>
        </row>
        <row r="1905">
          <cell r="A1905">
            <v>20231902</v>
          </cell>
          <cell r="B1905"/>
          <cell r="C1905"/>
          <cell r="D1905"/>
          <cell r="E1905"/>
          <cell r="F1905"/>
          <cell r="G1905"/>
          <cell r="H1905"/>
          <cell r="I1905"/>
          <cell r="J1905"/>
          <cell r="K1905"/>
          <cell r="L1905"/>
          <cell r="M1905"/>
        </row>
        <row r="1906">
          <cell r="A1906">
            <v>20231903</v>
          </cell>
          <cell r="B1906"/>
          <cell r="C1906"/>
          <cell r="D1906"/>
          <cell r="E1906"/>
          <cell r="F1906"/>
          <cell r="G1906"/>
          <cell r="H1906"/>
          <cell r="I1906"/>
          <cell r="J1906"/>
          <cell r="K1906"/>
          <cell r="L1906"/>
          <cell r="M1906"/>
        </row>
        <row r="1907">
          <cell r="A1907">
            <v>20231904</v>
          </cell>
          <cell r="B1907"/>
          <cell r="C1907"/>
          <cell r="D1907"/>
          <cell r="E1907"/>
          <cell r="F1907"/>
          <cell r="G1907"/>
          <cell r="H1907"/>
          <cell r="I1907"/>
          <cell r="J1907"/>
          <cell r="K1907"/>
          <cell r="L1907"/>
          <cell r="M1907"/>
        </row>
        <row r="1908">
          <cell r="A1908">
            <v>20231905</v>
          </cell>
          <cell r="B1908"/>
          <cell r="C1908"/>
          <cell r="D1908"/>
          <cell r="E1908"/>
          <cell r="F1908"/>
          <cell r="G1908"/>
          <cell r="H1908"/>
          <cell r="I1908"/>
          <cell r="J1908"/>
          <cell r="K1908"/>
          <cell r="L1908"/>
          <cell r="M1908"/>
        </row>
        <row r="1909">
          <cell r="A1909">
            <v>20231906</v>
          </cell>
          <cell r="B1909"/>
          <cell r="C1909"/>
          <cell r="D1909"/>
          <cell r="E1909"/>
          <cell r="F1909"/>
          <cell r="G1909"/>
          <cell r="H1909"/>
          <cell r="I1909"/>
          <cell r="J1909"/>
          <cell r="K1909"/>
          <cell r="L1909"/>
          <cell r="M1909"/>
        </row>
        <row r="1910">
          <cell r="A1910">
            <v>20231907</v>
          </cell>
          <cell r="B1910"/>
          <cell r="C1910"/>
          <cell r="D1910"/>
          <cell r="E1910"/>
          <cell r="F1910"/>
          <cell r="G1910"/>
          <cell r="H1910"/>
          <cell r="I1910"/>
          <cell r="J1910"/>
          <cell r="K1910"/>
          <cell r="L1910"/>
          <cell r="M1910"/>
        </row>
        <row r="1911">
          <cell r="A1911">
            <v>20231908</v>
          </cell>
          <cell r="B1911"/>
          <cell r="C1911"/>
          <cell r="D1911"/>
          <cell r="E1911"/>
          <cell r="F1911"/>
          <cell r="G1911"/>
          <cell r="H1911"/>
          <cell r="I1911"/>
          <cell r="J1911"/>
          <cell r="K1911"/>
          <cell r="L1911"/>
          <cell r="M1911"/>
        </row>
        <row r="1912">
          <cell r="A1912">
            <v>20231909</v>
          </cell>
          <cell r="B1912"/>
          <cell r="C1912"/>
          <cell r="D1912"/>
          <cell r="E1912"/>
          <cell r="F1912"/>
          <cell r="G1912"/>
          <cell r="H1912"/>
          <cell r="I1912"/>
          <cell r="J1912"/>
          <cell r="K1912"/>
          <cell r="L1912"/>
          <cell r="M1912"/>
        </row>
        <row r="1913">
          <cell r="A1913">
            <v>20231910</v>
          </cell>
          <cell r="B1913"/>
          <cell r="C1913"/>
          <cell r="D1913"/>
          <cell r="E1913"/>
          <cell r="F1913"/>
          <cell r="G1913"/>
          <cell r="H1913"/>
          <cell r="I1913"/>
          <cell r="J1913"/>
          <cell r="K1913"/>
          <cell r="L1913"/>
          <cell r="M1913"/>
        </row>
        <row r="1914">
          <cell r="A1914">
            <v>20231911</v>
          </cell>
          <cell r="B1914"/>
          <cell r="C1914"/>
          <cell r="D1914"/>
          <cell r="E1914"/>
          <cell r="F1914"/>
          <cell r="G1914"/>
          <cell r="H1914"/>
          <cell r="I1914"/>
          <cell r="J1914"/>
          <cell r="K1914"/>
          <cell r="L1914"/>
          <cell r="M1914"/>
        </row>
        <row r="1915">
          <cell r="A1915">
            <v>20231912</v>
          </cell>
          <cell r="B1915"/>
          <cell r="C1915"/>
          <cell r="D1915"/>
          <cell r="E1915"/>
          <cell r="F1915"/>
          <cell r="G1915"/>
          <cell r="H1915"/>
          <cell r="I1915"/>
          <cell r="J1915"/>
          <cell r="K1915"/>
          <cell r="L1915"/>
          <cell r="M1915"/>
        </row>
        <row r="1916">
          <cell r="A1916">
            <v>20231913</v>
          </cell>
          <cell r="B1916"/>
          <cell r="C1916"/>
          <cell r="D1916"/>
          <cell r="E1916"/>
          <cell r="F1916"/>
          <cell r="G1916"/>
          <cell r="H1916"/>
          <cell r="I1916"/>
          <cell r="J1916"/>
          <cell r="K1916"/>
          <cell r="L1916"/>
          <cell r="M1916"/>
        </row>
        <row r="1917">
          <cell r="A1917">
            <v>20231914</v>
          </cell>
          <cell r="B1917"/>
          <cell r="C1917"/>
          <cell r="D1917"/>
          <cell r="E1917"/>
          <cell r="F1917"/>
          <cell r="G1917"/>
          <cell r="H1917"/>
          <cell r="I1917"/>
          <cell r="J1917"/>
          <cell r="K1917"/>
          <cell r="L1917"/>
          <cell r="M1917"/>
        </row>
        <row r="1918">
          <cell r="A1918">
            <v>20231915</v>
          </cell>
          <cell r="B1918"/>
          <cell r="C1918"/>
          <cell r="D1918"/>
          <cell r="E1918"/>
          <cell r="F1918"/>
          <cell r="G1918"/>
          <cell r="H1918"/>
          <cell r="I1918"/>
          <cell r="J1918"/>
          <cell r="K1918"/>
          <cell r="L1918"/>
          <cell r="M1918"/>
        </row>
        <row r="1919">
          <cell r="A1919">
            <v>20231916</v>
          </cell>
          <cell r="B1919"/>
          <cell r="C1919"/>
          <cell r="D1919"/>
          <cell r="E1919"/>
          <cell r="F1919"/>
          <cell r="G1919"/>
          <cell r="H1919"/>
          <cell r="I1919"/>
          <cell r="J1919"/>
          <cell r="K1919"/>
          <cell r="L1919"/>
          <cell r="M1919"/>
        </row>
        <row r="1920">
          <cell r="A1920">
            <v>20231917</v>
          </cell>
          <cell r="B1920"/>
          <cell r="C1920"/>
          <cell r="D1920"/>
          <cell r="E1920"/>
          <cell r="F1920"/>
          <cell r="G1920"/>
          <cell r="H1920"/>
          <cell r="I1920"/>
          <cell r="J1920"/>
          <cell r="K1920"/>
          <cell r="L1920"/>
          <cell r="M1920"/>
        </row>
        <row r="1921">
          <cell r="A1921">
            <v>20231918</v>
          </cell>
          <cell r="B1921"/>
          <cell r="C1921"/>
          <cell r="D1921"/>
          <cell r="E1921"/>
          <cell r="F1921"/>
          <cell r="G1921"/>
          <cell r="H1921"/>
          <cell r="I1921"/>
          <cell r="J1921"/>
          <cell r="K1921"/>
          <cell r="L1921"/>
          <cell r="M1921"/>
        </row>
        <row r="1922">
          <cell r="A1922">
            <v>20231919</v>
          </cell>
          <cell r="B1922"/>
          <cell r="C1922"/>
          <cell r="D1922"/>
          <cell r="E1922"/>
          <cell r="F1922"/>
          <cell r="G1922"/>
          <cell r="H1922"/>
          <cell r="I1922"/>
          <cell r="J1922"/>
          <cell r="K1922"/>
          <cell r="L1922"/>
          <cell r="M1922"/>
        </row>
        <row r="1923">
          <cell r="A1923">
            <v>20231920</v>
          </cell>
          <cell r="B1923"/>
          <cell r="C1923"/>
          <cell r="D1923"/>
          <cell r="E1923"/>
          <cell r="F1923"/>
          <cell r="G1923"/>
          <cell r="H1923"/>
          <cell r="I1923"/>
          <cell r="J1923"/>
          <cell r="K1923"/>
          <cell r="L1923"/>
          <cell r="M1923"/>
        </row>
        <row r="1924">
          <cell r="A1924">
            <v>20231921</v>
          </cell>
          <cell r="B1924"/>
          <cell r="C1924"/>
          <cell r="D1924"/>
          <cell r="E1924"/>
          <cell r="F1924"/>
          <cell r="G1924"/>
          <cell r="H1924"/>
          <cell r="I1924"/>
          <cell r="J1924"/>
          <cell r="K1924"/>
          <cell r="L1924"/>
          <cell r="M1924"/>
        </row>
        <row r="1925">
          <cell r="A1925">
            <v>20231922</v>
          </cell>
          <cell r="B1925"/>
          <cell r="C1925"/>
          <cell r="D1925"/>
          <cell r="E1925"/>
          <cell r="F1925"/>
          <cell r="G1925"/>
          <cell r="H1925"/>
          <cell r="I1925"/>
          <cell r="J1925"/>
          <cell r="K1925"/>
          <cell r="L1925"/>
          <cell r="M1925"/>
        </row>
        <row r="1926">
          <cell r="A1926">
            <v>20231923</v>
          </cell>
          <cell r="B1926"/>
          <cell r="C1926"/>
          <cell r="D1926"/>
          <cell r="E1926"/>
          <cell r="F1926"/>
          <cell r="G1926"/>
          <cell r="H1926"/>
          <cell r="I1926"/>
          <cell r="J1926"/>
          <cell r="K1926"/>
          <cell r="L1926"/>
          <cell r="M1926"/>
        </row>
        <row r="1927">
          <cell r="A1927">
            <v>20231924</v>
          </cell>
          <cell r="B1927"/>
          <cell r="C1927"/>
          <cell r="D1927"/>
          <cell r="E1927"/>
          <cell r="F1927"/>
          <cell r="G1927"/>
          <cell r="H1927"/>
          <cell r="I1927"/>
          <cell r="J1927"/>
          <cell r="K1927"/>
          <cell r="L1927"/>
          <cell r="M1927"/>
        </row>
        <row r="1928">
          <cell r="A1928">
            <v>20231925</v>
          </cell>
          <cell r="B1928"/>
          <cell r="C1928"/>
          <cell r="D1928"/>
          <cell r="E1928"/>
          <cell r="F1928"/>
          <cell r="G1928"/>
          <cell r="H1928"/>
          <cell r="I1928"/>
          <cell r="J1928"/>
          <cell r="K1928"/>
          <cell r="L1928"/>
          <cell r="M1928"/>
        </row>
        <row r="1929">
          <cell r="A1929">
            <v>20231926</v>
          </cell>
          <cell r="B1929"/>
          <cell r="C1929"/>
          <cell r="D1929"/>
          <cell r="E1929"/>
          <cell r="F1929"/>
          <cell r="G1929"/>
          <cell r="H1929"/>
          <cell r="I1929"/>
          <cell r="J1929"/>
          <cell r="K1929"/>
          <cell r="L1929"/>
          <cell r="M1929"/>
        </row>
        <row r="1930">
          <cell r="A1930">
            <v>20231927</v>
          </cell>
          <cell r="B1930"/>
          <cell r="C1930"/>
          <cell r="D1930"/>
          <cell r="E1930"/>
          <cell r="F1930"/>
          <cell r="G1930"/>
          <cell r="H1930"/>
          <cell r="I1930"/>
          <cell r="J1930"/>
          <cell r="K1930"/>
          <cell r="L1930"/>
          <cell r="M1930"/>
        </row>
        <row r="1931">
          <cell r="A1931">
            <v>20231928</v>
          </cell>
          <cell r="B1931"/>
          <cell r="C1931"/>
          <cell r="D1931"/>
          <cell r="E1931"/>
          <cell r="F1931"/>
          <cell r="G1931"/>
          <cell r="H1931"/>
          <cell r="I1931"/>
          <cell r="J1931"/>
          <cell r="K1931"/>
          <cell r="L1931"/>
          <cell r="M1931"/>
        </row>
        <row r="1932">
          <cell r="A1932">
            <v>20231929</v>
          </cell>
          <cell r="B1932"/>
          <cell r="C1932"/>
          <cell r="D1932"/>
          <cell r="E1932"/>
          <cell r="F1932"/>
          <cell r="G1932"/>
          <cell r="H1932"/>
          <cell r="I1932"/>
          <cell r="J1932"/>
          <cell r="K1932"/>
          <cell r="L1932"/>
          <cell r="M1932"/>
        </row>
        <row r="1933">
          <cell r="A1933">
            <v>20231930</v>
          </cell>
          <cell r="B1933"/>
          <cell r="C1933"/>
          <cell r="D1933"/>
          <cell r="E1933"/>
          <cell r="F1933"/>
          <cell r="G1933"/>
          <cell r="H1933"/>
          <cell r="I1933"/>
          <cell r="J1933"/>
          <cell r="K1933"/>
          <cell r="L1933"/>
          <cell r="M1933"/>
        </row>
        <row r="1934">
          <cell r="A1934">
            <v>20231931</v>
          </cell>
          <cell r="B1934"/>
          <cell r="C1934"/>
          <cell r="D1934"/>
          <cell r="E1934"/>
          <cell r="F1934"/>
          <cell r="G1934"/>
          <cell r="H1934"/>
          <cell r="I1934"/>
          <cell r="J1934"/>
          <cell r="K1934"/>
          <cell r="L1934"/>
          <cell r="M1934"/>
        </row>
        <row r="1935">
          <cell r="A1935">
            <v>20231932</v>
          </cell>
          <cell r="B1935"/>
          <cell r="C1935"/>
          <cell r="D1935"/>
          <cell r="E1935"/>
          <cell r="F1935"/>
          <cell r="G1935"/>
          <cell r="H1935"/>
          <cell r="I1935"/>
          <cell r="J1935"/>
          <cell r="K1935"/>
          <cell r="L1935"/>
          <cell r="M1935"/>
        </row>
        <row r="1936">
          <cell r="A1936">
            <v>20231933</v>
          </cell>
          <cell r="B1936"/>
          <cell r="C1936"/>
          <cell r="D1936"/>
          <cell r="E1936"/>
          <cell r="F1936"/>
          <cell r="G1936"/>
          <cell r="H1936"/>
          <cell r="I1936"/>
          <cell r="J1936"/>
          <cell r="K1936"/>
          <cell r="L1936"/>
          <cell r="M1936"/>
        </row>
        <row r="1937">
          <cell r="A1937">
            <v>20231934</v>
          </cell>
          <cell r="B1937"/>
          <cell r="C1937"/>
          <cell r="D1937"/>
          <cell r="E1937"/>
          <cell r="F1937"/>
          <cell r="G1937"/>
          <cell r="H1937"/>
          <cell r="I1937"/>
          <cell r="J1937"/>
          <cell r="K1937"/>
          <cell r="L1937"/>
          <cell r="M1937"/>
        </row>
        <row r="1938">
          <cell r="A1938">
            <v>20231935</v>
          </cell>
          <cell r="B1938"/>
          <cell r="C1938"/>
          <cell r="D1938"/>
          <cell r="E1938"/>
          <cell r="F1938"/>
          <cell r="G1938"/>
          <cell r="H1938"/>
          <cell r="I1938"/>
          <cell r="J1938"/>
          <cell r="K1938"/>
          <cell r="L1938"/>
          <cell r="M1938"/>
        </row>
        <row r="1939">
          <cell r="A1939">
            <v>20231936</v>
          </cell>
          <cell r="B1939"/>
          <cell r="C1939"/>
          <cell r="D1939"/>
          <cell r="E1939"/>
          <cell r="F1939"/>
          <cell r="G1939"/>
          <cell r="H1939"/>
          <cell r="I1939"/>
          <cell r="J1939"/>
          <cell r="K1939"/>
          <cell r="L1939"/>
          <cell r="M1939"/>
        </row>
        <row r="1940">
          <cell r="A1940">
            <v>20231937</v>
          </cell>
          <cell r="B1940"/>
          <cell r="C1940"/>
          <cell r="D1940"/>
          <cell r="E1940"/>
          <cell r="F1940"/>
          <cell r="G1940"/>
          <cell r="H1940"/>
          <cell r="I1940"/>
          <cell r="J1940"/>
          <cell r="K1940"/>
          <cell r="L1940"/>
          <cell r="M1940"/>
        </row>
        <row r="1941">
          <cell r="A1941">
            <v>20231938</v>
          </cell>
          <cell r="B1941"/>
          <cell r="C1941"/>
          <cell r="D1941"/>
          <cell r="E1941"/>
          <cell r="F1941"/>
          <cell r="G1941"/>
          <cell r="H1941"/>
          <cell r="I1941"/>
          <cell r="J1941"/>
          <cell r="K1941"/>
          <cell r="L1941"/>
          <cell r="M1941"/>
        </row>
        <row r="1942">
          <cell r="A1942">
            <v>20231939</v>
          </cell>
          <cell r="B1942"/>
          <cell r="C1942"/>
          <cell r="D1942"/>
          <cell r="E1942"/>
          <cell r="F1942"/>
          <cell r="G1942"/>
          <cell r="H1942"/>
          <cell r="I1942"/>
          <cell r="J1942"/>
          <cell r="K1942"/>
          <cell r="L1942"/>
          <cell r="M1942"/>
        </row>
        <row r="1943">
          <cell r="A1943">
            <v>20231940</v>
          </cell>
          <cell r="B1943"/>
          <cell r="C1943"/>
          <cell r="D1943"/>
          <cell r="E1943"/>
          <cell r="F1943"/>
          <cell r="G1943"/>
          <cell r="H1943"/>
          <cell r="I1943"/>
          <cell r="J1943"/>
          <cell r="K1943"/>
          <cell r="L1943"/>
          <cell r="M1943"/>
        </row>
        <row r="1944">
          <cell r="A1944">
            <v>20231941</v>
          </cell>
          <cell r="B1944"/>
          <cell r="C1944"/>
          <cell r="D1944"/>
          <cell r="E1944"/>
          <cell r="F1944"/>
          <cell r="G1944"/>
          <cell r="H1944"/>
          <cell r="I1944"/>
          <cell r="J1944"/>
          <cell r="K1944"/>
          <cell r="L1944"/>
          <cell r="M1944"/>
        </row>
        <row r="1945">
          <cell r="A1945">
            <v>20231942</v>
          </cell>
          <cell r="B1945"/>
          <cell r="C1945"/>
          <cell r="D1945"/>
          <cell r="E1945"/>
          <cell r="F1945"/>
          <cell r="G1945"/>
          <cell r="H1945"/>
          <cell r="I1945"/>
          <cell r="J1945"/>
          <cell r="K1945"/>
          <cell r="L1945"/>
          <cell r="M1945"/>
        </row>
        <row r="1946">
          <cell r="A1946">
            <v>20231943</v>
          </cell>
          <cell r="B1946"/>
          <cell r="C1946"/>
          <cell r="D1946"/>
          <cell r="E1946"/>
          <cell r="F1946"/>
          <cell r="G1946"/>
          <cell r="H1946"/>
          <cell r="I1946"/>
          <cell r="J1946"/>
          <cell r="K1946"/>
          <cell r="L1946"/>
          <cell r="M1946"/>
        </row>
        <row r="1947">
          <cell r="A1947">
            <v>20231944</v>
          </cell>
          <cell r="B1947"/>
          <cell r="C1947"/>
          <cell r="D1947"/>
          <cell r="E1947"/>
          <cell r="F1947"/>
          <cell r="G1947"/>
          <cell r="H1947"/>
          <cell r="I1947"/>
          <cell r="J1947"/>
          <cell r="K1947"/>
          <cell r="L1947"/>
          <cell r="M1947"/>
        </row>
        <row r="1948">
          <cell r="A1948">
            <v>20231945</v>
          </cell>
          <cell r="B1948"/>
          <cell r="C1948"/>
          <cell r="D1948"/>
          <cell r="E1948"/>
          <cell r="F1948"/>
          <cell r="G1948"/>
          <cell r="H1948"/>
          <cell r="I1948"/>
          <cell r="J1948"/>
          <cell r="K1948"/>
          <cell r="L1948"/>
          <cell r="M1948"/>
        </row>
        <row r="1949">
          <cell r="A1949">
            <v>20231946</v>
          </cell>
          <cell r="B1949"/>
          <cell r="C1949"/>
          <cell r="D1949"/>
          <cell r="E1949"/>
          <cell r="F1949"/>
          <cell r="G1949"/>
          <cell r="H1949"/>
          <cell r="I1949"/>
          <cell r="J1949"/>
          <cell r="K1949"/>
          <cell r="L1949"/>
          <cell r="M1949"/>
        </row>
        <row r="1950">
          <cell r="A1950">
            <v>20231947</v>
          </cell>
          <cell r="B1950"/>
          <cell r="C1950"/>
          <cell r="D1950"/>
          <cell r="E1950"/>
          <cell r="F1950"/>
          <cell r="G1950"/>
          <cell r="H1950"/>
          <cell r="I1950"/>
          <cell r="J1950"/>
          <cell r="K1950"/>
          <cell r="L1950"/>
          <cell r="M1950"/>
        </row>
        <row r="1951">
          <cell r="A1951">
            <v>20231948</v>
          </cell>
          <cell r="B1951"/>
          <cell r="C1951"/>
          <cell r="D1951"/>
          <cell r="E1951"/>
          <cell r="F1951"/>
          <cell r="G1951"/>
          <cell r="H1951"/>
          <cell r="I1951"/>
          <cell r="J1951"/>
          <cell r="K1951"/>
          <cell r="L1951"/>
          <cell r="M1951"/>
        </row>
        <row r="1952">
          <cell r="A1952">
            <v>20231949</v>
          </cell>
          <cell r="B1952"/>
          <cell r="C1952"/>
          <cell r="D1952"/>
          <cell r="E1952"/>
          <cell r="F1952"/>
          <cell r="G1952"/>
          <cell r="H1952"/>
          <cell r="I1952"/>
          <cell r="J1952"/>
          <cell r="K1952"/>
          <cell r="L1952"/>
          <cell r="M1952"/>
        </row>
        <row r="1953">
          <cell r="A1953">
            <v>20231950</v>
          </cell>
          <cell r="B1953"/>
          <cell r="C1953"/>
          <cell r="D1953"/>
          <cell r="E1953"/>
          <cell r="F1953"/>
          <cell r="G1953"/>
          <cell r="H1953"/>
          <cell r="I1953"/>
          <cell r="J1953"/>
          <cell r="K1953"/>
          <cell r="L1953"/>
          <cell r="M1953"/>
        </row>
        <row r="1954">
          <cell r="A1954">
            <v>20231951</v>
          </cell>
          <cell r="B1954"/>
          <cell r="C1954"/>
          <cell r="D1954"/>
          <cell r="E1954"/>
          <cell r="F1954"/>
          <cell r="G1954"/>
          <cell r="H1954"/>
          <cell r="I1954"/>
          <cell r="J1954"/>
          <cell r="K1954"/>
          <cell r="L1954"/>
          <cell r="M1954"/>
        </row>
        <row r="1955">
          <cell r="A1955">
            <v>20231952</v>
          </cell>
          <cell r="B1955"/>
          <cell r="C1955"/>
          <cell r="D1955"/>
          <cell r="E1955"/>
          <cell r="F1955"/>
          <cell r="G1955"/>
          <cell r="H1955"/>
          <cell r="I1955"/>
          <cell r="J1955"/>
          <cell r="K1955"/>
          <cell r="L1955"/>
          <cell r="M1955"/>
        </row>
        <row r="1956">
          <cell r="A1956">
            <v>20231953</v>
          </cell>
          <cell r="B1956"/>
          <cell r="C1956"/>
          <cell r="D1956"/>
          <cell r="E1956"/>
          <cell r="F1956"/>
          <cell r="G1956"/>
          <cell r="H1956"/>
          <cell r="I1956"/>
          <cell r="J1956"/>
          <cell r="K1956"/>
          <cell r="L1956"/>
          <cell r="M1956"/>
        </row>
        <row r="1957">
          <cell r="A1957">
            <v>20231954</v>
          </cell>
          <cell r="B1957"/>
          <cell r="C1957"/>
          <cell r="D1957"/>
          <cell r="E1957"/>
          <cell r="F1957"/>
          <cell r="G1957"/>
          <cell r="H1957"/>
          <cell r="I1957"/>
          <cell r="J1957"/>
          <cell r="K1957"/>
          <cell r="L1957"/>
          <cell r="M1957"/>
        </row>
        <row r="1958">
          <cell r="A1958">
            <v>20231955</v>
          </cell>
          <cell r="B1958"/>
          <cell r="C1958"/>
          <cell r="D1958"/>
          <cell r="E1958"/>
          <cell r="F1958"/>
          <cell r="G1958"/>
          <cell r="H1958"/>
          <cell r="I1958"/>
          <cell r="J1958"/>
          <cell r="K1958"/>
          <cell r="L1958"/>
          <cell r="M1958"/>
        </row>
        <row r="1959">
          <cell r="A1959">
            <v>20231956</v>
          </cell>
          <cell r="B1959"/>
          <cell r="C1959"/>
          <cell r="D1959"/>
          <cell r="E1959"/>
          <cell r="F1959"/>
          <cell r="G1959"/>
          <cell r="H1959"/>
          <cell r="I1959"/>
          <cell r="J1959"/>
          <cell r="K1959"/>
          <cell r="L1959"/>
          <cell r="M1959"/>
        </row>
        <row r="1960">
          <cell r="A1960">
            <v>20231957</v>
          </cell>
          <cell r="B1960"/>
          <cell r="C1960"/>
          <cell r="D1960"/>
          <cell r="E1960"/>
          <cell r="F1960"/>
          <cell r="G1960"/>
          <cell r="H1960"/>
          <cell r="I1960"/>
          <cell r="J1960"/>
          <cell r="K1960"/>
          <cell r="L1960"/>
          <cell r="M1960"/>
        </row>
        <row r="1961">
          <cell r="A1961">
            <v>20231958</v>
          </cell>
          <cell r="B1961"/>
          <cell r="C1961"/>
          <cell r="D1961"/>
          <cell r="E1961"/>
          <cell r="F1961"/>
          <cell r="G1961"/>
          <cell r="H1961"/>
          <cell r="I1961"/>
          <cell r="J1961"/>
          <cell r="K1961"/>
          <cell r="L1961"/>
          <cell r="M1961"/>
        </row>
        <row r="1962">
          <cell r="A1962">
            <v>20231959</v>
          </cell>
          <cell r="B1962"/>
          <cell r="C1962"/>
          <cell r="D1962"/>
          <cell r="E1962"/>
          <cell r="F1962"/>
          <cell r="G1962"/>
          <cell r="H1962"/>
          <cell r="I1962"/>
          <cell r="J1962"/>
          <cell r="K1962"/>
          <cell r="L1962"/>
          <cell r="M1962"/>
        </row>
        <row r="1963">
          <cell r="A1963">
            <v>20231960</v>
          </cell>
          <cell r="B1963"/>
          <cell r="C1963"/>
          <cell r="D1963"/>
          <cell r="E1963"/>
          <cell r="F1963"/>
          <cell r="G1963"/>
          <cell r="H1963"/>
          <cell r="I1963"/>
          <cell r="J1963"/>
          <cell r="K1963"/>
          <cell r="L1963"/>
          <cell r="M1963"/>
        </row>
        <row r="1964">
          <cell r="A1964">
            <v>20231961</v>
          </cell>
          <cell r="B1964"/>
          <cell r="C1964"/>
          <cell r="D1964"/>
          <cell r="E1964"/>
          <cell r="F1964"/>
          <cell r="G1964"/>
          <cell r="H1964"/>
          <cell r="I1964"/>
          <cell r="J1964"/>
          <cell r="K1964"/>
          <cell r="L1964"/>
          <cell r="M1964"/>
        </row>
        <row r="1965">
          <cell r="A1965">
            <v>20231962</v>
          </cell>
          <cell r="B1965"/>
          <cell r="C1965"/>
          <cell r="D1965"/>
          <cell r="E1965"/>
          <cell r="F1965"/>
          <cell r="G1965"/>
          <cell r="H1965"/>
          <cell r="I1965"/>
          <cell r="J1965"/>
          <cell r="K1965"/>
          <cell r="L1965"/>
          <cell r="M1965"/>
        </row>
        <row r="1966">
          <cell r="A1966">
            <v>20231963</v>
          </cell>
          <cell r="B1966"/>
          <cell r="C1966"/>
          <cell r="D1966"/>
          <cell r="E1966"/>
          <cell r="F1966"/>
          <cell r="G1966"/>
          <cell r="H1966"/>
          <cell r="I1966"/>
          <cell r="J1966"/>
          <cell r="K1966"/>
          <cell r="L1966"/>
          <cell r="M1966"/>
        </row>
        <row r="1967">
          <cell r="A1967">
            <v>20231964</v>
          </cell>
          <cell r="B1967"/>
          <cell r="C1967"/>
          <cell r="D1967"/>
          <cell r="E1967"/>
          <cell r="F1967"/>
          <cell r="G1967"/>
          <cell r="H1967"/>
          <cell r="I1967"/>
          <cell r="J1967"/>
          <cell r="K1967"/>
          <cell r="L1967"/>
          <cell r="M1967"/>
        </row>
        <row r="1968">
          <cell r="A1968">
            <v>20231965</v>
          </cell>
          <cell r="B1968"/>
          <cell r="C1968"/>
          <cell r="D1968"/>
          <cell r="E1968"/>
          <cell r="F1968"/>
          <cell r="G1968"/>
          <cell r="H1968"/>
          <cell r="I1968"/>
          <cell r="J1968"/>
          <cell r="K1968"/>
          <cell r="L1968"/>
          <cell r="M1968"/>
        </row>
        <row r="1969">
          <cell r="A1969">
            <v>20231966</v>
          </cell>
          <cell r="B1969"/>
          <cell r="C1969"/>
          <cell r="D1969"/>
          <cell r="E1969"/>
          <cell r="F1969"/>
          <cell r="G1969"/>
          <cell r="H1969"/>
          <cell r="I1969"/>
          <cell r="J1969"/>
          <cell r="K1969"/>
          <cell r="L1969"/>
          <cell r="M1969"/>
        </row>
        <row r="1970">
          <cell r="A1970">
            <v>20231967</v>
          </cell>
          <cell r="B1970"/>
          <cell r="C1970"/>
          <cell r="D1970"/>
          <cell r="E1970"/>
          <cell r="F1970"/>
          <cell r="G1970"/>
          <cell r="H1970"/>
          <cell r="I1970"/>
          <cell r="J1970"/>
          <cell r="K1970"/>
          <cell r="L1970"/>
          <cell r="M1970"/>
        </row>
        <row r="1971">
          <cell r="A1971">
            <v>20231968</v>
          </cell>
          <cell r="B1971"/>
          <cell r="C1971"/>
          <cell r="D1971"/>
          <cell r="E1971"/>
          <cell r="F1971"/>
          <cell r="G1971"/>
          <cell r="H1971"/>
          <cell r="I1971"/>
          <cell r="J1971"/>
          <cell r="K1971"/>
          <cell r="L1971"/>
          <cell r="M1971"/>
        </row>
        <row r="1972">
          <cell r="A1972">
            <v>20231969</v>
          </cell>
          <cell r="B1972"/>
          <cell r="C1972"/>
          <cell r="D1972"/>
          <cell r="E1972"/>
          <cell r="F1972"/>
          <cell r="G1972"/>
          <cell r="H1972"/>
          <cell r="I1972"/>
          <cell r="J1972"/>
          <cell r="K1972"/>
          <cell r="L1972"/>
          <cell r="M1972"/>
        </row>
        <row r="1973">
          <cell r="A1973">
            <v>20231970</v>
          </cell>
          <cell r="B1973"/>
          <cell r="C1973"/>
          <cell r="D1973"/>
          <cell r="E1973"/>
          <cell r="F1973"/>
          <cell r="G1973"/>
          <cell r="H1973"/>
          <cell r="I1973"/>
          <cell r="J1973"/>
          <cell r="K1973"/>
          <cell r="L1973"/>
          <cell r="M1973"/>
        </row>
        <row r="1974">
          <cell r="A1974">
            <v>20231971</v>
          </cell>
          <cell r="B1974"/>
          <cell r="C1974"/>
          <cell r="D1974"/>
          <cell r="E1974"/>
          <cell r="F1974"/>
          <cell r="G1974"/>
          <cell r="H1974"/>
          <cell r="I1974"/>
          <cell r="J1974"/>
          <cell r="K1974"/>
          <cell r="L1974"/>
          <cell r="M1974"/>
        </row>
        <row r="1975">
          <cell r="A1975">
            <v>20231972</v>
          </cell>
          <cell r="B1975"/>
          <cell r="C1975"/>
          <cell r="D1975"/>
          <cell r="E1975"/>
          <cell r="F1975"/>
          <cell r="G1975"/>
          <cell r="H1975"/>
          <cell r="I1975"/>
          <cell r="J1975"/>
          <cell r="K1975"/>
          <cell r="L1975"/>
          <cell r="M1975"/>
        </row>
        <row r="1976">
          <cell r="A1976">
            <v>20231973</v>
          </cell>
          <cell r="B1976"/>
          <cell r="C1976"/>
          <cell r="D1976"/>
          <cell r="E1976"/>
          <cell r="F1976"/>
          <cell r="G1976"/>
          <cell r="H1976"/>
          <cell r="I1976"/>
          <cell r="J1976"/>
          <cell r="K1976"/>
          <cell r="L1976"/>
          <cell r="M1976"/>
        </row>
        <row r="1977">
          <cell r="A1977">
            <v>20231974</v>
          </cell>
          <cell r="B1977"/>
          <cell r="C1977"/>
          <cell r="D1977"/>
          <cell r="E1977"/>
          <cell r="F1977"/>
          <cell r="G1977"/>
          <cell r="H1977"/>
          <cell r="I1977"/>
          <cell r="J1977"/>
          <cell r="K1977"/>
          <cell r="L1977"/>
          <cell r="M1977"/>
        </row>
        <row r="1978">
          <cell r="A1978">
            <v>20231975</v>
          </cell>
          <cell r="B1978"/>
          <cell r="C1978"/>
          <cell r="D1978"/>
          <cell r="E1978"/>
          <cell r="F1978"/>
          <cell r="G1978"/>
          <cell r="H1978"/>
          <cell r="I1978"/>
          <cell r="J1978"/>
          <cell r="K1978"/>
          <cell r="L1978"/>
          <cell r="M1978"/>
        </row>
        <row r="1979">
          <cell r="A1979">
            <v>20231976</v>
          </cell>
          <cell r="B1979"/>
          <cell r="C1979"/>
          <cell r="D1979"/>
          <cell r="E1979"/>
          <cell r="F1979"/>
          <cell r="G1979"/>
          <cell r="H1979"/>
          <cell r="I1979"/>
          <cell r="J1979"/>
          <cell r="K1979"/>
          <cell r="L1979"/>
          <cell r="M1979"/>
        </row>
        <row r="1980">
          <cell r="A1980">
            <v>20231977</v>
          </cell>
          <cell r="B1980"/>
          <cell r="C1980"/>
          <cell r="D1980"/>
          <cell r="E1980"/>
          <cell r="F1980"/>
          <cell r="G1980"/>
          <cell r="H1980"/>
          <cell r="I1980"/>
          <cell r="J1980"/>
          <cell r="K1980"/>
          <cell r="L1980"/>
          <cell r="M1980"/>
        </row>
        <row r="1981">
          <cell r="A1981">
            <v>20231978</v>
          </cell>
          <cell r="B1981"/>
          <cell r="C1981"/>
          <cell r="D1981"/>
          <cell r="E1981"/>
          <cell r="F1981"/>
          <cell r="G1981"/>
          <cell r="H1981"/>
          <cell r="I1981"/>
          <cell r="J1981"/>
          <cell r="K1981"/>
          <cell r="L1981"/>
          <cell r="M1981"/>
        </row>
        <row r="1982">
          <cell r="A1982">
            <v>20231979</v>
          </cell>
          <cell r="B1982"/>
          <cell r="C1982"/>
          <cell r="D1982"/>
          <cell r="E1982"/>
          <cell r="F1982"/>
          <cell r="G1982"/>
          <cell r="H1982"/>
          <cell r="I1982"/>
          <cell r="J1982"/>
          <cell r="K1982"/>
          <cell r="L1982"/>
          <cell r="M1982"/>
        </row>
        <row r="1983">
          <cell r="A1983">
            <v>20231980</v>
          </cell>
          <cell r="B1983"/>
          <cell r="C1983"/>
          <cell r="D1983"/>
          <cell r="E1983"/>
          <cell r="F1983"/>
          <cell r="G1983"/>
          <cell r="H1983"/>
          <cell r="I1983"/>
          <cell r="J1983"/>
          <cell r="K1983"/>
          <cell r="L1983"/>
          <cell r="M1983"/>
        </row>
        <row r="1984">
          <cell r="A1984">
            <v>20231981</v>
          </cell>
          <cell r="B1984"/>
          <cell r="C1984"/>
          <cell r="D1984"/>
          <cell r="E1984"/>
          <cell r="F1984"/>
          <cell r="G1984"/>
          <cell r="H1984"/>
          <cell r="I1984"/>
          <cell r="J1984"/>
          <cell r="K1984"/>
          <cell r="L1984"/>
          <cell r="M1984"/>
        </row>
        <row r="1985">
          <cell r="A1985">
            <v>20231982</v>
          </cell>
          <cell r="B1985"/>
          <cell r="C1985"/>
          <cell r="D1985"/>
          <cell r="E1985"/>
          <cell r="F1985"/>
          <cell r="G1985"/>
          <cell r="H1985"/>
          <cell r="I1985"/>
          <cell r="J1985"/>
          <cell r="K1985"/>
          <cell r="L1985"/>
          <cell r="M1985"/>
        </row>
        <row r="1986">
          <cell r="A1986">
            <v>20231983</v>
          </cell>
          <cell r="B1986"/>
          <cell r="C1986"/>
          <cell r="D1986"/>
          <cell r="E1986"/>
          <cell r="F1986"/>
          <cell r="G1986"/>
          <cell r="H1986"/>
          <cell r="I1986"/>
          <cell r="J1986"/>
          <cell r="K1986"/>
          <cell r="L1986"/>
          <cell r="M1986"/>
        </row>
        <row r="1987">
          <cell r="A1987">
            <v>20231984</v>
          </cell>
          <cell r="B1987"/>
          <cell r="C1987"/>
          <cell r="D1987"/>
          <cell r="E1987"/>
          <cell r="F1987"/>
          <cell r="G1987"/>
          <cell r="H1987"/>
          <cell r="I1987"/>
          <cell r="J1987"/>
          <cell r="K1987"/>
          <cell r="L1987"/>
          <cell r="M1987"/>
        </row>
        <row r="1988">
          <cell r="A1988">
            <v>20231985</v>
          </cell>
          <cell r="B1988"/>
          <cell r="C1988"/>
          <cell r="D1988"/>
          <cell r="E1988"/>
          <cell r="F1988"/>
          <cell r="G1988"/>
          <cell r="H1988"/>
          <cell r="I1988"/>
          <cell r="J1988"/>
          <cell r="K1988"/>
          <cell r="L1988"/>
          <cell r="M1988"/>
        </row>
        <row r="1989">
          <cell r="A1989">
            <v>20231986</v>
          </cell>
          <cell r="B1989"/>
          <cell r="C1989"/>
          <cell r="D1989"/>
          <cell r="E1989"/>
          <cell r="F1989"/>
          <cell r="G1989"/>
          <cell r="H1989"/>
          <cell r="I1989"/>
          <cell r="J1989"/>
          <cell r="K1989"/>
          <cell r="L1989"/>
          <cell r="M1989"/>
        </row>
        <row r="1990">
          <cell r="A1990">
            <v>20231987</v>
          </cell>
          <cell r="B1990"/>
          <cell r="C1990"/>
          <cell r="D1990"/>
          <cell r="E1990"/>
          <cell r="F1990"/>
          <cell r="G1990"/>
          <cell r="H1990"/>
          <cell r="I1990"/>
          <cell r="J1990"/>
          <cell r="K1990"/>
          <cell r="L1990"/>
          <cell r="M1990"/>
        </row>
        <row r="1991">
          <cell r="A1991">
            <v>20231988</v>
          </cell>
          <cell r="B1991"/>
          <cell r="C1991"/>
          <cell r="D1991"/>
          <cell r="E1991"/>
          <cell r="F1991"/>
          <cell r="G1991"/>
          <cell r="H1991"/>
          <cell r="I1991"/>
          <cell r="J1991"/>
          <cell r="K1991"/>
          <cell r="L1991"/>
          <cell r="M1991"/>
        </row>
        <row r="1992">
          <cell r="A1992">
            <v>20231989</v>
          </cell>
          <cell r="B1992"/>
          <cell r="C1992"/>
          <cell r="D1992"/>
          <cell r="E1992"/>
          <cell r="F1992"/>
          <cell r="G1992"/>
          <cell r="H1992"/>
          <cell r="I1992"/>
          <cell r="J1992"/>
          <cell r="K1992"/>
          <cell r="L1992"/>
          <cell r="M1992"/>
        </row>
        <row r="1993">
          <cell r="A1993">
            <v>20231990</v>
          </cell>
          <cell r="B1993"/>
          <cell r="C1993"/>
          <cell r="D1993"/>
          <cell r="E1993"/>
          <cell r="F1993"/>
          <cell r="G1993"/>
          <cell r="H1993"/>
          <cell r="I1993"/>
          <cell r="J1993"/>
          <cell r="K1993"/>
          <cell r="L1993"/>
          <cell r="M1993"/>
        </row>
        <row r="1994">
          <cell r="A1994">
            <v>20231991</v>
          </cell>
          <cell r="B1994"/>
          <cell r="C1994"/>
          <cell r="D1994"/>
          <cell r="E1994"/>
          <cell r="F1994"/>
          <cell r="G1994"/>
          <cell r="H1994"/>
          <cell r="I1994"/>
          <cell r="J1994"/>
          <cell r="K1994"/>
          <cell r="L1994"/>
          <cell r="M1994"/>
        </row>
        <row r="1995">
          <cell r="A1995">
            <v>20231992</v>
          </cell>
          <cell r="B1995"/>
          <cell r="C1995"/>
          <cell r="D1995"/>
          <cell r="E1995"/>
          <cell r="F1995"/>
          <cell r="G1995"/>
          <cell r="H1995"/>
          <cell r="I1995"/>
          <cell r="J1995"/>
          <cell r="K1995"/>
          <cell r="L1995"/>
          <cell r="M1995"/>
        </row>
        <row r="1996">
          <cell r="A1996">
            <v>20231993</v>
          </cell>
          <cell r="B1996"/>
          <cell r="C1996"/>
          <cell r="D1996"/>
          <cell r="E1996"/>
          <cell r="F1996"/>
          <cell r="G1996"/>
          <cell r="H1996"/>
          <cell r="I1996"/>
          <cell r="J1996"/>
          <cell r="K1996"/>
          <cell r="L1996"/>
          <cell r="M1996"/>
        </row>
        <row r="1997">
          <cell r="A1997">
            <v>20231994</v>
          </cell>
          <cell r="B1997"/>
          <cell r="C1997"/>
          <cell r="D1997"/>
          <cell r="E1997"/>
          <cell r="F1997"/>
          <cell r="G1997"/>
          <cell r="H1997"/>
          <cell r="I1997"/>
          <cell r="J1997"/>
          <cell r="K1997"/>
          <cell r="L1997"/>
          <cell r="M1997"/>
        </row>
        <row r="1998">
          <cell r="A1998">
            <v>20231995</v>
          </cell>
          <cell r="B1998"/>
          <cell r="C1998"/>
          <cell r="D1998"/>
          <cell r="E1998"/>
          <cell r="F1998"/>
          <cell r="G1998"/>
          <cell r="H1998"/>
          <cell r="I1998"/>
          <cell r="J1998"/>
          <cell r="K1998"/>
          <cell r="L1998"/>
          <cell r="M1998"/>
        </row>
        <row r="1999">
          <cell r="A1999">
            <v>20231996</v>
          </cell>
          <cell r="B1999"/>
          <cell r="C1999"/>
          <cell r="D1999"/>
          <cell r="E1999"/>
          <cell r="F1999"/>
          <cell r="G1999"/>
          <cell r="H1999"/>
          <cell r="I1999"/>
          <cell r="J1999"/>
          <cell r="K1999"/>
          <cell r="L1999"/>
          <cell r="M1999"/>
        </row>
        <row r="2000">
          <cell r="A2000">
            <v>20231997</v>
          </cell>
          <cell r="B2000"/>
          <cell r="C2000"/>
          <cell r="D2000"/>
          <cell r="E2000"/>
          <cell r="F2000"/>
          <cell r="G2000"/>
          <cell r="H2000"/>
          <cell r="I2000"/>
          <cell r="J2000"/>
          <cell r="K2000"/>
          <cell r="L2000"/>
          <cell r="M2000"/>
        </row>
        <row r="2001">
          <cell r="A2001">
            <v>20231998</v>
          </cell>
          <cell r="B2001"/>
          <cell r="C2001"/>
          <cell r="D2001"/>
          <cell r="E2001"/>
          <cell r="F2001"/>
          <cell r="G2001"/>
          <cell r="H2001"/>
          <cell r="I2001"/>
          <cell r="J2001"/>
          <cell r="K2001"/>
          <cell r="L2001"/>
          <cell r="M2001"/>
        </row>
        <row r="2002">
          <cell r="A2002">
            <v>20231999</v>
          </cell>
          <cell r="B2002"/>
          <cell r="C2002"/>
          <cell r="D2002"/>
          <cell r="E2002"/>
          <cell r="F2002"/>
          <cell r="G2002"/>
          <cell r="H2002"/>
          <cell r="I2002"/>
          <cell r="J2002"/>
          <cell r="K2002"/>
          <cell r="L2002"/>
          <cell r="M2002"/>
        </row>
        <row r="2003">
          <cell r="A2003">
            <v>20232000</v>
          </cell>
          <cell r="B2003"/>
          <cell r="C2003"/>
          <cell r="D2003"/>
          <cell r="E2003"/>
          <cell r="F2003"/>
          <cell r="G2003"/>
          <cell r="H2003"/>
          <cell r="I2003"/>
          <cell r="J2003"/>
          <cell r="K2003"/>
          <cell r="L2003"/>
          <cell r="M2003"/>
        </row>
        <row r="2004">
          <cell r="A2004">
            <v>20232001</v>
          </cell>
          <cell r="B2004"/>
          <cell r="C2004"/>
          <cell r="D2004"/>
          <cell r="E2004"/>
          <cell r="F2004"/>
          <cell r="G2004"/>
          <cell r="H2004"/>
          <cell r="I2004"/>
          <cell r="J2004"/>
          <cell r="K2004"/>
          <cell r="L2004"/>
          <cell r="M2004"/>
        </row>
        <row r="2005">
          <cell r="A2005">
            <v>20232002</v>
          </cell>
          <cell r="B2005"/>
          <cell r="C2005"/>
          <cell r="D2005"/>
          <cell r="E2005"/>
          <cell r="F2005"/>
          <cell r="G2005"/>
          <cell r="H2005"/>
          <cell r="I2005"/>
          <cell r="J2005"/>
          <cell r="K2005"/>
          <cell r="L2005"/>
          <cell r="M2005"/>
        </row>
        <row r="2006">
          <cell r="A2006">
            <v>20232003</v>
          </cell>
          <cell r="B2006"/>
          <cell r="C2006"/>
          <cell r="D2006"/>
          <cell r="E2006"/>
          <cell r="F2006"/>
          <cell r="G2006"/>
          <cell r="H2006"/>
          <cell r="I2006"/>
          <cell r="J2006"/>
          <cell r="K2006"/>
          <cell r="L2006"/>
          <cell r="M2006"/>
        </row>
        <row r="2007">
          <cell r="A2007">
            <v>20232004</v>
          </cell>
          <cell r="B2007"/>
          <cell r="C2007"/>
          <cell r="D2007"/>
          <cell r="E2007"/>
          <cell r="F2007"/>
          <cell r="G2007"/>
          <cell r="H2007"/>
          <cell r="I2007"/>
          <cell r="J2007"/>
          <cell r="K2007"/>
          <cell r="L2007"/>
          <cell r="M2007"/>
        </row>
        <row r="2008">
          <cell r="A2008">
            <v>20232005</v>
          </cell>
          <cell r="B2008"/>
          <cell r="C2008"/>
          <cell r="D2008"/>
          <cell r="E2008"/>
          <cell r="F2008"/>
          <cell r="G2008"/>
          <cell r="H2008"/>
          <cell r="I2008"/>
          <cell r="J2008"/>
          <cell r="K2008"/>
          <cell r="L2008"/>
          <cell r="M2008"/>
        </row>
        <row r="2009">
          <cell r="A2009">
            <v>20232006</v>
          </cell>
          <cell r="B2009"/>
          <cell r="C2009"/>
          <cell r="D2009"/>
          <cell r="E2009"/>
          <cell r="F2009"/>
          <cell r="G2009"/>
          <cell r="H2009"/>
          <cell r="I2009"/>
          <cell r="J2009"/>
          <cell r="K2009"/>
          <cell r="L2009"/>
          <cell r="M2009"/>
        </row>
        <row r="2010">
          <cell r="A2010">
            <v>20232007</v>
          </cell>
          <cell r="B2010"/>
          <cell r="C2010"/>
          <cell r="D2010"/>
          <cell r="E2010"/>
          <cell r="F2010"/>
          <cell r="G2010"/>
          <cell r="H2010"/>
          <cell r="I2010"/>
          <cell r="J2010"/>
          <cell r="K2010"/>
          <cell r="L2010"/>
          <cell r="M2010"/>
        </row>
        <row r="2011">
          <cell r="A2011">
            <v>20232008</v>
          </cell>
          <cell r="B2011"/>
          <cell r="C2011"/>
          <cell r="D2011"/>
          <cell r="E2011"/>
          <cell r="F2011"/>
          <cell r="G2011"/>
          <cell r="H2011"/>
          <cell r="I2011"/>
          <cell r="J2011"/>
          <cell r="K2011"/>
          <cell r="L2011"/>
          <cell r="M2011"/>
        </row>
        <row r="2012">
          <cell r="A2012">
            <v>20232009</v>
          </cell>
          <cell r="B2012"/>
          <cell r="C2012"/>
          <cell r="D2012"/>
          <cell r="E2012"/>
          <cell r="F2012"/>
          <cell r="G2012"/>
          <cell r="H2012"/>
          <cell r="I2012"/>
          <cell r="J2012"/>
          <cell r="K2012"/>
          <cell r="L2012"/>
          <cell r="M2012"/>
        </row>
        <row r="2013">
          <cell r="A2013">
            <v>20232010</v>
          </cell>
          <cell r="B2013"/>
          <cell r="C2013"/>
          <cell r="D2013"/>
          <cell r="E2013"/>
          <cell r="F2013"/>
          <cell r="G2013"/>
          <cell r="H2013"/>
          <cell r="I2013"/>
          <cell r="J2013"/>
          <cell r="K2013"/>
          <cell r="L2013"/>
          <cell r="M2013"/>
        </row>
        <row r="2014">
          <cell r="A2014">
            <v>20232011</v>
          </cell>
          <cell r="B2014"/>
          <cell r="C2014"/>
          <cell r="D2014"/>
          <cell r="E2014"/>
          <cell r="F2014"/>
          <cell r="G2014"/>
          <cell r="H2014"/>
          <cell r="I2014"/>
          <cell r="J2014"/>
          <cell r="K2014"/>
          <cell r="L2014"/>
          <cell r="M2014"/>
        </row>
        <row r="2015">
          <cell r="A2015">
            <v>20232012</v>
          </cell>
          <cell r="B2015"/>
          <cell r="C2015"/>
          <cell r="D2015"/>
          <cell r="E2015"/>
          <cell r="F2015"/>
          <cell r="G2015"/>
          <cell r="H2015"/>
          <cell r="I2015"/>
          <cell r="J2015"/>
          <cell r="K2015"/>
          <cell r="L2015"/>
          <cell r="M2015"/>
        </row>
        <row r="2016">
          <cell r="A2016">
            <v>20232013</v>
          </cell>
          <cell r="B2016"/>
          <cell r="C2016"/>
          <cell r="D2016"/>
          <cell r="E2016"/>
          <cell r="F2016"/>
          <cell r="G2016"/>
          <cell r="H2016"/>
          <cell r="I2016"/>
          <cell r="J2016"/>
          <cell r="K2016"/>
          <cell r="L2016"/>
          <cell r="M2016"/>
        </row>
        <row r="2017">
          <cell r="A2017">
            <v>20232014</v>
          </cell>
          <cell r="B2017"/>
          <cell r="C2017"/>
          <cell r="D2017"/>
          <cell r="E2017"/>
          <cell r="F2017"/>
          <cell r="G2017"/>
          <cell r="H2017"/>
          <cell r="I2017"/>
          <cell r="J2017"/>
          <cell r="K2017"/>
          <cell r="L2017"/>
          <cell r="M2017"/>
        </row>
        <row r="2018">
          <cell r="A2018">
            <v>20232015</v>
          </cell>
          <cell r="B2018"/>
          <cell r="C2018"/>
          <cell r="D2018"/>
          <cell r="E2018"/>
          <cell r="F2018"/>
          <cell r="G2018"/>
          <cell r="H2018"/>
          <cell r="I2018"/>
          <cell r="J2018"/>
          <cell r="K2018"/>
          <cell r="L2018"/>
          <cell r="M2018"/>
        </row>
        <row r="2019">
          <cell r="A2019">
            <v>20232016</v>
          </cell>
          <cell r="B2019"/>
          <cell r="C2019"/>
          <cell r="D2019"/>
          <cell r="E2019"/>
          <cell r="F2019"/>
          <cell r="G2019"/>
          <cell r="H2019"/>
          <cell r="I2019"/>
          <cell r="J2019"/>
          <cell r="K2019"/>
          <cell r="L2019"/>
          <cell r="M2019"/>
        </row>
        <row r="2020">
          <cell r="A2020">
            <v>20232017</v>
          </cell>
          <cell r="B2020"/>
          <cell r="C2020"/>
          <cell r="D2020"/>
          <cell r="E2020"/>
          <cell r="F2020"/>
          <cell r="G2020"/>
          <cell r="H2020"/>
          <cell r="I2020"/>
          <cell r="J2020"/>
          <cell r="K2020"/>
          <cell r="L2020"/>
          <cell r="M2020"/>
        </row>
        <row r="2021">
          <cell r="A2021">
            <v>20232018</v>
          </cell>
          <cell r="B2021"/>
          <cell r="C2021"/>
          <cell r="D2021"/>
          <cell r="E2021"/>
          <cell r="F2021"/>
          <cell r="G2021"/>
          <cell r="H2021"/>
          <cell r="I2021"/>
          <cell r="J2021"/>
          <cell r="K2021"/>
          <cell r="L2021"/>
          <cell r="M2021"/>
        </row>
        <row r="2022">
          <cell r="A2022">
            <v>20232019</v>
          </cell>
          <cell r="B2022"/>
          <cell r="C2022"/>
          <cell r="D2022"/>
          <cell r="E2022"/>
          <cell r="F2022"/>
          <cell r="G2022"/>
          <cell r="H2022"/>
          <cell r="I2022"/>
          <cell r="J2022"/>
          <cell r="K2022"/>
          <cell r="L2022"/>
          <cell r="M2022"/>
        </row>
        <row r="2023">
          <cell r="A2023">
            <v>20232020</v>
          </cell>
          <cell r="B2023"/>
          <cell r="C2023"/>
          <cell r="D2023"/>
          <cell r="E2023"/>
          <cell r="F2023"/>
          <cell r="G2023"/>
          <cell r="H2023"/>
          <cell r="I2023"/>
          <cell r="J2023"/>
          <cell r="K2023"/>
          <cell r="L2023"/>
          <cell r="M2023"/>
        </row>
        <row r="2024">
          <cell r="A2024">
            <v>20232021</v>
          </cell>
          <cell r="B2024"/>
          <cell r="C2024"/>
          <cell r="D2024"/>
          <cell r="E2024"/>
          <cell r="F2024"/>
          <cell r="G2024"/>
          <cell r="H2024"/>
          <cell r="I2024"/>
          <cell r="J2024"/>
          <cell r="K2024"/>
          <cell r="L2024"/>
          <cell r="M2024"/>
        </row>
        <row r="2025">
          <cell r="A2025">
            <v>20232022</v>
          </cell>
          <cell r="B2025"/>
          <cell r="C2025"/>
          <cell r="D2025"/>
          <cell r="E2025"/>
          <cell r="F2025"/>
          <cell r="G2025"/>
          <cell r="H2025"/>
          <cell r="I2025"/>
          <cell r="J2025"/>
          <cell r="K2025"/>
          <cell r="L2025"/>
          <cell r="M2025"/>
        </row>
        <row r="2026">
          <cell r="A2026">
            <v>20232023</v>
          </cell>
          <cell r="B2026"/>
          <cell r="C2026"/>
          <cell r="D2026"/>
          <cell r="E2026"/>
          <cell r="F2026"/>
          <cell r="G2026"/>
          <cell r="H2026"/>
          <cell r="I2026"/>
          <cell r="J2026"/>
          <cell r="K2026"/>
          <cell r="L2026"/>
          <cell r="M2026"/>
        </row>
        <row r="2027">
          <cell r="A2027">
            <v>20232024</v>
          </cell>
          <cell r="B2027"/>
          <cell r="C2027"/>
          <cell r="D2027"/>
          <cell r="E2027"/>
          <cell r="F2027"/>
          <cell r="G2027"/>
          <cell r="H2027"/>
          <cell r="I2027"/>
          <cell r="J2027"/>
          <cell r="K2027"/>
          <cell r="L2027"/>
          <cell r="M2027"/>
        </row>
        <row r="2028">
          <cell r="A2028">
            <v>20232025</v>
          </cell>
          <cell r="B2028"/>
          <cell r="C2028"/>
          <cell r="D2028"/>
          <cell r="E2028"/>
          <cell r="F2028"/>
          <cell r="G2028"/>
          <cell r="H2028"/>
          <cell r="I2028"/>
          <cell r="J2028"/>
          <cell r="K2028"/>
          <cell r="L2028"/>
          <cell r="M2028"/>
        </row>
        <row r="2029">
          <cell r="A2029">
            <v>20232026</v>
          </cell>
          <cell r="B2029"/>
          <cell r="C2029"/>
          <cell r="D2029"/>
          <cell r="E2029"/>
          <cell r="F2029"/>
          <cell r="G2029"/>
          <cell r="H2029"/>
          <cell r="I2029"/>
          <cell r="J2029"/>
          <cell r="K2029"/>
          <cell r="L2029"/>
          <cell r="M2029"/>
        </row>
        <row r="2030">
          <cell r="A2030">
            <v>20232027</v>
          </cell>
          <cell r="B2030"/>
          <cell r="C2030"/>
          <cell r="D2030"/>
          <cell r="E2030"/>
          <cell r="F2030"/>
          <cell r="G2030"/>
          <cell r="H2030"/>
          <cell r="I2030"/>
          <cell r="J2030"/>
          <cell r="K2030"/>
          <cell r="L2030"/>
          <cell r="M2030"/>
        </row>
        <row r="2031">
          <cell r="A2031">
            <v>20232028</v>
          </cell>
          <cell r="B2031"/>
          <cell r="C2031"/>
          <cell r="D2031"/>
          <cell r="E2031"/>
          <cell r="F2031"/>
          <cell r="G2031"/>
          <cell r="H2031"/>
          <cell r="I2031"/>
          <cell r="J2031"/>
          <cell r="K2031"/>
          <cell r="L2031"/>
          <cell r="M2031"/>
        </row>
        <row r="2032">
          <cell r="A2032">
            <v>20232029</v>
          </cell>
          <cell r="B2032"/>
          <cell r="C2032"/>
          <cell r="D2032"/>
          <cell r="E2032"/>
          <cell r="F2032"/>
          <cell r="G2032"/>
          <cell r="H2032"/>
          <cell r="I2032"/>
          <cell r="J2032"/>
          <cell r="K2032"/>
          <cell r="L2032"/>
          <cell r="M2032"/>
        </row>
        <row r="2033">
          <cell r="A2033">
            <v>20232030</v>
          </cell>
          <cell r="B2033"/>
          <cell r="C2033"/>
          <cell r="D2033"/>
          <cell r="E2033"/>
          <cell r="F2033"/>
          <cell r="G2033"/>
          <cell r="H2033"/>
          <cell r="I2033"/>
          <cell r="J2033"/>
          <cell r="K2033"/>
          <cell r="L2033"/>
          <cell r="M2033"/>
        </row>
        <row r="2034">
          <cell r="A2034">
            <v>20232031</v>
          </cell>
          <cell r="B2034"/>
          <cell r="C2034"/>
          <cell r="D2034"/>
          <cell r="E2034"/>
          <cell r="F2034"/>
          <cell r="G2034"/>
          <cell r="H2034"/>
          <cell r="I2034"/>
          <cell r="J2034"/>
          <cell r="K2034"/>
          <cell r="L2034"/>
          <cell r="M2034"/>
        </row>
        <row r="2035">
          <cell r="A2035">
            <v>20232032</v>
          </cell>
          <cell r="B2035"/>
          <cell r="C2035"/>
          <cell r="D2035"/>
          <cell r="E2035"/>
          <cell r="F2035"/>
          <cell r="G2035"/>
          <cell r="H2035"/>
          <cell r="I2035"/>
          <cell r="J2035"/>
          <cell r="K2035"/>
          <cell r="L2035"/>
          <cell r="M2035"/>
        </row>
        <row r="2036">
          <cell r="A2036">
            <v>20232033</v>
          </cell>
          <cell r="B2036"/>
          <cell r="C2036"/>
          <cell r="D2036"/>
          <cell r="E2036"/>
          <cell r="F2036"/>
          <cell r="G2036"/>
          <cell r="H2036"/>
          <cell r="I2036"/>
          <cell r="J2036"/>
          <cell r="K2036"/>
          <cell r="L2036"/>
          <cell r="M2036"/>
        </row>
        <row r="2037">
          <cell r="A2037">
            <v>20232034</v>
          </cell>
          <cell r="B2037"/>
          <cell r="C2037"/>
          <cell r="D2037"/>
          <cell r="E2037"/>
          <cell r="F2037"/>
          <cell r="G2037"/>
          <cell r="H2037"/>
          <cell r="I2037"/>
          <cell r="J2037"/>
          <cell r="K2037"/>
          <cell r="L2037"/>
          <cell r="M2037"/>
        </row>
        <row r="2038">
          <cell r="A2038">
            <v>20232035</v>
          </cell>
          <cell r="B2038"/>
          <cell r="C2038"/>
          <cell r="D2038"/>
          <cell r="E2038"/>
          <cell r="F2038"/>
          <cell r="G2038"/>
          <cell r="H2038"/>
          <cell r="I2038"/>
          <cell r="J2038"/>
          <cell r="K2038"/>
          <cell r="L2038"/>
          <cell r="M2038"/>
        </row>
        <row r="2039">
          <cell r="A2039">
            <v>20232036</v>
          </cell>
          <cell r="B2039"/>
          <cell r="C2039"/>
          <cell r="D2039"/>
          <cell r="E2039"/>
          <cell r="F2039"/>
          <cell r="G2039"/>
          <cell r="H2039"/>
          <cell r="I2039"/>
          <cell r="J2039"/>
          <cell r="K2039"/>
          <cell r="L2039"/>
          <cell r="M2039"/>
        </row>
        <row r="2040">
          <cell r="A2040">
            <v>20232037</v>
          </cell>
          <cell r="B2040"/>
          <cell r="C2040"/>
          <cell r="D2040"/>
          <cell r="E2040"/>
          <cell r="F2040"/>
          <cell r="G2040"/>
          <cell r="H2040"/>
          <cell r="I2040"/>
          <cell r="J2040"/>
          <cell r="K2040"/>
          <cell r="L2040"/>
          <cell r="M2040"/>
        </row>
        <row r="2041">
          <cell r="A2041">
            <v>20232038</v>
          </cell>
          <cell r="B2041"/>
          <cell r="C2041"/>
          <cell r="D2041"/>
          <cell r="E2041"/>
          <cell r="F2041"/>
          <cell r="G2041"/>
          <cell r="H2041"/>
          <cell r="I2041"/>
          <cell r="J2041"/>
          <cell r="K2041"/>
          <cell r="L2041"/>
          <cell r="M2041"/>
        </row>
        <row r="2042">
          <cell r="A2042">
            <v>20232039</v>
          </cell>
          <cell r="B2042"/>
          <cell r="C2042"/>
          <cell r="D2042"/>
          <cell r="E2042"/>
          <cell r="F2042"/>
          <cell r="G2042"/>
          <cell r="H2042"/>
          <cell r="I2042"/>
          <cell r="J2042"/>
          <cell r="K2042"/>
          <cell r="L2042"/>
          <cell r="M2042"/>
        </row>
        <row r="2043">
          <cell r="A2043">
            <v>20232040</v>
          </cell>
          <cell r="B2043"/>
          <cell r="C2043"/>
          <cell r="D2043"/>
          <cell r="E2043"/>
          <cell r="F2043"/>
          <cell r="G2043"/>
          <cell r="H2043"/>
          <cell r="I2043"/>
          <cell r="J2043"/>
          <cell r="K2043"/>
          <cell r="L2043"/>
          <cell r="M2043"/>
        </row>
        <row r="2044">
          <cell r="A2044">
            <v>20232041</v>
          </cell>
          <cell r="B2044"/>
          <cell r="C2044"/>
          <cell r="D2044"/>
          <cell r="E2044"/>
          <cell r="F2044"/>
          <cell r="G2044"/>
          <cell r="H2044"/>
          <cell r="I2044"/>
          <cell r="J2044"/>
          <cell r="K2044"/>
          <cell r="L2044"/>
          <cell r="M2044"/>
        </row>
        <row r="2045">
          <cell r="A2045">
            <v>20232042</v>
          </cell>
          <cell r="B2045"/>
          <cell r="C2045"/>
          <cell r="D2045"/>
          <cell r="E2045"/>
          <cell r="F2045"/>
          <cell r="G2045"/>
          <cell r="H2045"/>
          <cell r="I2045"/>
          <cell r="J2045"/>
          <cell r="K2045"/>
          <cell r="L2045"/>
          <cell r="M2045"/>
        </row>
        <row r="2046">
          <cell r="A2046">
            <v>20232043</v>
          </cell>
          <cell r="B2046"/>
          <cell r="C2046"/>
          <cell r="D2046"/>
          <cell r="E2046"/>
          <cell r="F2046"/>
          <cell r="G2046"/>
          <cell r="H2046"/>
          <cell r="I2046"/>
          <cell r="J2046"/>
          <cell r="K2046"/>
          <cell r="L2046"/>
          <cell r="M2046"/>
        </row>
        <row r="2047">
          <cell r="A2047">
            <v>20232044</v>
          </cell>
          <cell r="B2047"/>
          <cell r="C2047"/>
          <cell r="D2047"/>
          <cell r="E2047"/>
          <cell r="F2047"/>
          <cell r="G2047"/>
          <cell r="H2047"/>
          <cell r="I2047"/>
          <cell r="J2047"/>
          <cell r="K2047"/>
          <cell r="L2047"/>
          <cell r="M2047"/>
        </row>
        <row r="2048">
          <cell r="A2048">
            <v>20232045</v>
          </cell>
          <cell r="B2048"/>
          <cell r="C2048"/>
          <cell r="D2048"/>
          <cell r="E2048"/>
          <cell r="F2048"/>
          <cell r="G2048"/>
          <cell r="H2048"/>
          <cell r="I2048"/>
          <cell r="J2048"/>
          <cell r="K2048"/>
          <cell r="L2048"/>
          <cell r="M2048"/>
        </row>
        <row r="2049">
          <cell r="A2049">
            <v>20232046</v>
          </cell>
          <cell r="B2049"/>
          <cell r="C2049"/>
          <cell r="D2049"/>
          <cell r="E2049"/>
          <cell r="F2049"/>
          <cell r="G2049"/>
          <cell r="H2049"/>
          <cell r="I2049"/>
          <cell r="J2049"/>
          <cell r="K2049"/>
          <cell r="L2049"/>
          <cell r="M2049"/>
        </row>
        <row r="2050">
          <cell r="A2050">
            <v>20232047</v>
          </cell>
          <cell r="B2050"/>
          <cell r="C2050"/>
          <cell r="D2050"/>
          <cell r="E2050"/>
          <cell r="F2050"/>
          <cell r="G2050"/>
          <cell r="H2050"/>
          <cell r="I2050"/>
          <cell r="J2050"/>
          <cell r="K2050"/>
          <cell r="L2050"/>
          <cell r="M2050"/>
        </row>
        <row r="2051">
          <cell r="A2051">
            <v>20232048</v>
          </cell>
          <cell r="B2051"/>
          <cell r="C2051"/>
          <cell r="D2051"/>
          <cell r="E2051"/>
          <cell r="F2051"/>
          <cell r="G2051"/>
          <cell r="H2051"/>
          <cell r="I2051"/>
          <cell r="J2051"/>
          <cell r="K2051"/>
          <cell r="L2051"/>
          <cell r="M2051"/>
        </row>
        <row r="2052">
          <cell r="A2052">
            <v>20232049</v>
          </cell>
          <cell r="B2052"/>
          <cell r="C2052"/>
          <cell r="D2052"/>
          <cell r="E2052"/>
          <cell r="F2052"/>
          <cell r="G2052"/>
          <cell r="H2052"/>
          <cell r="I2052"/>
          <cell r="J2052"/>
          <cell r="K2052"/>
          <cell r="L2052"/>
          <cell r="M2052"/>
        </row>
        <row r="2053">
          <cell r="A2053">
            <v>20232050</v>
          </cell>
          <cell r="B2053"/>
          <cell r="C2053"/>
          <cell r="D2053"/>
          <cell r="E2053"/>
          <cell r="F2053"/>
          <cell r="G2053"/>
          <cell r="H2053"/>
          <cell r="I2053"/>
          <cell r="J2053"/>
          <cell r="K2053"/>
          <cell r="L2053"/>
          <cell r="M2053"/>
        </row>
        <row r="2054">
          <cell r="A2054">
            <v>20232051</v>
          </cell>
          <cell r="B2054"/>
          <cell r="C2054"/>
          <cell r="D2054"/>
          <cell r="E2054"/>
          <cell r="F2054"/>
          <cell r="G2054"/>
          <cell r="H2054"/>
          <cell r="I2054"/>
          <cell r="J2054"/>
          <cell r="K2054"/>
          <cell r="L2054"/>
          <cell r="M2054"/>
        </row>
        <row r="2055">
          <cell r="A2055">
            <v>20232052</v>
          </cell>
          <cell r="B2055"/>
          <cell r="C2055"/>
          <cell r="D2055"/>
          <cell r="E2055"/>
          <cell r="F2055"/>
          <cell r="G2055"/>
          <cell r="H2055"/>
          <cell r="I2055"/>
          <cell r="J2055"/>
          <cell r="K2055"/>
          <cell r="L2055"/>
          <cell r="M2055"/>
        </row>
        <row r="2056">
          <cell r="A2056">
            <v>20232053</v>
          </cell>
          <cell r="B2056"/>
          <cell r="C2056"/>
          <cell r="D2056"/>
          <cell r="E2056"/>
          <cell r="F2056"/>
          <cell r="G2056"/>
          <cell r="H2056"/>
          <cell r="I2056"/>
          <cell r="J2056"/>
          <cell r="K2056"/>
          <cell r="L2056"/>
          <cell r="M2056"/>
        </row>
        <row r="2057">
          <cell r="A2057">
            <v>20232054</v>
          </cell>
          <cell r="B2057"/>
          <cell r="C2057"/>
          <cell r="D2057"/>
          <cell r="E2057"/>
          <cell r="F2057"/>
          <cell r="G2057"/>
          <cell r="H2057"/>
          <cell r="I2057"/>
          <cell r="J2057"/>
          <cell r="K2057"/>
          <cell r="L2057"/>
          <cell r="M2057"/>
        </row>
        <row r="2058">
          <cell r="A2058">
            <v>20232055</v>
          </cell>
          <cell r="B2058"/>
          <cell r="C2058"/>
          <cell r="D2058"/>
          <cell r="E2058"/>
          <cell r="F2058"/>
          <cell r="G2058"/>
          <cell r="H2058"/>
          <cell r="I2058"/>
          <cell r="J2058"/>
          <cell r="K2058"/>
          <cell r="L2058"/>
          <cell r="M2058"/>
        </row>
        <row r="2059">
          <cell r="A2059">
            <v>20232056</v>
          </cell>
          <cell r="B2059"/>
          <cell r="C2059"/>
          <cell r="D2059"/>
          <cell r="E2059"/>
          <cell r="F2059"/>
          <cell r="G2059"/>
          <cell r="H2059"/>
          <cell r="I2059"/>
          <cell r="J2059"/>
          <cell r="K2059"/>
          <cell r="L2059"/>
          <cell r="M2059"/>
        </row>
        <row r="2060">
          <cell r="A2060">
            <v>20232057</v>
          </cell>
          <cell r="B2060"/>
          <cell r="C2060"/>
          <cell r="D2060"/>
          <cell r="E2060"/>
          <cell r="F2060"/>
          <cell r="G2060"/>
          <cell r="H2060"/>
          <cell r="I2060"/>
          <cell r="J2060"/>
          <cell r="K2060"/>
          <cell r="L2060"/>
          <cell r="M2060"/>
        </row>
        <row r="2061">
          <cell r="A2061">
            <v>20232058</v>
          </cell>
          <cell r="B2061"/>
          <cell r="C2061"/>
          <cell r="D2061"/>
          <cell r="E2061"/>
          <cell r="F2061"/>
          <cell r="G2061"/>
          <cell r="H2061"/>
          <cell r="I2061"/>
          <cell r="J2061"/>
          <cell r="K2061"/>
          <cell r="L2061"/>
          <cell r="M2061"/>
        </row>
        <row r="2062">
          <cell r="A2062">
            <v>20232059</v>
          </cell>
          <cell r="B2062"/>
          <cell r="C2062"/>
          <cell r="D2062"/>
          <cell r="E2062"/>
          <cell r="F2062"/>
          <cell r="G2062"/>
          <cell r="H2062"/>
          <cell r="I2062"/>
          <cell r="J2062"/>
          <cell r="K2062"/>
          <cell r="L2062"/>
          <cell r="M2062"/>
        </row>
        <row r="2063">
          <cell r="A2063">
            <v>20232060</v>
          </cell>
          <cell r="B2063"/>
          <cell r="C2063"/>
          <cell r="D2063"/>
          <cell r="E2063"/>
          <cell r="F2063"/>
          <cell r="G2063"/>
          <cell r="H2063"/>
          <cell r="I2063"/>
          <cell r="J2063"/>
          <cell r="K2063"/>
          <cell r="L2063"/>
          <cell r="M2063"/>
        </row>
        <row r="2064">
          <cell r="A2064">
            <v>20232061</v>
          </cell>
          <cell r="B2064"/>
          <cell r="C2064"/>
          <cell r="D2064"/>
          <cell r="E2064"/>
          <cell r="F2064"/>
          <cell r="G2064"/>
          <cell r="H2064"/>
          <cell r="I2064"/>
          <cell r="J2064"/>
          <cell r="K2064"/>
          <cell r="L2064"/>
          <cell r="M2064"/>
        </row>
        <row r="2065">
          <cell r="A2065">
            <v>20232062</v>
          </cell>
          <cell r="B2065"/>
          <cell r="C2065"/>
          <cell r="D2065"/>
          <cell r="E2065"/>
          <cell r="F2065"/>
          <cell r="G2065"/>
          <cell r="H2065"/>
          <cell r="I2065"/>
          <cell r="J2065"/>
          <cell r="K2065"/>
          <cell r="L2065"/>
          <cell r="M2065"/>
        </row>
        <row r="2066">
          <cell r="A2066">
            <v>20232063</v>
          </cell>
          <cell r="B2066"/>
          <cell r="C2066"/>
          <cell r="D2066"/>
          <cell r="E2066"/>
          <cell r="F2066"/>
          <cell r="G2066"/>
          <cell r="H2066"/>
          <cell r="I2066"/>
          <cell r="J2066"/>
          <cell r="K2066"/>
          <cell r="L2066"/>
          <cell r="M2066"/>
        </row>
        <row r="2067">
          <cell r="A2067">
            <v>20232064</v>
          </cell>
          <cell r="B2067"/>
          <cell r="C2067"/>
          <cell r="D2067"/>
          <cell r="E2067"/>
          <cell r="F2067"/>
          <cell r="G2067"/>
          <cell r="H2067"/>
          <cell r="I2067"/>
          <cell r="J2067"/>
          <cell r="K2067"/>
          <cell r="L2067"/>
          <cell r="M2067"/>
        </row>
        <row r="2068">
          <cell r="A2068">
            <v>20232065</v>
          </cell>
          <cell r="B2068"/>
          <cell r="C2068"/>
          <cell r="D2068"/>
          <cell r="E2068"/>
          <cell r="F2068"/>
          <cell r="G2068"/>
          <cell r="H2068"/>
          <cell r="I2068"/>
          <cell r="J2068"/>
          <cell r="K2068"/>
          <cell r="L2068"/>
          <cell r="M2068"/>
        </row>
        <row r="2069">
          <cell r="A2069">
            <v>20232066</v>
          </cell>
          <cell r="B2069"/>
          <cell r="C2069"/>
          <cell r="D2069"/>
          <cell r="E2069"/>
          <cell r="F2069"/>
          <cell r="G2069"/>
          <cell r="H2069"/>
          <cell r="I2069"/>
          <cell r="J2069"/>
          <cell r="K2069"/>
          <cell r="L2069"/>
          <cell r="M2069"/>
        </row>
        <row r="2070">
          <cell r="A2070">
            <v>20232067</v>
          </cell>
          <cell r="B2070"/>
          <cell r="C2070"/>
          <cell r="D2070"/>
          <cell r="E2070"/>
          <cell r="F2070"/>
          <cell r="G2070"/>
          <cell r="H2070"/>
          <cell r="I2070"/>
          <cell r="J2070"/>
          <cell r="K2070"/>
          <cell r="L2070"/>
          <cell r="M2070"/>
        </row>
        <row r="2071">
          <cell r="A2071">
            <v>20232068</v>
          </cell>
          <cell r="B2071"/>
          <cell r="C2071"/>
          <cell r="D2071"/>
          <cell r="E2071"/>
          <cell r="F2071"/>
          <cell r="G2071"/>
          <cell r="H2071"/>
          <cell r="I2071"/>
          <cell r="J2071"/>
          <cell r="K2071"/>
          <cell r="L2071"/>
          <cell r="M2071"/>
        </row>
        <row r="2072">
          <cell r="A2072">
            <v>20232069</v>
          </cell>
          <cell r="B2072"/>
          <cell r="C2072"/>
          <cell r="D2072"/>
          <cell r="E2072"/>
          <cell r="F2072"/>
          <cell r="G2072"/>
          <cell r="H2072"/>
          <cell r="I2072"/>
          <cell r="J2072"/>
          <cell r="K2072"/>
          <cell r="L2072"/>
          <cell r="M2072"/>
        </row>
        <row r="2073">
          <cell r="A2073">
            <v>20232070</v>
          </cell>
          <cell r="B2073"/>
          <cell r="C2073"/>
          <cell r="D2073"/>
          <cell r="E2073"/>
          <cell r="F2073"/>
          <cell r="G2073"/>
          <cell r="H2073"/>
          <cell r="I2073"/>
          <cell r="J2073"/>
          <cell r="K2073"/>
          <cell r="L2073"/>
          <cell r="M2073"/>
        </row>
        <row r="2074">
          <cell r="A2074">
            <v>20232071</v>
          </cell>
          <cell r="B2074"/>
          <cell r="C2074"/>
          <cell r="D2074"/>
          <cell r="E2074"/>
          <cell r="F2074"/>
          <cell r="G2074"/>
          <cell r="H2074"/>
          <cell r="I2074"/>
          <cell r="J2074"/>
          <cell r="K2074"/>
          <cell r="L2074"/>
          <cell r="M2074"/>
        </row>
        <row r="2075">
          <cell r="A2075">
            <v>20232072</v>
          </cell>
          <cell r="B2075"/>
          <cell r="C2075"/>
          <cell r="D2075"/>
          <cell r="E2075"/>
          <cell r="F2075"/>
          <cell r="G2075"/>
          <cell r="H2075"/>
          <cell r="I2075"/>
          <cell r="J2075"/>
          <cell r="K2075"/>
          <cell r="L2075"/>
          <cell r="M2075"/>
        </row>
        <row r="2076">
          <cell r="A2076">
            <v>20232073</v>
          </cell>
          <cell r="B2076"/>
          <cell r="C2076"/>
          <cell r="D2076"/>
          <cell r="E2076"/>
          <cell r="F2076"/>
          <cell r="G2076"/>
          <cell r="H2076"/>
          <cell r="I2076"/>
          <cell r="J2076"/>
          <cell r="K2076"/>
          <cell r="L2076"/>
          <cell r="M2076"/>
        </row>
        <row r="2077">
          <cell r="A2077">
            <v>20232074</v>
          </cell>
          <cell r="B2077"/>
          <cell r="C2077"/>
          <cell r="D2077"/>
          <cell r="E2077"/>
          <cell r="F2077"/>
          <cell r="G2077"/>
          <cell r="H2077"/>
          <cell r="I2077"/>
          <cell r="J2077"/>
          <cell r="K2077"/>
          <cell r="L2077"/>
          <cell r="M2077"/>
        </row>
        <row r="2078">
          <cell r="A2078">
            <v>20232075</v>
          </cell>
          <cell r="B2078"/>
          <cell r="C2078"/>
          <cell r="D2078"/>
          <cell r="E2078"/>
          <cell r="F2078"/>
          <cell r="G2078"/>
          <cell r="H2078"/>
          <cell r="I2078"/>
          <cell r="J2078"/>
          <cell r="K2078"/>
          <cell r="L2078"/>
          <cell r="M2078"/>
        </row>
        <row r="2079">
          <cell r="A2079">
            <v>20232076</v>
          </cell>
          <cell r="B2079"/>
          <cell r="C2079"/>
          <cell r="D2079"/>
          <cell r="E2079"/>
          <cell r="F2079"/>
          <cell r="G2079"/>
          <cell r="H2079"/>
          <cell r="I2079"/>
          <cell r="J2079"/>
          <cell r="K2079"/>
          <cell r="L2079"/>
          <cell r="M2079"/>
        </row>
        <row r="2080">
          <cell r="A2080">
            <v>20232077</v>
          </cell>
          <cell r="B2080"/>
          <cell r="C2080"/>
          <cell r="D2080"/>
          <cell r="E2080"/>
          <cell r="F2080"/>
          <cell r="G2080"/>
          <cell r="H2080"/>
          <cell r="I2080"/>
          <cell r="J2080"/>
          <cell r="K2080"/>
          <cell r="L2080"/>
          <cell r="M2080"/>
        </row>
        <row r="2081">
          <cell r="A2081">
            <v>20232078</v>
          </cell>
          <cell r="B2081"/>
          <cell r="C2081"/>
          <cell r="D2081"/>
          <cell r="E2081"/>
          <cell r="F2081"/>
          <cell r="G2081"/>
          <cell r="H2081"/>
          <cell r="I2081"/>
          <cell r="J2081"/>
          <cell r="K2081"/>
          <cell r="L2081"/>
          <cell r="M2081"/>
        </row>
        <row r="2082">
          <cell r="A2082">
            <v>20232079</v>
          </cell>
          <cell r="B2082"/>
          <cell r="C2082"/>
          <cell r="D2082"/>
          <cell r="E2082"/>
          <cell r="F2082"/>
          <cell r="G2082"/>
          <cell r="H2082"/>
          <cell r="I2082"/>
          <cell r="J2082"/>
          <cell r="K2082"/>
          <cell r="L2082"/>
          <cell r="M2082"/>
        </row>
        <row r="2083">
          <cell r="A2083">
            <v>20232080</v>
          </cell>
          <cell r="B2083"/>
          <cell r="C2083"/>
          <cell r="D2083"/>
          <cell r="E2083"/>
          <cell r="F2083"/>
          <cell r="G2083"/>
          <cell r="H2083"/>
          <cell r="I2083"/>
          <cell r="J2083"/>
          <cell r="K2083"/>
          <cell r="L2083"/>
          <cell r="M2083"/>
        </row>
        <row r="2084">
          <cell r="A2084">
            <v>20232081</v>
          </cell>
          <cell r="B2084"/>
          <cell r="C2084"/>
          <cell r="D2084"/>
          <cell r="E2084"/>
          <cell r="F2084"/>
          <cell r="G2084"/>
          <cell r="H2084"/>
          <cell r="I2084"/>
          <cell r="J2084"/>
          <cell r="K2084"/>
          <cell r="L2084"/>
          <cell r="M2084"/>
        </row>
        <row r="2085">
          <cell r="A2085">
            <v>20232082</v>
          </cell>
          <cell r="B2085"/>
          <cell r="C2085"/>
          <cell r="D2085"/>
          <cell r="E2085"/>
          <cell r="F2085"/>
          <cell r="G2085"/>
          <cell r="H2085"/>
          <cell r="I2085"/>
          <cell r="J2085"/>
          <cell r="K2085"/>
          <cell r="L2085"/>
          <cell r="M2085"/>
        </row>
        <row r="2086">
          <cell r="A2086">
            <v>20232083</v>
          </cell>
          <cell r="B2086"/>
          <cell r="C2086"/>
          <cell r="D2086"/>
          <cell r="E2086"/>
          <cell r="F2086"/>
          <cell r="G2086"/>
          <cell r="H2086"/>
          <cell r="I2086"/>
          <cell r="J2086"/>
          <cell r="K2086"/>
          <cell r="L2086"/>
          <cell r="M2086"/>
        </row>
        <row r="2087">
          <cell r="A2087">
            <v>20232084</v>
          </cell>
          <cell r="B2087"/>
          <cell r="C2087"/>
          <cell r="D2087"/>
          <cell r="E2087"/>
          <cell r="F2087"/>
          <cell r="G2087"/>
          <cell r="H2087"/>
          <cell r="I2087"/>
          <cell r="J2087"/>
          <cell r="K2087"/>
          <cell r="L2087"/>
          <cell r="M2087"/>
        </row>
        <row r="2088">
          <cell r="A2088">
            <v>20232085</v>
          </cell>
          <cell r="B2088"/>
          <cell r="C2088"/>
          <cell r="D2088"/>
          <cell r="E2088"/>
          <cell r="F2088"/>
          <cell r="G2088"/>
          <cell r="H2088"/>
          <cell r="I2088"/>
          <cell r="J2088"/>
          <cell r="K2088"/>
          <cell r="L2088"/>
          <cell r="M2088"/>
        </row>
        <row r="2089">
          <cell r="A2089">
            <v>20232086</v>
          </cell>
          <cell r="B2089"/>
          <cell r="C2089"/>
          <cell r="D2089"/>
          <cell r="E2089"/>
          <cell r="F2089"/>
          <cell r="G2089"/>
          <cell r="H2089"/>
          <cell r="I2089"/>
          <cell r="J2089"/>
          <cell r="K2089"/>
          <cell r="L2089"/>
          <cell r="M2089"/>
        </row>
        <row r="2090">
          <cell r="A2090">
            <v>20232087</v>
          </cell>
          <cell r="B2090"/>
          <cell r="C2090"/>
          <cell r="D2090"/>
          <cell r="E2090"/>
          <cell r="F2090"/>
          <cell r="G2090"/>
          <cell r="H2090"/>
          <cell r="I2090"/>
          <cell r="J2090"/>
          <cell r="K2090"/>
          <cell r="L2090"/>
          <cell r="M2090"/>
        </row>
        <row r="2091">
          <cell r="A2091">
            <v>20232088</v>
          </cell>
          <cell r="B2091"/>
          <cell r="C2091"/>
          <cell r="D2091"/>
          <cell r="E2091"/>
          <cell r="F2091"/>
          <cell r="G2091"/>
          <cell r="H2091"/>
          <cell r="I2091"/>
          <cell r="J2091"/>
          <cell r="K2091"/>
          <cell r="L2091"/>
          <cell r="M2091"/>
        </row>
        <row r="2092">
          <cell r="A2092">
            <v>20232089</v>
          </cell>
          <cell r="B2092"/>
          <cell r="C2092"/>
          <cell r="D2092"/>
          <cell r="E2092"/>
          <cell r="F2092"/>
          <cell r="G2092"/>
          <cell r="H2092"/>
          <cell r="I2092"/>
          <cell r="J2092"/>
          <cell r="K2092"/>
          <cell r="L2092"/>
          <cell r="M2092"/>
        </row>
        <row r="2093">
          <cell r="A2093">
            <v>20232090</v>
          </cell>
          <cell r="B2093"/>
          <cell r="C2093"/>
          <cell r="D2093"/>
          <cell r="E2093"/>
          <cell r="F2093"/>
          <cell r="G2093"/>
          <cell r="H2093"/>
          <cell r="I2093"/>
          <cell r="J2093"/>
          <cell r="K2093"/>
          <cell r="L2093"/>
          <cell r="M2093"/>
        </row>
        <row r="2094">
          <cell r="A2094">
            <v>20232091</v>
          </cell>
          <cell r="B2094"/>
          <cell r="C2094"/>
          <cell r="D2094"/>
          <cell r="E2094"/>
          <cell r="F2094"/>
          <cell r="G2094"/>
          <cell r="H2094"/>
          <cell r="I2094"/>
          <cell r="J2094"/>
          <cell r="K2094"/>
          <cell r="L2094"/>
          <cell r="M2094"/>
        </row>
        <row r="2095">
          <cell r="A2095">
            <v>20232092</v>
          </cell>
          <cell r="B2095"/>
          <cell r="C2095"/>
          <cell r="D2095"/>
          <cell r="E2095"/>
          <cell r="F2095"/>
          <cell r="G2095"/>
          <cell r="H2095"/>
          <cell r="I2095"/>
          <cell r="J2095"/>
          <cell r="K2095"/>
          <cell r="L2095"/>
          <cell r="M2095"/>
        </row>
        <row r="2096">
          <cell r="A2096">
            <v>20232093</v>
          </cell>
          <cell r="B2096"/>
          <cell r="C2096"/>
          <cell r="D2096"/>
          <cell r="E2096"/>
          <cell r="F2096"/>
          <cell r="G2096"/>
          <cell r="H2096"/>
          <cell r="I2096"/>
          <cell r="J2096"/>
          <cell r="K2096"/>
          <cell r="L2096"/>
          <cell r="M2096"/>
        </row>
        <row r="2097">
          <cell r="A2097">
            <v>20232094</v>
          </cell>
          <cell r="B2097"/>
          <cell r="C2097"/>
          <cell r="D2097"/>
          <cell r="E2097"/>
          <cell r="F2097"/>
          <cell r="G2097"/>
          <cell r="H2097"/>
          <cell r="I2097"/>
          <cell r="J2097"/>
          <cell r="K2097"/>
          <cell r="L2097"/>
          <cell r="M2097"/>
        </row>
        <row r="2098">
          <cell r="A2098">
            <v>20232095</v>
          </cell>
          <cell r="B2098"/>
          <cell r="C2098"/>
          <cell r="D2098"/>
          <cell r="E2098"/>
          <cell r="F2098"/>
          <cell r="G2098"/>
          <cell r="H2098"/>
          <cell r="I2098"/>
          <cell r="J2098"/>
          <cell r="K2098"/>
          <cell r="L2098"/>
          <cell r="M2098"/>
        </row>
        <row r="2099">
          <cell r="A2099">
            <v>20232096</v>
          </cell>
          <cell r="B2099"/>
          <cell r="C2099"/>
          <cell r="D2099"/>
          <cell r="E2099"/>
          <cell r="F2099"/>
          <cell r="G2099"/>
          <cell r="H2099"/>
          <cell r="I2099"/>
          <cell r="J2099"/>
          <cell r="K2099"/>
          <cell r="L2099"/>
          <cell r="M2099"/>
        </row>
        <row r="2100">
          <cell r="A2100">
            <v>20232097</v>
          </cell>
          <cell r="B2100"/>
          <cell r="C2100"/>
          <cell r="D2100"/>
          <cell r="E2100"/>
          <cell r="F2100"/>
          <cell r="G2100"/>
          <cell r="H2100"/>
          <cell r="I2100"/>
          <cell r="J2100"/>
          <cell r="K2100"/>
          <cell r="L2100"/>
          <cell r="M2100"/>
        </row>
        <row r="2101">
          <cell r="A2101">
            <v>20232098</v>
          </cell>
          <cell r="B2101"/>
          <cell r="C2101"/>
          <cell r="D2101"/>
          <cell r="E2101"/>
          <cell r="F2101"/>
          <cell r="G2101"/>
          <cell r="H2101"/>
          <cell r="I2101"/>
          <cell r="J2101"/>
          <cell r="K2101"/>
          <cell r="L2101"/>
          <cell r="M2101"/>
        </row>
        <row r="2102">
          <cell r="A2102">
            <v>20232099</v>
          </cell>
          <cell r="B2102"/>
          <cell r="C2102"/>
          <cell r="D2102"/>
          <cell r="E2102"/>
          <cell r="F2102"/>
          <cell r="G2102"/>
          <cell r="H2102"/>
          <cell r="I2102"/>
          <cell r="J2102"/>
          <cell r="K2102"/>
          <cell r="L2102"/>
          <cell r="M2102"/>
        </row>
        <row r="2103">
          <cell r="A2103">
            <v>20232100</v>
          </cell>
          <cell r="B2103"/>
          <cell r="C2103"/>
          <cell r="D2103"/>
          <cell r="E2103"/>
          <cell r="F2103"/>
          <cell r="G2103"/>
          <cell r="H2103"/>
          <cell r="I2103"/>
          <cell r="J2103"/>
          <cell r="K2103"/>
          <cell r="L2103"/>
          <cell r="M2103"/>
        </row>
        <row r="2104">
          <cell r="A2104">
            <v>20232101</v>
          </cell>
          <cell r="B2104"/>
          <cell r="C2104"/>
          <cell r="D2104"/>
          <cell r="E2104"/>
          <cell r="F2104"/>
          <cell r="G2104"/>
          <cell r="H2104"/>
          <cell r="I2104"/>
          <cell r="J2104"/>
          <cell r="K2104"/>
          <cell r="L2104"/>
          <cell r="M2104"/>
        </row>
        <row r="2105">
          <cell r="A2105">
            <v>20232102</v>
          </cell>
          <cell r="B2105"/>
          <cell r="C2105"/>
          <cell r="D2105"/>
          <cell r="E2105"/>
          <cell r="F2105"/>
          <cell r="G2105"/>
          <cell r="H2105"/>
          <cell r="I2105"/>
          <cell r="J2105"/>
          <cell r="K2105"/>
          <cell r="L2105"/>
          <cell r="M2105"/>
        </row>
        <row r="2106">
          <cell r="A2106">
            <v>20232103</v>
          </cell>
          <cell r="B2106"/>
          <cell r="C2106"/>
          <cell r="D2106"/>
          <cell r="E2106"/>
          <cell r="F2106"/>
          <cell r="G2106"/>
          <cell r="H2106"/>
          <cell r="I2106"/>
          <cell r="J2106"/>
          <cell r="K2106"/>
          <cell r="L2106"/>
          <cell r="M2106"/>
        </row>
        <row r="2107">
          <cell r="A2107">
            <v>20232104</v>
          </cell>
          <cell r="B2107"/>
          <cell r="C2107"/>
          <cell r="D2107"/>
          <cell r="E2107"/>
          <cell r="F2107"/>
          <cell r="G2107"/>
          <cell r="H2107"/>
          <cell r="I2107"/>
          <cell r="J2107"/>
          <cell r="K2107"/>
          <cell r="L2107"/>
          <cell r="M2107"/>
        </row>
        <row r="2108">
          <cell r="A2108">
            <v>20232105</v>
          </cell>
          <cell r="B2108"/>
          <cell r="C2108"/>
          <cell r="D2108"/>
          <cell r="E2108"/>
          <cell r="F2108"/>
          <cell r="G2108"/>
          <cell r="H2108"/>
          <cell r="I2108"/>
          <cell r="J2108"/>
          <cell r="K2108"/>
          <cell r="L2108"/>
          <cell r="M2108"/>
        </row>
        <row r="2109">
          <cell r="A2109">
            <v>20232106</v>
          </cell>
          <cell r="B2109"/>
          <cell r="C2109"/>
          <cell r="D2109"/>
          <cell r="E2109"/>
          <cell r="F2109"/>
          <cell r="G2109"/>
          <cell r="H2109"/>
          <cell r="I2109"/>
          <cell r="J2109"/>
          <cell r="K2109"/>
          <cell r="L2109"/>
          <cell r="M2109"/>
        </row>
        <row r="2110">
          <cell r="A2110">
            <v>20232107</v>
          </cell>
          <cell r="B2110"/>
          <cell r="C2110"/>
          <cell r="D2110"/>
          <cell r="E2110"/>
          <cell r="F2110"/>
          <cell r="G2110"/>
          <cell r="H2110"/>
          <cell r="I2110"/>
          <cell r="J2110"/>
          <cell r="K2110"/>
          <cell r="L2110"/>
          <cell r="M2110"/>
        </row>
        <row r="2111">
          <cell r="A2111">
            <v>20232108</v>
          </cell>
          <cell r="B2111"/>
          <cell r="C2111"/>
          <cell r="D2111"/>
          <cell r="E2111"/>
          <cell r="F2111"/>
          <cell r="G2111"/>
          <cell r="H2111"/>
          <cell r="I2111"/>
          <cell r="J2111"/>
          <cell r="K2111"/>
          <cell r="L2111"/>
          <cell r="M2111"/>
        </row>
        <row r="2112">
          <cell r="A2112">
            <v>20232109</v>
          </cell>
          <cell r="B2112"/>
          <cell r="C2112"/>
          <cell r="D2112"/>
          <cell r="E2112"/>
          <cell r="F2112"/>
          <cell r="G2112"/>
          <cell r="H2112"/>
          <cell r="I2112"/>
          <cell r="J2112"/>
          <cell r="K2112"/>
          <cell r="L2112"/>
          <cell r="M2112"/>
        </row>
        <row r="2113">
          <cell r="A2113">
            <v>20232110</v>
          </cell>
          <cell r="B2113"/>
          <cell r="C2113"/>
          <cell r="D2113"/>
          <cell r="E2113"/>
          <cell r="F2113"/>
          <cell r="G2113"/>
          <cell r="H2113"/>
          <cell r="I2113"/>
          <cell r="J2113"/>
          <cell r="K2113"/>
          <cell r="L2113"/>
          <cell r="M2113"/>
        </row>
        <row r="2114">
          <cell r="A2114">
            <v>20232111</v>
          </cell>
          <cell r="B2114"/>
          <cell r="C2114"/>
          <cell r="D2114"/>
          <cell r="E2114"/>
          <cell r="F2114"/>
          <cell r="G2114"/>
          <cell r="H2114"/>
          <cell r="I2114"/>
          <cell r="J2114"/>
          <cell r="K2114"/>
          <cell r="L2114"/>
          <cell r="M2114"/>
        </row>
        <row r="2115">
          <cell r="A2115">
            <v>20232112</v>
          </cell>
          <cell r="B2115"/>
          <cell r="C2115"/>
          <cell r="D2115"/>
          <cell r="E2115"/>
          <cell r="F2115"/>
          <cell r="G2115"/>
          <cell r="H2115"/>
          <cell r="I2115"/>
          <cell r="J2115"/>
          <cell r="K2115"/>
          <cell r="L2115"/>
          <cell r="M2115"/>
        </row>
        <row r="2116">
          <cell r="A2116">
            <v>20232113</v>
          </cell>
          <cell r="B2116"/>
          <cell r="C2116"/>
          <cell r="D2116"/>
          <cell r="E2116"/>
          <cell r="F2116"/>
          <cell r="G2116"/>
          <cell r="H2116"/>
          <cell r="I2116"/>
          <cell r="J2116"/>
          <cell r="K2116"/>
          <cell r="L2116"/>
          <cell r="M2116"/>
        </row>
        <row r="2117">
          <cell r="A2117">
            <v>20232114</v>
          </cell>
          <cell r="B2117"/>
          <cell r="C2117"/>
          <cell r="D2117"/>
          <cell r="E2117"/>
          <cell r="F2117"/>
          <cell r="G2117"/>
          <cell r="H2117"/>
          <cell r="I2117"/>
          <cell r="J2117"/>
          <cell r="K2117"/>
          <cell r="L2117"/>
          <cell r="M2117"/>
        </row>
        <row r="2118">
          <cell r="A2118">
            <v>20232115</v>
          </cell>
          <cell r="B2118"/>
          <cell r="C2118"/>
          <cell r="D2118"/>
          <cell r="E2118"/>
          <cell r="F2118"/>
          <cell r="G2118"/>
          <cell r="H2118"/>
          <cell r="I2118"/>
          <cell r="J2118"/>
          <cell r="K2118"/>
          <cell r="L2118"/>
          <cell r="M2118"/>
        </row>
        <row r="2119">
          <cell r="A2119">
            <v>20232116</v>
          </cell>
          <cell r="B2119"/>
          <cell r="C2119"/>
          <cell r="D2119"/>
          <cell r="E2119"/>
          <cell r="F2119"/>
          <cell r="G2119"/>
          <cell r="H2119"/>
          <cell r="I2119"/>
          <cell r="J2119"/>
          <cell r="K2119"/>
          <cell r="L2119"/>
          <cell r="M2119"/>
        </row>
        <row r="2120">
          <cell r="A2120">
            <v>20232117</v>
          </cell>
          <cell r="B2120"/>
          <cell r="C2120"/>
          <cell r="D2120"/>
          <cell r="E2120"/>
          <cell r="F2120"/>
          <cell r="G2120"/>
          <cell r="H2120"/>
          <cell r="I2120"/>
          <cell r="J2120"/>
          <cell r="K2120"/>
          <cell r="L2120"/>
          <cell r="M2120"/>
        </row>
        <row r="2121">
          <cell r="A2121">
            <v>20232118</v>
          </cell>
          <cell r="B2121"/>
          <cell r="C2121"/>
          <cell r="D2121"/>
          <cell r="E2121"/>
          <cell r="F2121"/>
          <cell r="G2121"/>
          <cell r="H2121"/>
          <cell r="I2121"/>
          <cell r="J2121"/>
          <cell r="K2121"/>
          <cell r="L2121"/>
          <cell r="M2121"/>
        </row>
        <row r="2122">
          <cell r="A2122">
            <v>20232119</v>
          </cell>
          <cell r="B2122"/>
          <cell r="C2122"/>
          <cell r="D2122"/>
          <cell r="E2122"/>
          <cell r="F2122"/>
          <cell r="G2122"/>
          <cell r="H2122"/>
          <cell r="I2122"/>
          <cell r="J2122"/>
          <cell r="K2122"/>
          <cell r="L2122"/>
          <cell r="M2122"/>
        </row>
        <row r="2123">
          <cell r="A2123">
            <v>20232120</v>
          </cell>
          <cell r="B2123"/>
          <cell r="C2123"/>
          <cell r="D2123"/>
          <cell r="E2123"/>
          <cell r="F2123"/>
          <cell r="G2123"/>
          <cell r="H2123"/>
          <cell r="I2123"/>
          <cell r="J2123"/>
          <cell r="K2123"/>
          <cell r="L2123"/>
          <cell r="M2123"/>
        </row>
        <row r="2124">
          <cell r="A2124">
            <v>20232121</v>
          </cell>
          <cell r="B2124"/>
          <cell r="C2124"/>
          <cell r="D2124"/>
          <cell r="E2124"/>
          <cell r="F2124"/>
          <cell r="G2124"/>
          <cell r="H2124"/>
          <cell r="I2124"/>
          <cell r="J2124"/>
          <cell r="K2124"/>
          <cell r="L2124"/>
          <cell r="M2124"/>
        </row>
        <row r="2125">
          <cell r="A2125">
            <v>20232122</v>
          </cell>
          <cell r="B2125"/>
          <cell r="C2125"/>
          <cell r="D2125"/>
          <cell r="E2125"/>
          <cell r="F2125"/>
          <cell r="G2125"/>
          <cell r="H2125"/>
          <cell r="I2125"/>
          <cell r="J2125"/>
          <cell r="K2125"/>
          <cell r="L2125"/>
          <cell r="M2125"/>
        </row>
        <row r="2126">
          <cell r="A2126">
            <v>20232123</v>
          </cell>
          <cell r="B2126"/>
          <cell r="C2126"/>
          <cell r="D2126"/>
          <cell r="E2126"/>
          <cell r="F2126"/>
          <cell r="G2126"/>
          <cell r="H2126"/>
          <cell r="I2126"/>
          <cell r="J2126"/>
          <cell r="K2126"/>
          <cell r="L2126"/>
          <cell r="M2126"/>
        </row>
        <row r="2127">
          <cell r="A2127">
            <v>20232124</v>
          </cell>
          <cell r="B2127"/>
          <cell r="C2127"/>
          <cell r="D2127"/>
          <cell r="E2127"/>
          <cell r="F2127"/>
          <cell r="G2127"/>
          <cell r="H2127"/>
          <cell r="I2127"/>
          <cell r="J2127"/>
          <cell r="K2127"/>
          <cell r="L2127"/>
          <cell r="M2127"/>
        </row>
        <row r="2128">
          <cell r="A2128">
            <v>20232125</v>
          </cell>
          <cell r="B2128"/>
          <cell r="C2128"/>
          <cell r="D2128"/>
          <cell r="E2128"/>
          <cell r="F2128"/>
          <cell r="G2128"/>
          <cell r="H2128"/>
          <cell r="I2128"/>
          <cell r="J2128"/>
          <cell r="K2128"/>
          <cell r="L2128"/>
          <cell r="M2128"/>
        </row>
        <row r="2129">
          <cell r="A2129">
            <v>20232126</v>
          </cell>
          <cell r="B2129"/>
          <cell r="C2129"/>
          <cell r="D2129"/>
          <cell r="E2129"/>
          <cell r="F2129"/>
          <cell r="G2129"/>
          <cell r="H2129"/>
          <cell r="I2129"/>
          <cell r="J2129"/>
          <cell r="K2129"/>
          <cell r="L2129"/>
          <cell r="M2129"/>
        </row>
        <row r="2130">
          <cell r="A2130">
            <v>20232127</v>
          </cell>
          <cell r="B2130"/>
          <cell r="C2130"/>
          <cell r="D2130"/>
          <cell r="E2130"/>
          <cell r="F2130"/>
          <cell r="G2130"/>
          <cell r="H2130"/>
          <cell r="I2130"/>
          <cell r="J2130"/>
          <cell r="K2130"/>
          <cell r="L2130"/>
          <cell r="M2130"/>
        </row>
        <row r="2131">
          <cell r="A2131">
            <v>20232128</v>
          </cell>
          <cell r="B2131"/>
          <cell r="C2131"/>
          <cell r="D2131"/>
          <cell r="E2131"/>
          <cell r="F2131"/>
          <cell r="G2131"/>
          <cell r="H2131"/>
          <cell r="I2131"/>
          <cell r="J2131"/>
          <cell r="K2131"/>
          <cell r="L2131"/>
          <cell r="M2131"/>
        </row>
        <row r="2132">
          <cell r="A2132">
            <v>20232129</v>
          </cell>
          <cell r="B2132"/>
          <cell r="C2132"/>
          <cell r="D2132"/>
          <cell r="E2132"/>
          <cell r="F2132"/>
          <cell r="G2132"/>
          <cell r="H2132"/>
          <cell r="I2132"/>
          <cell r="J2132"/>
          <cell r="K2132"/>
          <cell r="L2132"/>
          <cell r="M2132"/>
        </row>
        <row r="2133">
          <cell r="A2133">
            <v>20232130</v>
          </cell>
          <cell r="B2133"/>
          <cell r="C2133"/>
          <cell r="D2133"/>
          <cell r="E2133"/>
          <cell r="F2133"/>
          <cell r="G2133"/>
          <cell r="H2133"/>
          <cell r="I2133"/>
          <cell r="J2133"/>
          <cell r="K2133"/>
          <cell r="L2133"/>
          <cell r="M2133"/>
        </row>
        <row r="2134">
          <cell r="A2134">
            <v>20232131</v>
          </cell>
          <cell r="B2134"/>
          <cell r="C2134"/>
          <cell r="D2134"/>
          <cell r="E2134"/>
          <cell r="F2134"/>
          <cell r="G2134"/>
          <cell r="H2134"/>
          <cell r="I2134"/>
          <cell r="J2134"/>
          <cell r="K2134"/>
          <cell r="L2134"/>
          <cell r="M2134"/>
        </row>
        <row r="2135">
          <cell r="A2135">
            <v>20232132</v>
          </cell>
          <cell r="B2135"/>
          <cell r="C2135"/>
          <cell r="D2135"/>
          <cell r="E2135"/>
          <cell r="F2135"/>
          <cell r="G2135"/>
          <cell r="H2135"/>
          <cell r="I2135"/>
          <cell r="J2135"/>
          <cell r="K2135"/>
          <cell r="L2135"/>
          <cell r="M2135"/>
        </row>
        <row r="2136">
          <cell r="A2136">
            <v>20232133</v>
          </cell>
          <cell r="B2136"/>
          <cell r="C2136"/>
          <cell r="D2136"/>
          <cell r="E2136"/>
          <cell r="F2136"/>
          <cell r="G2136"/>
          <cell r="H2136"/>
          <cell r="I2136"/>
          <cell r="J2136"/>
          <cell r="K2136"/>
          <cell r="L2136"/>
          <cell r="M2136"/>
        </row>
        <row r="2137">
          <cell r="A2137">
            <v>20232134</v>
          </cell>
          <cell r="B2137"/>
          <cell r="C2137"/>
          <cell r="D2137"/>
          <cell r="E2137"/>
          <cell r="F2137"/>
          <cell r="G2137"/>
          <cell r="H2137"/>
          <cell r="I2137"/>
          <cell r="J2137"/>
          <cell r="K2137"/>
          <cell r="L2137"/>
          <cell r="M2137"/>
        </row>
        <row r="2138">
          <cell r="A2138">
            <v>20232135</v>
          </cell>
          <cell r="B2138"/>
          <cell r="C2138"/>
          <cell r="D2138"/>
          <cell r="E2138"/>
          <cell r="F2138"/>
          <cell r="G2138"/>
          <cell r="H2138"/>
          <cell r="I2138"/>
          <cell r="J2138"/>
          <cell r="K2138"/>
          <cell r="L2138"/>
          <cell r="M2138"/>
        </row>
        <row r="2139">
          <cell r="A2139">
            <v>20232136</v>
          </cell>
          <cell r="B2139"/>
          <cell r="C2139"/>
          <cell r="D2139"/>
          <cell r="E2139"/>
          <cell r="F2139"/>
          <cell r="G2139"/>
          <cell r="H2139"/>
          <cell r="I2139"/>
          <cell r="J2139"/>
          <cell r="K2139"/>
          <cell r="L2139"/>
          <cell r="M2139"/>
        </row>
        <row r="2140">
          <cell r="A2140">
            <v>20232137</v>
          </cell>
          <cell r="B2140"/>
          <cell r="C2140"/>
          <cell r="D2140"/>
          <cell r="E2140"/>
          <cell r="F2140"/>
          <cell r="G2140"/>
          <cell r="H2140"/>
          <cell r="I2140"/>
          <cell r="J2140"/>
          <cell r="K2140"/>
          <cell r="L2140"/>
          <cell r="M2140"/>
        </row>
        <row r="2141">
          <cell r="A2141">
            <v>20232138</v>
          </cell>
          <cell r="B2141"/>
          <cell r="C2141"/>
          <cell r="D2141"/>
          <cell r="E2141"/>
          <cell r="F2141"/>
          <cell r="G2141"/>
          <cell r="H2141"/>
          <cell r="I2141"/>
          <cell r="J2141"/>
          <cell r="K2141"/>
          <cell r="L2141"/>
          <cell r="M2141"/>
        </row>
        <row r="2142">
          <cell r="A2142">
            <v>20232139</v>
          </cell>
          <cell r="B2142"/>
          <cell r="C2142"/>
          <cell r="D2142"/>
          <cell r="E2142"/>
          <cell r="F2142"/>
          <cell r="G2142"/>
          <cell r="H2142"/>
          <cell r="I2142"/>
          <cell r="J2142"/>
          <cell r="K2142"/>
          <cell r="L2142"/>
          <cell r="M2142"/>
        </row>
        <row r="2143">
          <cell r="A2143">
            <v>20232140</v>
          </cell>
          <cell r="B2143"/>
          <cell r="C2143"/>
          <cell r="D2143"/>
          <cell r="E2143"/>
          <cell r="F2143"/>
          <cell r="G2143"/>
          <cell r="H2143"/>
          <cell r="I2143"/>
          <cell r="J2143"/>
          <cell r="K2143"/>
          <cell r="L2143"/>
          <cell r="M2143"/>
        </row>
        <row r="2144">
          <cell r="A2144">
            <v>20232141</v>
          </cell>
          <cell r="B2144"/>
          <cell r="C2144"/>
          <cell r="D2144"/>
          <cell r="E2144"/>
          <cell r="F2144"/>
          <cell r="G2144"/>
          <cell r="H2144"/>
          <cell r="I2144"/>
          <cell r="J2144"/>
          <cell r="K2144"/>
          <cell r="L2144"/>
          <cell r="M2144"/>
        </row>
        <row r="2145">
          <cell r="A2145">
            <v>20232142</v>
          </cell>
          <cell r="B2145"/>
          <cell r="C2145"/>
          <cell r="D2145"/>
          <cell r="E2145"/>
          <cell r="F2145"/>
          <cell r="G2145"/>
          <cell r="H2145"/>
          <cell r="I2145"/>
          <cell r="J2145"/>
          <cell r="K2145"/>
          <cell r="L2145"/>
          <cell r="M2145"/>
        </row>
        <row r="2146">
          <cell r="A2146">
            <v>20232143</v>
          </cell>
          <cell r="B2146"/>
          <cell r="C2146"/>
          <cell r="D2146"/>
          <cell r="E2146"/>
          <cell r="F2146"/>
          <cell r="G2146"/>
          <cell r="H2146"/>
          <cell r="I2146"/>
          <cell r="J2146"/>
          <cell r="K2146"/>
          <cell r="L2146"/>
          <cell r="M2146"/>
        </row>
        <row r="2147">
          <cell r="A2147">
            <v>20232144</v>
          </cell>
          <cell r="B2147"/>
          <cell r="C2147"/>
          <cell r="D2147"/>
          <cell r="E2147"/>
          <cell r="F2147"/>
          <cell r="G2147"/>
          <cell r="H2147"/>
          <cell r="I2147"/>
          <cell r="J2147"/>
          <cell r="K2147"/>
          <cell r="L2147"/>
          <cell r="M2147"/>
        </row>
        <row r="2148">
          <cell r="A2148">
            <v>20232145</v>
          </cell>
          <cell r="B2148"/>
          <cell r="C2148"/>
          <cell r="D2148"/>
          <cell r="E2148"/>
          <cell r="F2148"/>
          <cell r="G2148"/>
          <cell r="H2148"/>
          <cell r="I2148"/>
          <cell r="J2148"/>
          <cell r="K2148"/>
          <cell r="L2148"/>
          <cell r="M2148"/>
        </row>
        <row r="2149">
          <cell r="A2149">
            <v>20232146</v>
          </cell>
          <cell r="B2149"/>
          <cell r="C2149"/>
          <cell r="D2149"/>
          <cell r="E2149"/>
          <cell r="F2149"/>
          <cell r="G2149"/>
          <cell r="H2149"/>
          <cell r="I2149"/>
          <cell r="J2149"/>
          <cell r="K2149"/>
          <cell r="L2149"/>
          <cell r="M2149"/>
        </row>
        <row r="2150">
          <cell r="A2150">
            <v>20232147</v>
          </cell>
          <cell r="B2150"/>
          <cell r="C2150"/>
          <cell r="D2150"/>
          <cell r="E2150"/>
          <cell r="F2150"/>
          <cell r="G2150"/>
          <cell r="H2150"/>
          <cell r="I2150"/>
          <cell r="J2150"/>
          <cell r="K2150"/>
          <cell r="L2150"/>
          <cell r="M2150"/>
        </row>
        <row r="2151">
          <cell r="A2151">
            <v>20232148</v>
          </cell>
          <cell r="B2151"/>
          <cell r="C2151"/>
          <cell r="D2151"/>
          <cell r="E2151"/>
          <cell r="F2151"/>
          <cell r="G2151"/>
          <cell r="H2151"/>
          <cell r="I2151"/>
          <cell r="J2151"/>
          <cell r="K2151"/>
          <cell r="L2151"/>
          <cell r="M2151"/>
        </row>
        <row r="2152">
          <cell r="A2152">
            <v>20232149</v>
          </cell>
          <cell r="B2152"/>
          <cell r="C2152"/>
          <cell r="D2152"/>
          <cell r="E2152"/>
          <cell r="F2152"/>
          <cell r="G2152"/>
          <cell r="H2152"/>
          <cell r="I2152"/>
          <cell r="J2152"/>
          <cell r="K2152"/>
          <cell r="L2152"/>
          <cell r="M2152"/>
        </row>
        <row r="2153">
          <cell r="A2153">
            <v>20232150</v>
          </cell>
          <cell r="B2153"/>
          <cell r="C2153"/>
          <cell r="D2153"/>
          <cell r="E2153"/>
          <cell r="F2153"/>
          <cell r="G2153"/>
          <cell r="H2153"/>
          <cell r="I2153"/>
          <cell r="J2153"/>
          <cell r="K2153"/>
          <cell r="L2153"/>
          <cell r="M2153"/>
        </row>
        <row r="2154">
          <cell r="A2154">
            <v>20232151</v>
          </cell>
          <cell r="B2154"/>
          <cell r="C2154"/>
          <cell r="D2154"/>
          <cell r="E2154"/>
          <cell r="F2154"/>
          <cell r="G2154"/>
          <cell r="H2154"/>
          <cell r="I2154"/>
          <cell r="J2154"/>
          <cell r="K2154"/>
          <cell r="L2154"/>
          <cell r="M2154"/>
        </row>
        <row r="2155">
          <cell r="A2155">
            <v>20232152</v>
          </cell>
          <cell r="B2155"/>
          <cell r="C2155"/>
          <cell r="D2155"/>
          <cell r="E2155"/>
          <cell r="F2155"/>
          <cell r="G2155"/>
          <cell r="H2155"/>
          <cell r="I2155"/>
          <cell r="J2155"/>
          <cell r="K2155"/>
          <cell r="L2155"/>
          <cell r="M2155"/>
        </row>
        <row r="2156">
          <cell r="A2156">
            <v>20232153</v>
          </cell>
          <cell r="B2156"/>
          <cell r="C2156"/>
          <cell r="D2156"/>
          <cell r="E2156"/>
          <cell r="F2156"/>
          <cell r="G2156"/>
          <cell r="H2156"/>
          <cell r="I2156"/>
          <cell r="J2156"/>
          <cell r="K2156"/>
          <cell r="L2156"/>
          <cell r="M2156"/>
        </row>
        <row r="2157">
          <cell r="A2157">
            <v>20232154</v>
          </cell>
          <cell r="B2157"/>
          <cell r="C2157"/>
          <cell r="D2157"/>
          <cell r="E2157"/>
          <cell r="F2157"/>
          <cell r="G2157"/>
          <cell r="H2157"/>
          <cell r="I2157"/>
          <cell r="J2157"/>
          <cell r="K2157"/>
          <cell r="L2157"/>
          <cell r="M2157"/>
        </row>
        <row r="2158">
          <cell r="A2158">
            <v>20232155</v>
          </cell>
          <cell r="B2158"/>
          <cell r="C2158"/>
          <cell r="D2158"/>
          <cell r="E2158"/>
          <cell r="F2158"/>
          <cell r="G2158"/>
          <cell r="H2158"/>
          <cell r="I2158"/>
          <cell r="J2158"/>
          <cell r="K2158"/>
          <cell r="L2158"/>
          <cell r="M2158"/>
        </row>
        <row r="2159">
          <cell r="A2159">
            <v>20232156</v>
          </cell>
          <cell r="B2159"/>
          <cell r="C2159"/>
          <cell r="D2159"/>
          <cell r="E2159"/>
          <cell r="F2159"/>
          <cell r="G2159"/>
          <cell r="H2159"/>
          <cell r="I2159"/>
          <cell r="J2159"/>
          <cell r="K2159"/>
          <cell r="L2159"/>
          <cell r="M2159"/>
        </row>
        <row r="2160">
          <cell r="A2160">
            <v>20232157</v>
          </cell>
          <cell r="B2160"/>
          <cell r="C2160"/>
          <cell r="D2160"/>
          <cell r="E2160"/>
          <cell r="F2160"/>
          <cell r="G2160"/>
          <cell r="H2160"/>
          <cell r="I2160"/>
          <cell r="J2160"/>
          <cell r="K2160"/>
          <cell r="L2160"/>
          <cell r="M2160"/>
        </row>
        <row r="2161">
          <cell r="A2161">
            <v>20232158</v>
          </cell>
          <cell r="B2161"/>
          <cell r="C2161"/>
          <cell r="D2161"/>
          <cell r="E2161"/>
          <cell r="F2161"/>
          <cell r="G2161"/>
          <cell r="H2161"/>
          <cell r="I2161"/>
          <cell r="J2161"/>
          <cell r="K2161"/>
          <cell r="L2161"/>
          <cell r="M2161"/>
        </row>
        <row r="2162">
          <cell r="A2162">
            <v>20232159</v>
          </cell>
          <cell r="B2162"/>
          <cell r="C2162"/>
          <cell r="D2162"/>
          <cell r="E2162"/>
          <cell r="F2162"/>
          <cell r="G2162"/>
          <cell r="H2162"/>
          <cell r="I2162"/>
          <cell r="J2162"/>
          <cell r="K2162"/>
          <cell r="L2162"/>
          <cell r="M2162"/>
        </row>
        <row r="2163">
          <cell r="A2163">
            <v>20232160</v>
          </cell>
          <cell r="B2163"/>
          <cell r="C2163"/>
          <cell r="D2163"/>
          <cell r="E2163"/>
          <cell r="F2163"/>
          <cell r="G2163"/>
          <cell r="H2163"/>
          <cell r="I2163"/>
          <cell r="J2163"/>
          <cell r="K2163"/>
          <cell r="L2163"/>
          <cell r="M2163"/>
        </row>
        <row r="2164">
          <cell r="A2164">
            <v>20232161</v>
          </cell>
          <cell r="B2164"/>
          <cell r="C2164"/>
          <cell r="D2164"/>
          <cell r="E2164"/>
          <cell r="F2164"/>
          <cell r="G2164"/>
          <cell r="H2164"/>
          <cell r="I2164"/>
          <cell r="J2164"/>
          <cell r="K2164"/>
          <cell r="L2164"/>
          <cell r="M2164"/>
        </row>
        <row r="2165">
          <cell r="A2165">
            <v>20232162</v>
          </cell>
          <cell r="B2165"/>
          <cell r="C2165"/>
          <cell r="D2165"/>
          <cell r="E2165"/>
          <cell r="F2165"/>
          <cell r="G2165"/>
          <cell r="H2165"/>
          <cell r="I2165"/>
          <cell r="J2165"/>
          <cell r="K2165"/>
          <cell r="L2165"/>
          <cell r="M2165"/>
        </row>
        <row r="2166">
          <cell r="A2166">
            <v>20232163</v>
          </cell>
          <cell r="B2166"/>
          <cell r="C2166"/>
          <cell r="D2166"/>
          <cell r="E2166"/>
          <cell r="F2166"/>
          <cell r="G2166"/>
          <cell r="H2166"/>
          <cell r="I2166"/>
          <cell r="J2166"/>
          <cell r="K2166"/>
          <cell r="L2166"/>
          <cell r="M2166"/>
        </row>
        <row r="2167">
          <cell r="A2167">
            <v>20232164</v>
          </cell>
          <cell r="B2167"/>
          <cell r="C2167"/>
          <cell r="D2167"/>
          <cell r="E2167"/>
          <cell r="F2167"/>
          <cell r="G2167"/>
          <cell r="H2167"/>
          <cell r="I2167"/>
          <cell r="J2167"/>
          <cell r="K2167"/>
          <cell r="L2167"/>
          <cell r="M2167"/>
        </row>
        <row r="2168">
          <cell r="A2168">
            <v>20232165</v>
          </cell>
          <cell r="B2168"/>
          <cell r="C2168"/>
          <cell r="D2168"/>
          <cell r="E2168"/>
          <cell r="F2168"/>
          <cell r="G2168"/>
          <cell r="H2168"/>
          <cell r="I2168"/>
          <cell r="J2168"/>
          <cell r="K2168"/>
          <cell r="L2168"/>
          <cell r="M2168"/>
        </row>
        <row r="2169">
          <cell r="A2169">
            <v>20232166</v>
          </cell>
          <cell r="B2169"/>
          <cell r="C2169"/>
          <cell r="D2169"/>
          <cell r="E2169"/>
          <cell r="F2169"/>
          <cell r="G2169"/>
          <cell r="H2169"/>
          <cell r="I2169"/>
          <cell r="J2169"/>
          <cell r="K2169"/>
          <cell r="L2169"/>
          <cell r="M2169"/>
        </row>
        <row r="2170">
          <cell r="A2170">
            <v>20232167</v>
          </cell>
          <cell r="B2170"/>
          <cell r="C2170"/>
          <cell r="D2170"/>
          <cell r="E2170"/>
          <cell r="F2170"/>
          <cell r="G2170"/>
          <cell r="H2170"/>
          <cell r="I2170"/>
          <cell r="J2170"/>
          <cell r="K2170"/>
          <cell r="L2170"/>
          <cell r="M2170"/>
        </row>
        <row r="2171">
          <cell r="A2171">
            <v>20232168</v>
          </cell>
          <cell r="B2171"/>
          <cell r="C2171"/>
          <cell r="D2171"/>
          <cell r="E2171"/>
          <cell r="F2171"/>
          <cell r="G2171"/>
          <cell r="H2171"/>
          <cell r="I2171"/>
          <cell r="J2171"/>
          <cell r="K2171"/>
          <cell r="L2171"/>
          <cell r="M2171"/>
        </row>
        <row r="2172">
          <cell r="A2172">
            <v>20232169</v>
          </cell>
          <cell r="B2172"/>
          <cell r="C2172"/>
          <cell r="D2172"/>
          <cell r="E2172"/>
          <cell r="F2172"/>
          <cell r="G2172"/>
          <cell r="H2172"/>
          <cell r="I2172"/>
          <cell r="J2172"/>
          <cell r="K2172"/>
          <cell r="L2172"/>
          <cell r="M2172"/>
        </row>
        <row r="2173">
          <cell r="A2173">
            <v>20232170</v>
          </cell>
          <cell r="B2173"/>
          <cell r="C2173"/>
          <cell r="D2173"/>
          <cell r="E2173"/>
          <cell r="F2173"/>
          <cell r="G2173"/>
          <cell r="H2173"/>
          <cell r="I2173"/>
          <cell r="J2173"/>
          <cell r="K2173"/>
          <cell r="L2173"/>
          <cell r="M2173"/>
        </row>
        <row r="2174">
          <cell r="A2174">
            <v>20232171</v>
          </cell>
          <cell r="B2174"/>
          <cell r="C2174"/>
          <cell r="D2174"/>
          <cell r="E2174"/>
          <cell r="F2174"/>
          <cell r="G2174"/>
          <cell r="H2174"/>
          <cell r="I2174"/>
          <cell r="J2174"/>
          <cell r="K2174"/>
          <cell r="L2174"/>
          <cell r="M2174"/>
        </row>
        <row r="2175">
          <cell r="A2175">
            <v>20232172</v>
          </cell>
          <cell r="B2175"/>
          <cell r="C2175"/>
          <cell r="D2175"/>
          <cell r="E2175"/>
          <cell r="F2175"/>
          <cell r="G2175"/>
          <cell r="H2175"/>
          <cell r="I2175"/>
          <cell r="J2175"/>
          <cell r="K2175"/>
          <cell r="L2175"/>
          <cell r="M2175"/>
        </row>
        <row r="2176">
          <cell r="A2176">
            <v>20232173</v>
          </cell>
          <cell r="B2176"/>
          <cell r="C2176"/>
          <cell r="D2176"/>
          <cell r="E2176"/>
          <cell r="F2176"/>
          <cell r="G2176"/>
          <cell r="H2176"/>
          <cell r="I2176"/>
          <cell r="J2176"/>
          <cell r="K2176"/>
          <cell r="L2176"/>
          <cell r="M2176"/>
        </row>
        <row r="2177">
          <cell r="A2177">
            <v>20232174</v>
          </cell>
          <cell r="B2177"/>
          <cell r="C2177"/>
          <cell r="D2177"/>
          <cell r="E2177"/>
          <cell r="F2177"/>
          <cell r="G2177"/>
          <cell r="H2177"/>
          <cell r="I2177"/>
          <cell r="J2177"/>
          <cell r="K2177"/>
          <cell r="L2177"/>
          <cell r="M2177"/>
        </row>
        <row r="2178">
          <cell r="A2178">
            <v>20232175</v>
          </cell>
          <cell r="B2178"/>
          <cell r="C2178"/>
          <cell r="D2178"/>
          <cell r="E2178"/>
          <cell r="F2178"/>
          <cell r="G2178"/>
          <cell r="H2178"/>
          <cell r="I2178"/>
          <cell r="J2178"/>
          <cell r="K2178"/>
          <cell r="L2178"/>
          <cell r="M2178"/>
        </row>
        <row r="2179">
          <cell r="A2179">
            <v>20232176</v>
          </cell>
          <cell r="B2179"/>
          <cell r="C2179"/>
          <cell r="D2179"/>
          <cell r="E2179"/>
          <cell r="F2179"/>
          <cell r="G2179"/>
          <cell r="H2179"/>
          <cell r="I2179"/>
          <cell r="J2179"/>
          <cell r="K2179"/>
          <cell r="L2179"/>
          <cell r="M2179"/>
        </row>
        <row r="2180">
          <cell r="A2180">
            <v>20232177</v>
          </cell>
          <cell r="B2180"/>
          <cell r="C2180"/>
          <cell r="D2180"/>
          <cell r="E2180"/>
          <cell r="F2180"/>
          <cell r="G2180"/>
          <cell r="H2180"/>
          <cell r="I2180"/>
          <cell r="J2180"/>
          <cell r="K2180"/>
          <cell r="L2180"/>
          <cell r="M2180"/>
        </row>
        <row r="2181">
          <cell r="A2181">
            <v>20232178</v>
          </cell>
          <cell r="B2181"/>
          <cell r="C2181"/>
          <cell r="D2181"/>
          <cell r="E2181"/>
          <cell r="F2181"/>
          <cell r="G2181"/>
          <cell r="H2181"/>
          <cell r="I2181"/>
          <cell r="J2181"/>
          <cell r="K2181"/>
          <cell r="L2181"/>
          <cell r="M2181"/>
        </row>
        <row r="2182">
          <cell r="A2182">
            <v>20232179</v>
          </cell>
          <cell r="B2182"/>
          <cell r="C2182"/>
          <cell r="D2182"/>
          <cell r="E2182"/>
          <cell r="F2182"/>
          <cell r="G2182"/>
          <cell r="H2182"/>
          <cell r="I2182"/>
          <cell r="J2182"/>
          <cell r="K2182"/>
          <cell r="L2182"/>
          <cell r="M2182"/>
        </row>
        <row r="2183">
          <cell r="A2183">
            <v>20232180</v>
          </cell>
          <cell r="B2183"/>
          <cell r="C2183"/>
          <cell r="D2183"/>
          <cell r="E2183"/>
          <cell r="F2183"/>
          <cell r="G2183"/>
          <cell r="H2183"/>
          <cell r="I2183"/>
          <cell r="J2183"/>
          <cell r="K2183"/>
          <cell r="L2183"/>
          <cell r="M2183"/>
        </row>
        <row r="2184">
          <cell r="A2184">
            <v>20232181</v>
          </cell>
          <cell r="B2184"/>
          <cell r="C2184"/>
          <cell r="D2184"/>
          <cell r="E2184"/>
          <cell r="F2184"/>
          <cell r="G2184"/>
          <cell r="H2184"/>
          <cell r="I2184"/>
          <cell r="J2184"/>
          <cell r="K2184"/>
          <cell r="L2184"/>
          <cell r="M2184"/>
        </row>
        <row r="2185">
          <cell r="A2185">
            <v>20232182</v>
          </cell>
          <cell r="B2185"/>
          <cell r="C2185"/>
          <cell r="D2185"/>
          <cell r="E2185"/>
          <cell r="F2185"/>
          <cell r="G2185"/>
          <cell r="H2185"/>
          <cell r="I2185"/>
          <cell r="J2185"/>
          <cell r="K2185"/>
          <cell r="L2185"/>
          <cell r="M2185"/>
        </row>
        <row r="2186">
          <cell r="A2186">
            <v>20232183</v>
          </cell>
          <cell r="B2186"/>
          <cell r="C2186"/>
          <cell r="D2186"/>
          <cell r="E2186"/>
          <cell r="F2186"/>
          <cell r="G2186"/>
          <cell r="H2186"/>
          <cell r="I2186"/>
          <cell r="J2186"/>
          <cell r="K2186"/>
          <cell r="L2186"/>
          <cell r="M2186"/>
        </row>
        <row r="2187">
          <cell r="A2187">
            <v>20232184</v>
          </cell>
          <cell r="B2187"/>
          <cell r="C2187"/>
          <cell r="D2187"/>
          <cell r="E2187"/>
          <cell r="F2187"/>
          <cell r="G2187"/>
          <cell r="H2187"/>
          <cell r="I2187"/>
          <cell r="J2187"/>
          <cell r="K2187"/>
          <cell r="L2187"/>
          <cell r="M2187"/>
        </row>
        <row r="2188">
          <cell r="A2188">
            <v>20232185</v>
          </cell>
          <cell r="B2188"/>
          <cell r="C2188"/>
          <cell r="D2188"/>
          <cell r="E2188"/>
          <cell r="F2188"/>
          <cell r="G2188"/>
          <cell r="H2188"/>
          <cell r="I2188"/>
          <cell r="J2188"/>
          <cell r="K2188"/>
          <cell r="L2188"/>
          <cell r="M2188"/>
        </row>
        <row r="2189">
          <cell r="A2189">
            <v>20232186</v>
          </cell>
          <cell r="B2189"/>
          <cell r="C2189"/>
          <cell r="D2189"/>
          <cell r="E2189"/>
          <cell r="F2189"/>
          <cell r="G2189"/>
          <cell r="H2189"/>
          <cell r="I2189"/>
          <cell r="J2189"/>
          <cell r="K2189"/>
          <cell r="L2189"/>
          <cell r="M2189"/>
        </row>
        <row r="2190">
          <cell r="A2190">
            <v>20232187</v>
          </cell>
          <cell r="B2190"/>
          <cell r="C2190"/>
          <cell r="D2190"/>
          <cell r="E2190"/>
          <cell r="F2190"/>
          <cell r="G2190"/>
          <cell r="H2190"/>
          <cell r="I2190"/>
          <cell r="J2190"/>
          <cell r="K2190"/>
          <cell r="L2190"/>
          <cell r="M2190"/>
        </row>
        <row r="2191">
          <cell r="A2191">
            <v>20232188</v>
          </cell>
          <cell r="B2191"/>
          <cell r="C2191"/>
          <cell r="D2191"/>
          <cell r="E2191"/>
          <cell r="F2191"/>
          <cell r="G2191"/>
          <cell r="H2191"/>
          <cell r="I2191"/>
          <cell r="J2191"/>
          <cell r="K2191"/>
          <cell r="L2191"/>
          <cell r="M2191"/>
        </row>
        <row r="2192">
          <cell r="A2192">
            <v>20232189</v>
          </cell>
          <cell r="B2192"/>
          <cell r="C2192"/>
          <cell r="D2192"/>
          <cell r="E2192"/>
          <cell r="F2192"/>
          <cell r="G2192"/>
          <cell r="H2192"/>
          <cell r="I2192"/>
          <cell r="J2192"/>
          <cell r="K2192"/>
          <cell r="L2192"/>
          <cell r="M2192"/>
        </row>
        <row r="2193">
          <cell r="A2193">
            <v>20232190</v>
          </cell>
          <cell r="B2193"/>
          <cell r="C2193"/>
          <cell r="D2193"/>
          <cell r="E2193"/>
          <cell r="F2193"/>
          <cell r="G2193"/>
          <cell r="H2193"/>
          <cell r="I2193"/>
          <cell r="J2193"/>
          <cell r="K2193"/>
          <cell r="L2193"/>
          <cell r="M2193"/>
        </row>
        <row r="2194">
          <cell r="A2194">
            <v>20232191</v>
          </cell>
          <cell r="B2194"/>
          <cell r="C2194"/>
          <cell r="D2194"/>
          <cell r="E2194"/>
          <cell r="F2194"/>
          <cell r="G2194"/>
          <cell r="H2194"/>
          <cell r="I2194"/>
          <cell r="J2194"/>
          <cell r="K2194"/>
          <cell r="L2194"/>
          <cell r="M2194"/>
        </row>
        <row r="2195">
          <cell r="A2195">
            <v>20232192</v>
          </cell>
          <cell r="B2195"/>
          <cell r="C2195"/>
          <cell r="D2195"/>
          <cell r="E2195"/>
          <cell r="F2195"/>
          <cell r="G2195"/>
          <cell r="H2195"/>
          <cell r="I2195"/>
          <cell r="J2195"/>
          <cell r="K2195"/>
          <cell r="L2195"/>
          <cell r="M2195"/>
        </row>
        <row r="2196">
          <cell r="A2196">
            <v>20232193</v>
          </cell>
          <cell r="B2196"/>
          <cell r="C2196"/>
          <cell r="D2196"/>
          <cell r="E2196"/>
          <cell r="F2196"/>
          <cell r="G2196"/>
          <cell r="H2196"/>
          <cell r="I2196"/>
          <cell r="J2196"/>
          <cell r="K2196"/>
          <cell r="L2196"/>
          <cell r="M2196"/>
        </row>
      </sheetData>
      <sheetData sheetId="1"/>
      <sheetData sheetId="2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rtlCol="0" anchor="ctr"/>
      <a:lstStyle>
        <a:defPPr algn="ctr">
          <a:defRPr sz="1100"/>
        </a:defPPr>
      </a:lstStyle>
      <a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Z55"/>
  <sheetViews>
    <sheetView tabSelected="1" zoomScale="130" zoomScaleNormal="130" workbookViewId="0">
      <selection activeCell="G3" sqref="G3:H3"/>
    </sheetView>
  </sheetViews>
  <sheetFormatPr defaultRowHeight="15" x14ac:dyDescent="0.25"/>
  <cols>
    <col min="1" max="2" width="4.85546875" style="6" customWidth="1"/>
    <col min="3" max="3" width="5.5703125" style="6" customWidth="1"/>
    <col min="4" max="4" width="5.42578125" style="6" customWidth="1"/>
    <col min="5" max="5" width="5.5703125" style="6" customWidth="1"/>
    <col min="6" max="6" width="5.42578125" style="6" customWidth="1"/>
    <col min="7" max="7" width="5.5703125" style="6" customWidth="1"/>
    <col min="8" max="8" width="5.42578125" style="6" customWidth="1"/>
    <col min="9" max="9" width="5.5703125" style="6" customWidth="1"/>
    <col min="10" max="10" width="5.42578125" style="6" customWidth="1"/>
    <col min="11" max="11" width="5.5703125" style="6" customWidth="1"/>
    <col min="12" max="12" width="5.42578125" style="6" customWidth="1"/>
    <col min="13" max="13" width="5.5703125" style="6" customWidth="1"/>
    <col min="14" max="14" width="5.42578125" style="6" customWidth="1"/>
    <col min="15" max="15" width="5.5703125" style="6" customWidth="1"/>
    <col min="16" max="16" width="5.42578125" style="6" customWidth="1"/>
    <col min="17" max="17" width="5.5703125" style="6" customWidth="1"/>
    <col min="18" max="18" width="5.42578125" style="6" customWidth="1"/>
    <col min="19" max="19" width="5.5703125" style="6" customWidth="1"/>
    <col min="20" max="20" width="5.42578125" style="6" customWidth="1"/>
    <col min="21" max="21" width="5.5703125" style="6" customWidth="1"/>
    <col min="22" max="22" width="5.42578125" style="6" customWidth="1"/>
    <col min="23" max="23" width="5.5703125" style="6" customWidth="1"/>
    <col min="24" max="24" width="5.42578125" style="6" customWidth="1"/>
    <col min="25" max="25" width="5.5703125" style="6" customWidth="1"/>
    <col min="26" max="26" width="5.42578125" style="6" customWidth="1"/>
    <col min="27" max="16384" width="9.140625" style="6"/>
  </cols>
  <sheetData>
    <row r="1" spans="1:26" ht="12.75" customHeight="1" x14ac:dyDescent="0.25">
      <c r="A1" s="48" t="s">
        <v>8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31"/>
      <c r="T1" s="32" t="s">
        <v>1</v>
      </c>
      <c r="U1" s="33"/>
      <c r="V1" s="34"/>
      <c r="W1" s="34"/>
      <c r="X1" s="34"/>
      <c r="Y1" s="34"/>
      <c r="Z1" s="35"/>
    </row>
    <row r="2" spans="1:26" ht="11.25" customHeight="1" x14ac:dyDescent="0.25">
      <c r="A2" s="8" t="s">
        <v>45</v>
      </c>
      <c r="B2" s="8"/>
      <c r="C2" s="49" t="str">
        <f>VLOOKUP(G3,[2]MATRIZ!$A$8:$M$999998,3,FALSE)</f>
        <v>A023P566B</v>
      </c>
      <c r="D2" s="49"/>
      <c r="E2" s="49"/>
      <c r="F2" s="8" t="s">
        <v>3</v>
      </c>
      <c r="G2" s="49" t="str">
        <f>VLOOKUP(G3,[2]MATRIZ!$A$8:$M$999998,4,FALSE)</f>
        <v>N/A</v>
      </c>
      <c r="H2" s="50"/>
      <c r="I2" s="8" t="s">
        <v>5</v>
      </c>
      <c r="J2" s="22"/>
      <c r="K2" s="49" t="str">
        <f>VLOOKUP(G3,[2]MATRIZ!$A$8:$M$999998,11,FALSE)</f>
        <v>720-3</v>
      </c>
      <c r="L2" s="49"/>
      <c r="M2" s="23" t="s">
        <v>55</v>
      </c>
      <c r="N2" s="51">
        <f>VLOOKUP(G3,[2]MATRIZ!$A$8:$M$999998,2,0)</f>
        <v>44958</v>
      </c>
      <c r="O2" s="51"/>
      <c r="P2" s="51"/>
      <c r="Q2" s="1"/>
      <c r="R2" s="23"/>
      <c r="S2" s="36"/>
      <c r="T2" s="36"/>
      <c r="U2" s="36"/>
      <c r="V2" s="55" t="s">
        <v>0</v>
      </c>
      <c r="W2" s="36"/>
      <c r="X2" s="36"/>
      <c r="Y2" s="36"/>
      <c r="Z2" s="37"/>
    </row>
    <row r="3" spans="1:26" ht="11.25" customHeight="1" x14ac:dyDescent="0.25">
      <c r="A3" s="11" t="s">
        <v>2</v>
      </c>
      <c r="B3" s="11"/>
      <c r="C3" s="52" t="str">
        <f>VLOOKUP(G3,[2]MATRIZ!$A$8:$M$999998,13,FALSE)</f>
        <v>A0054G8117A-C</v>
      </c>
      <c r="D3" s="52"/>
      <c r="E3" s="52"/>
      <c r="F3" s="8" t="s">
        <v>4</v>
      </c>
      <c r="G3" s="52">
        <v>20230722</v>
      </c>
      <c r="H3" s="53"/>
      <c r="I3" s="8" t="s">
        <v>6</v>
      </c>
      <c r="J3" s="22"/>
      <c r="K3" s="52" t="str">
        <f>VLOOKUP(G3,[2]MATRIZ!$A$8:$M$999998,12,FALSE) &amp; " PCS"</f>
        <v>4 PCS</v>
      </c>
      <c r="L3" s="52"/>
      <c r="M3" s="24" t="s">
        <v>44</v>
      </c>
      <c r="N3" s="54" t="str">
        <f>VLOOKUP(G3,[2]MATRIZ!$A$8:$M$999998,8,FALSE)</f>
        <v>Nohemi</v>
      </c>
      <c r="O3" s="54"/>
      <c r="P3" s="54"/>
      <c r="Q3" s="13"/>
      <c r="R3" s="23"/>
      <c r="S3" s="36"/>
      <c r="T3" s="36"/>
      <c r="U3" s="36"/>
      <c r="V3" s="55"/>
      <c r="W3" s="36"/>
      <c r="X3" s="36"/>
      <c r="Y3" s="36"/>
      <c r="Z3" s="37"/>
    </row>
    <row r="4" spans="1:26" ht="11.25" customHeight="1" x14ac:dyDescent="0.25">
      <c r="A4" s="11"/>
      <c r="B4" s="11"/>
      <c r="C4" s="57"/>
      <c r="D4" s="57"/>
      <c r="E4" s="57"/>
      <c r="F4" s="57"/>
      <c r="G4" s="57"/>
      <c r="H4" s="57"/>
      <c r="I4" s="57"/>
      <c r="J4" s="57"/>
      <c r="K4" s="56"/>
      <c r="L4" s="56"/>
      <c r="M4" s="56"/>
      <c r="N4" s="56"/>
      <c r="O4" s="56"/>
      <c r="P4" s="56"/>
      <c r="Q4" s="56"/>
      <c r="R4" s="56"/>
      <c r="S4" s="36"/>
      <c r="T4" s="36"/>
      <c r="U4" s="36"/>
      <c r="V4" s="38"/>
      <c r="W4" s="36"/>
      <c r="X4" s="36"/>
      <c r="Y4" s="36"/>
      <c r="Z4" s="37"/>
    </row>
    <row r="5" spans="1:26" ht="11.25" customHeight="1" x14ac:dyDescent="0.25">
      <c r="A5" s="58" t="s">
        <v>9</v>
      </c>
      <c r="B5" s="59" t="s">
        <v>46</v>
      </c>
      <c r="C5" s="39" t="s">
        <v>50</v>
      </c>
      <c r="D5" s="40">
        <v>7</v>
      </c>
      <c r="E5" s="39" t="s">
        <v>50</v>
      </c>
      <c r="F5" s="40">
        <v>8</v>
      </c>
      <c r="G5" s="39" t="s">
        <v>50</v>
      </c>
      <c r="H5" s="40" t="s">
        <v>81</v>
      </c>
      <c r="I5" s="39" t="s">
        <v>50</v>
      </c>
      <c r="J5" s="40" t="s">
        <v>82</v>
      </c>
      <c r="K5" s="39" t="s">
        <v>50</v>
      </c>
      <c r="L5" s="40" t="s">
        <v>83</v>
      </c>
      <c r="M5" s="39" t="s">
        <v>50</v>
      </c>
      <c r="N5" s="40" t="s">
        <v>84</v>
      </c>
      <c r="O5" s="39" t="s">
        <v>50</v>
      </c>
      <c r="P5" s="40" t="s">
        <v>85</v>
      </c>
      <c r="Q5" s="39" t="s">
        <v>57</v>
      </c>
      <c r="R5" s="40" t="s">
        <v>68</v>
      </c>
      <c r="S5" s="39" t="s">
        <v>57</v>
      </c>
      <c r="T5" s="40" t="s">
        <v>69</v>
      </c>
      <c r="U5" s="39" t="s">
        <v>57</v>
      </c>
      <c r="V5" s="40" t="s">
        <v>70</v>
      </c>
      <c r="W5" s="39" t="s">
        <v>57</v>
      </c>
      <c r="X5" s="40" t="s">
        <v>71</v>
      </c>
      <c r="Y5" s="39" t="s">
        <v>57</v>
      </c>
      <c r="Z5" s="40" t="s">
        <v>72</v>
      </c>
    </row>
    <row r="6" spans="1:26" ht="11.25" customHeight="1" x14ac:dyDescent="0.25">
      <c r="A6" s="58"/>
      <c r="B6" s="60"/>
      <c r="C6" s="41" t="s">
        <v>51</v>
      </c>
      <c r="D6" s="42" t="s">
        <v>77</v>
      </c>
      <c r="E6" s="41" t="s">
        <v>51</v>
      </c>
      <c r="F6" s="42" t="s">
        <v>0</v>
      </c>
      <c r="G6" s="41" t="s">
        <v>51</v>
      </c>
      <c r="H6" s="42" t="s">
        <v>77</v>
      </c>
      <c r="I6" s="41" t="s">
        <v>51</v>
      </c>
      <c r="J6" s="42" t="s">
        <v>77</v>
      </c>
      <c r="K6" s="41" t="s">
        <v>51</v>
      </c>
      <c r="L6" s="42" t="s">
        <v>77</v>
      </c>
      <c r="M6" s="41" t="s">
        <v>51</v>
      </c>
      <c r="N6" s="42" t="s">
        <v>77</v>
      </c>
      <c r="O6" s="41" t="s">
        <v>51</v>
      </c>
      <c r="P6" s="42" t="s">
        <v>77</v>
      </c>
      <c r="Q6" s="41" t="s">
        <v>58</v>
      </c>
      <c r="R6" s="42" t="s">
        <v>0</v>
      </c>
      <c r="S6" s="41" t="s">
        <v>58</v>
      </c>
      <c r="T6" s="42" t="s">
        <v>0</v>
      </c>
      <c r="U6" s="41" t="s">
        <v>58</v>
      </c>
      <c r="V6" s="42" t="s">
        <v>0</v>
      </c>
      <c r="W6" s="41" t="s">
        <v>58</v>
      </c>
      <c r="X6" s="42" t="s">
        <v>0</v>
      </c>
      <c r="Y6" s="41" t="s">
        <v>58</v>
      </c>
      <c r="Z6" s="42" t="s">
        <v>0</v>
      </c>
    </row>
    <row r="7" spans="1:26" ht="11.25" customHeight="1" x14ac:dyDescent="0.25">
      <c r="A7" s="58"/>
      <c r="B7" s="60"/>
      <c r="C7" s="43" t="s">
        <v>52</v>
      </c>
      <c r="D7" s="44">
        <v>1.2</v>
      </c>
      <c r="E7" s="43" t="s">
        <v>52</v>
      </c>
      <c r="F7" s="44">
        <v>5.4</v>
      </c>
      <c r="G7" s="43" t="s">
        <v>52</v>
      </c>
      <c r="H7" s="44">
        <v>1.5</v>
      </c>
      <c r="I7" s="43" t="s">
        <v>52</v>
      </c>
      <c r="J7" s="44">
        <v>1.5</v>
      </c>
      <c r="K7" s="43" t="s">
        <v>52</v>
      </c>
      <c r="L7" s="44">
        <v>1.5</v>
      </c>
      <c r="M7" s="43" t="s">
        <v>52</v>
      </c>
      <c r="N7" s="44">
        <v>1.5</v>
      </c>
      <c r="O7" s="43" t="s">
        <v>52</v>
      </c>
      <c r="P7" s="44">
        <v>1.5</v>
      </c>
      <c r="Q7" s="43" t="s">
        <v>60</v>
      </c>
      <c r="R7" s="45">
        <v>5.5</v>
      </c>
      <c r="S7" s="43" t="s">
        <v>60</v>
      </c>
      <c r="T7" s="45">
        <v>5.5</v>
      </c>
      <c r="U7" s="43" t="s">
        <v>60</v>
      </c>
      <c r="V7" s="45">
        <v>5.5</v>
      </c>
      <c r="W7" s="43" t="s">
        <v>60</v>
      </c>
      <c r="X7" s="45">
        <v>5.5</v>
      </c>
      <c r="Y7" s="43" t="s">
        <v>60</v>
      </c>
      <c r="Z7" s="45">
        <v>5.5</v>
      </c>
    </row>
    <row r="8" spans="1:26" ht="11.25" customHeight="1" x14ac:dyDescent="0.25">
      <c r="A8" s="58"/>
      <c r="B8" s="60"/>
      <c r="C8" s="43" t="s">
        <v>53</v>
      </c>
      <c r="D8" s="46">
        <f>+D7+0.1</f>
        <v>1.3</v>
      </c>
      <c r="E8" s="43" t="s">
        <v>53</v>
      </c>
      <c r="F8" s="46">
        <f>+F7+0.2</f>
        <v>5.6000000000000005</v>
      </c>
      <c r="G8" s="43" t="s">
        <v>53</v>
      </c>
      <c r="H8" s="46">
        <f>+H7</f>
        <v>1.5</v>
      </c>
      <c r="I8" s="43" t="s">
        <v>53</v>
      </c>
      <c r="J8" s="46">
        <f t="shared" ref="J8" si="0">+J7</f>
        <v>1.5</v>
      </c>
      <c r="K8" s="43" t="s">
        <v>53</v>
      </c>
      <c r="L8" s="46">
        <f t="shared" ref="L8" si="1">+L7</f>
        <v>1.5</v>
      </c>
      <c r="M8" s="43" t="s">
        <v>53</v>
      </c>
      <c r="N8" s="46">
        <f t="shared" ref="N8" si="2">+N7</f>
        <v>1.5</v>
      </c>
      <c r="O8" s="43" t="s">
        <v>53</v>
      </c>
      <c r="P8" s="46">
        <f t="shared" ref="P8" si="3">+P7</f>
        <v>1.5</v>
      </c>
      <c r="Q8" s="43" t="s">
        <v>61</v>
      </c>
      <c r="R8" s="46">
        <f>+R7+0.3</f>
        <v>5.8</v>
      </c>
      <c r="S8" s="43" t="s">
        <v>61</v>
      </c>
      <c r="T8" s="46">
        <f t="shared" ref="T8" si="4">+T7+0.3</f>
        <v>5.8</v>
      </c>
      <c r="U8" s="43" t="s">
        <v>61</v>
      </c>
      <c r="V8" s="46">
        <f t="shared" ref="V8" si="5">+V7+0.3</f>
        <v>5.8</v>
      </c>
      <c r="W8" s="43" t="s">
        <v>61</v>
      </c>
      <c r="X8" s="46">
        <f t="shared" ref="X8" si="6">+X7+0.3</f>
        <v>5.8</v>
      </c>
      <c r="Y8" s="43" t="s">
        <v>61</v>
      </c>
      <c r="Z8" s="46">
        <f t="shared" ref="Z8" si="7">+Z7+0.3</f>
        <v>5.8</v>
      </c>
    </row>
    <row r="9" spans="1:26" ht="11.25" customHeight="1" x14ac:dyDescent="0.25">
      <c r="A9" s="58"/>
      <c r="B9" s="60"/>
      <c r="C9" s="43" t="s">
        <v>49</v>
      </c>
      <c r="D9" s="46">
        <f>+D7-0.1</f>
        <v>1.0999999999999999</v>
      </c>
      <c r="E9" s="43" t="s">
        <v>49</v>
      </c>
      <c r="F9" s="46">
        <f>+F7-0.2</f>
        <v>5.2</v>
      </c>
      <c r="G9" s="43" t="s">
        <v>49</v>
      </c>
      <c r="H9" s="46">
        <f>+H7-0.3</f>
        <v>1.2</v>
      </c>
      <c r="I9" s="43" t="s">
        <v>49</v>
      </c>
      <c r="J9" s="46">
        <f t="shared" ref="J9" si="8">+J7-0.3</f>
        <v>1.2</v>
      </c>
      <c r="K9" s="43" t="s">
        <v>49</v>
      </c>
      <c r="L9" s="46">
        <f t="shared" ref="L9" si="9">+L7-0.3</f>
        <v>1.2</v>
      </c>
      <c r="M9" s="43" t="s">
        <v>49</v>
      </c>
      <c r="N9" s="46">
        <f t="shared" ref="N9" si="10">+N7-0.3</f>
        <v>1.2</v>
      </c>
      <c r="O9" s="43" t="s">
        <v>49</v>
      </c>
      <c r="P9" s="46">
        <f t="shared" ref="P9" si="11">+P7-0.3</f>
        <v>1.2</v>
      </c>
      <c r="Q9" s="43" t="s">
        <v>62</v>
      </c>
      <c r="R9" s="46">
        <f>+R7</f>
        <v>5.5</v>
      </c>
      <c r="S9" s="43" t="s">
        <v>62</v>
      </c>
      <c r="T9" s="46">
        <f t="shared" ref="T9" si="12">+T7</f>
        <v>5.5</v>
      </c>
      <c r="U9" s="43" t="s">
        <v>62</v>
      </c>
      <c r="V9" s="46">
        <f t="shared" ref="V9" si="13">+V7</f>
        <v>5.5</v>
      </c>
      <c r="W9" s="43" t="s">
        <v>62</v>
      </c>
      <c r="X9" s="46">
        <f t="shared" ref="X9" si="14">+X7</f>
        <v>5.5</v>
      </c>
      <c r="Y9" s="43" t="s">
        <v>62</v>
      </c>
      <c r="Z9" s="46">
        <f t="shared" ref="Z9" si="15">+Z7</f>
        <v>5.5</v>
      </c>
    </row>
    <row r="10" spans="1:26" ht="11.25" customHeight="1" x14ac:dyDescent="0.25">
      <c r="A10" s="58"/>
      <c r="B10" s="61"/>
      <c r="C10" s="43" t="s">
        <v>54</v>
      </c>
      <c r="D10" s="47" t="s">
        <v>78</v>
      </c>
      <c r="E10" s="43" t="s">
        <v>54</v>
      </c>
      <c r="F10" s="47" t="s">
        <v>63</v>
      </c>
      <c r="G10" s="43" t="s">
        <v>54</v>
      </c>
      <c r="H10" s="47" t="s">
        <v>78</v>
      </c>
      <c r="I10" s="43" t="s">
        <v>54</v>
      </c>
      <c r="J10" s="47" t="s">
        <v>78</v>
      </c>
      <c r="K10" s="43" t="s">
        <v>54</v>
      </c>
      <c r="L10" s="47" t="s">
        <v>78</v>
      </c>
      <c r="M10" s="43" t="s">
        <v>54</v>
      </c>
      <c r="N10" s="47" t="s">
        <v>78</v>
      </c>
      <c r="O10" s="43" t="s">
        <v>54</v>
      </c>
      <c r="P10" s="47" t="s">
        <v>78</v>
      </c>
      <c r="Q10" s="43" t="s">
        <v>79</v>
      </c>
      <c r="R10" s="47" t="s">
        <v>63</v>
      </c>
      <c r="S10" s="43" t="s">
        <v>79</v>
      </c>
      <c r="T10" s="47" t="s">
        <v>63</v>
      </c>
      <c r="U10" s="43" t="s">
        <v>79</v>
      </c>
      <c r="V10" s="47" t="s">
        <v>63</v>
      </c>
      <c r="W10" s="43" t="s">
        <v>79</v>
      </c>
      <c r="X10" s="47" t="s">
        <v>63</v>
      </c>
      <c r="Y10" s="43" t="s">
        <v>79</v>
      </c>
      <c r="Z10" s="47" t="s">
        <v>63</v>
      </c>
    </row>
    <row r="11" spans="1:26" ht="12" customHeight="1" x14ac:dyDescent="0.25">
      <c r="A11" s="25" cm="1">
        <f t="array" ref="A11:A14">IFERROR(_xlfn.SEQUENCE(COUNTA(C11:D22),1,1),"")</f>
        <v>1</v>
      </c>
      <c r="B11" s="25" t="s">
        <v>67</v>
      </c>
      <c r="C11" s="64">
        <v>1.08</v>
      </c>
      <c r="D11" s="64"/>
      <c r="E11" s="64">
        <v>5.7</v>
      </c>
      <c r="F11" s="64"/>
      <c r="G11" s="62">
        <v>1.31</v>
      </c>
      <c r="H11" s="63"/>
      <c r="I11" s="62">
        <v>1.25</v>
      </c>
      <c r="J11" s="63"/>
      <c r="K11" s="62">
        <v>1.32</v>
      </c>
      <c r="L11" s="63"/>
      <c r="M11" s="62">
        <v>1.43</v>
      </c>
      <c r="N11" s="63"/>
      <c r="O11" s="62">
        <v>1.39</v>
      </c>
      <c r="P11" s="63"/>
      <c r="Q11" s="62">
        <v>5.65</v>
      </c>
      <c r="R11" s="63"/>
      <c r="S11" s="62">
        <v>5.7</v>
      </c>
      <c r="T11" s="63"/>
      <c r="U11" s="62">
        <v>5.69</v>
      </c>
      <c r="V11" s="63"/>
      <c r="W11" s="62">
        <v>5.68</v>
      </c>
      <c r="X11" s="63"/>
      <c r="Y11" s="62">
        <v>5.6</v>
      </c>
      <c r="Z11" s="63"/>
    </row>
    <row r="12" spans="1:26" ht="12" customHeight="1" x14ac:dyDescent="0.25">
      <c r="A12" s="25">
        <v>2</v>
      </c>
      <c r="B12" s="25" t="s">
        <v>67</v>
      </c>
      <c r="C12" s="64">
        <v>1.1399999999999999</v>
      </c>
      <c r="D12" s="64"/>
      <c r="E12" s="64">
        <v>5.61</v>
      </c>
      <c r="F12" s="64"/>
      <c r="G12" s="62">
        <v>1.32</v>
      </c>
      <c r="H12" s="63"/>
      <c r="I12" s="62">
        <v>1.3</v>
      </c>
      <c r="J12" s="63"/>
      <c r="K12" s="62">
        <v>1.32</v>
      </c>
      <c r="L12" s="63"/>
      <c r="M12" s="62">
        <v>1.44</v>
      </c>
      <c r="N12" s="63"/>
      <c r="O12" s="62">
        <v>1.35</v>
      </c>
      <c r="P12" s="63"/>
      <c r="Q12" s="62">
        <v>5.69</v>
      </c>
      <c r="R12" s="63"/>
      <c r="S12" s="62">
        <v>5.8</v>
      </c>
      <c r="T12" s="63"/>
      <c r="U12" s="62">
        <v>5.73</v>
      </c>
      <c r="V12" s="63"/>
      <c r="W12" s="62">
        <v>5.68</v>
      </c>
      <c r="X12" s="63"/>
      <c r="Y12" s="62">
        <v>5.68</v>
      </c>
      <c r="Z12" s="63"/>
    </row>
    <row r="13" spans="1:26" ht="12" customHeight="1" x14ac:dyDescent="0.25">
      <c r="A13" s="25">
        <v>3</v>
      </c>
      <c r="B13" s="25" t="s">
        <v>67</v>
      </c>
      <c r="C13" s="64">
        <v>1.1299999999999999</v>
      </c>
      <c r="D13" s="64"/>
      <c r="E13" s="64">
        <v>5.55</v>
      </c>
      <c r="F13" s="64"/>
      <c r="G13" s="62">
        <v>1.39</v>
      </c>
      <c r="H13" s="63"/>
      <c r="I13" s="62">
        <v>1.34</v>
      </c>
      <c r="J13" s="63"/>
      <c r="K13" s="62">
        <v>1.34</v>
      </c>
      <c r="L13" s="63"/>
      <c r="M13" s="62">
        <v>1.39</v>
      </c>
      <c r="N13" s="63"/>
      <c r="O13" s="62">
        <v>1.39</v>
      </c>
      <c r="P13" s="63"/>
      <c r="Q13" s="62">
        <v>5.58</v>
      </c>
      <c r="R13" s="63"/>
      <c r="S13" s="62">
        <v>5.71</v>
      </c>
      <c r="T13" s="63"/>
      <c r="U13" s="62">
        <v>5.71</v>
      </c>
      <c r="V13" s="63"/>
      <c r="W13" s="62">
        <v>5.72</v>
      </c>
      <c r="X13" s="63"/>
      <c r="Y13" s="62">
        <v>5.6</v>
      </c>
      <c r="Z13" s="63"/>
    </row>
    <row r="14" spans="1:26" ht="12" customHeight="1" x14ac:dyDescent="0.25">
      <c r="A14" s="25">
        <v>4</v>
      </c>
      <c r="B14" s="25" t="s">
        <v>67</v>
      </c>
      <c r="C14" s="64">
        <v>1.1100000000000001</v>
      </c>
      <c r="D14" s="64"/>
      <c r="E14" s="64">
        <v>5.66</v>
      </c>
      <c r="F14" s="64"/>
      <c r="G14" s="62">
        <v>1.27</v>
      </c>
      <c r="H14" s="63"/>
      <c r="I14" s="62">
        <v>1.3</v>
      </c>
      <c r="J14" s="63"/>
      <c r="K14" s="62">
        <v>1.31</v>
      </c>
      <c r="L14" s="63"/>
      <c r="M14" s="62">
        <v>1.4</v>
      </c>
      <c r="N14" s="63"/>
      <c r="O14" s="62">
        <v>1.35</v>
      </c>
      <c r="P14" s="63"/>
      <c r="Q14" s="62">
        <v>5.81</v>
      </c>
      <c r="R14" s="63"/>
      <c r="S14" s="62">
        <v>5.66</v>
      </c>
      <c r="T14" s="63"/>
      <c r="U14" s="62">
        <v>5.73</v>
      </c>
      <c r="V14" s="63"/>
      <c r="W14" s="62">
        <v>5.74</v>
      </c>
      <c r="X14" s="63"/>
      <c r="Y14" s="62">
        <v>5.7</v>
      </c>
      <c r="Z14" s="63"/>
    </row>
    <row r="15" spans="1:26" ht="12" customHeight="1" x14ac:dyDescent="0.25">
      <c r="A15" s="25"/>
      <c r="B15" s="25"/>
      <c r="C15" s="64"/>
      <c r="D15" s="64"/>
      <c r="E15" s="64"/>
      <c r="F15" s="64"/>
      <c r="G15" s="62"/>
      <c r="H15" s="63"/>
      <c r="I15" s="62"/>
      <c r="J15" s="63"/>
      <c r="K15" s="62"/>
      <c r="L15" s="63"/>
      <c r="M15" s="62"/>
      <c r="N15" s="63"/>
      <c r="O15" s="62"/>
      <c r="P15" s="63"/>
      <c r="Q15" s="62"/>
      <c r="R15" s="63"/>
      <c r="S15" s="62"/>
      <c r="T15" s="63"/>
      <c r="U15" s="62"/>
      <c r="V15" s="63"/>
      <c r="W15" s="62"/>
      <c r="X15" s="63"/>
      <c r="Y15" s="62"/>
      <c r="Z15" s="63"/>
    </row>
    <row r="16" spans="1:26" ht="12" customHeight="1" x14ac:dyDescent="0.25">
      <c r="A16" s="25"/>
      <c r="B16" s="25"/>
      <c r="C16" s="64"/>
      <c r="D16" s="64"/>
      <c r="E16" s="64"/>
      <c r="F16" s="64"/>
      <c r="G16" s="62"/>
      <c r="H16" s="63"/>
      <c r="I16" s="62"/>
      <c r="J16" s="63"/>
      <c r="K16" s="62"/>
      <c r="L16" s="63"/>
      <c r="M16" s="62"/>
      <c r="N16" s="63"/>
      <c r="O16" s="62"/>
      <c r="P16" s="63"/>
      <c r="Q16" s="62"/>
      <c r="R16" s="63"/>
      <c r="S16" s="62"/>
      <c r="T16" s="63"/>
      <c r="U16" s="62"/>
      <c r="V16" s="63"/>
      <c r="W16" s="62"/>
      <c r="X16" s="63"/>
      <c r="Y16" s="62"/>
      <c r="Z16" s="63"/>
    </row>
    <row r="17" spans="1:26" ht="12" customHeight="1" x14ac:dyDescent="0.25">
      <c r="A17" s="25"/>
      <c r="B17" s="25"/>
      <c r="C17" s="64"/>
      <c r="D17" s="64"/>
      <c r="E17" s="64"/>
      <c r="F17" s="64"/>
      <c r="G17" s="62"/>
      <c r="H17" s="63"/>
      <c r="I17" s="62"/>
      <c r="J17" s="63"/>
      <c r="K17" s="62"/>
      <c r="L17" s="63"/>
      <c r="M17" s="62"/>
      <c r="N17" s="63"/>
      <c r="O17" s="62"/>
      <c r="P17" s="63"/>
      <c r="Q17" s="62"/>
      <c r="R17" s="63"/>
      <c r="S17" s="62"/>
      <c r="T17" s="63"/>
      <c r="U17" s="62"/>
      <c r="V17" s="63"/>
      <c r="W17" s="62"/>
      <c r="X17" s="63"/>
      <c r="Y17" s="62"/>
      <c r="Z17" s="63"/>
    </row>
    <row r="18" spans="1:26" ht="12" customHeight="1" x14ac:dyDescent="0.25">
      <c r="A18" s="25"/>
      <c r="B18" s="25"/>
      <c r="C18" s="64"/>
      <c r="D18" s="64"/>
      <c r="E18" s="64"/>
      <c r="F18" s="64"/>
      <c r="G18" s="62"/>
      <c r="H18" s="63"/>
      <c r="I18" s="62"/>
      <c r="J18" s="63"/>
      <c r="K18" s="62"/>
      <c r="L18" s="63"/>
      <c r="M18" s="62"/>
      <c r="N18" s="63"/>
      <c r="O18" s="62"/>
      <c r="P18" s="63"/>
      <c r="Q18" s="62"/>
      <c r="R18" s="63"/>
      <c r="S18" s="62"/>
      <c r="T18" s="63"/>
      <c r="U18" s="62"/>
      <c r="V18" s="63"/>
      <c r="W18" s="62"/>
      <c r="X18" s="63"/>
      <c r="Y18" s="62"/>
      <c r="Z18" s="63"/>
    </row>
    <row r="19" spans="1:26" ht="12" customHeight="1" x14ac:dyDescent="0.25">
      <c r="A19" s="25"/>
      <c r="B19" s="25"/>
      <c r="C19" s="64"/>
      <c r="D19" s="64"/>
      <c r="E19" s="64"/>
      <c r="F19" s="64"/>
      <c r="G19" s="62"/>
      <c r="H19" s="63"/>
      <c r="I19" s="62"/>
      <c r="J19" s="63"/>
      <c r="K19" s="62"/>
      <c r="L19" s="63"/>
      <c r="M19" s="62"/>
      <c r="N19" s="63"/>
      <c r="O19" s="62"/>
      <c r="P19" s="63"/>
      <c r="Q19" s="62"/>
      <c r="R19" s="63"/>
      <c r="S19" s="62"/>
      <c r="T19" s="63"/>
      <c r="U19" s="62"/>
      <c r="V19" s="63"/>
      <c r="W19" s="62"/>
      <c r="X19" s="63"/>
      <c r="Y19" s="62"/>
      <c r="Z19" s="63"/>
    </row>
    <row r="20" spans="1:26" ht="12" customHeight="1" x14ac:dyDescent="0.25">
      <c r="A20" s="25"/>
      <c r="B20" s="25"/>
      <c r="C20" s="64"/>
      <c r="D20" s="64"/>
      <c r="E20" s="64"/>
      <c r="F20" s="64"/>
      <c r="G20" s="62"/>
      <c r="H20" s="63"/>
      <c r="I20" s="62"/>
      <c r="J20" s="63"/>
      <c r="K20" s="62"/>
      <c r="L20" s="63"/>
      <c r="M20" s="62"/>
      <c r="N20" s="63"/>
      <c r="O20" s="62"/>
      <c r="P20" s="63"/>
      <c r="Q20" s="62"/>
      <c r="R20" s="63"/>
      <c r="S20" s="62"/>
      <c r="T20" s="63"/>
      <c r="U20" s="62"/>
      <c r="V20" s="63"/>
      <c r="W20" s="62"/>
      <c r="X20" s="63"/>
      <c r="Y20" s="62"/>
      <c r="Z20" s="63"/>
    </row>
    <row r="21" spans="1:26" ht="12" customHeight="1" x14ac:dyDescent="0.25">
      <c r="A21" s="25"/>
      <c r="B21" s="25"/>
      <c r="C21" s="64"/>
      <c r="D21" s="64"/>
      <c r="E21" s="64"/>
      <c r="F21" s="64"/>
      <c r="G21" s="62"/>
      <c r="H21" s="63"/>
      <c r="I21" s="62"/>
      <c r="J21" s="63"/>
      <c r="K21" s="62"/>
      <c r="L21" s="63"/>
      <c r="M21" s="62"/>
      <c r="N21" s="63"/>
      <c r="O21" s="62"/>
      <c r="P21" s="63"/>
      <c r="Q21" s="62"/>
      <c r="R21" s="63"/>
      <c r="S21" s="62"/>
      <c r="T21" s="63"/>
      <c r="U21" s="62"/>
      <c r="V21" s="63"/>
      <c r="W21" s="62"/>
      <c r="X21" s="63"/>
      <c r="Y21" s="62"/>
      <c r="Z21" s="63"/>
    </row>
    <row r="22" spans="1:26" ht="12" customHeight="1" x14ac:dyDescent="0.25">
      <c r="A22" s="25"/>
      <c r="B22" s="25"/>
      <c r="C22" s="64"/>
      <c r="D22" s="64"/>
      <c r="E22" s="64"/>
      <c r="F22" s="64"/>
      <c r="G22" s="62"/>
      <c r="H22" s="63"/>
      <c r="I22" s="62"/>
      <c r="J22" s="63"/>
      <c r="K22" s="62"/>
      <c r="L22" s="63"/>
      <c r="M22" s="62"/>
      <c r="N22" s="63"/>
      <c r="O22" s="62"/>
      <c r="P22" s="63"/>
      <c r="Q22" s="62"/>
      <c r="R22" s="63"/>
      <c r="S22" s="62"/>
      <c r="T22" s="63"/>
      <c r="U22" s="62"/>
      <c r="V22" s="63"/>
      <c r="W22" s="62"/>
      <c r="X22" s="63"/>
      <c r="Y22" s="62"/>
      <c r="Z22" s="63"/>
    </row>
    <row r="23" spans="1:26" ht="12" customHeight="1" x14ac:dyDescent="0.25">
      <c r="A23" s="58" t="s">
        <v>9</v>
      </c>
      <c r="B23" s="59" t="s">
        <v>46</v>
      </c>
      <c r="C23" s="39" t="s">
        <v>50</v>
      </c>
      <c r="D23" s="40" t="s">
        <v>73</v>
      </c>
      <c r="E23" s="39" t="s">
        <v>50</v>
      </c>
      <c r="F23" s="40" t="s">
        <v>74</v>
      </c>
      <c r="G23" s="39" t="s">
        <v>50</v>
      </c>
      <c r="H23" s="40" t="s">
        <v>75</v>
      </c>
      <c r="I23" s="39" t="s">
        <v>50</v>
      </c>
      <c r="J23" s="40" t="s">
        <v>76</v>
      </c>
      <c r="K23" s="39" t="s">
        <v>50</v>
      </c>
      <c r="L23" s="40">
        <v>17</v>
      </c>
      <c r="M23" s="39" t="s">
        <v>50</v>
      </c>
      <c r="N23" s="40">
        <v>18</v>
      </c>
      <c r="O23" s="39" t="s">
        <v>50</v>
      </c>
      <c r="P23" s="40">
        <v>19</v>
      </c>
      <c r="Q23" s="39" t="s">
        <v>57</v>
      </c>
      <c r="R23" s="40" t="s">
        <v>64</v>
      </c>
      <c r="S23" s="73"/>
      <c r="T23" s="74"/>
      <c r="U23" s="73"/>
      <c r="V23" s="74"/>
      <c r="W23" s="73"/>
      <c r="X23" s="74"/>
      <c r="Y23" s="73"/>
      <c r="Z23" s="74"/>
    </row>
    <row r="24" spans="1:26" ht="12" customHeight="1" x14ac:dyDescent="0.25">
      <c r="A24" s="58"/>
      <c r="B24" s="60"/>
      <c r="C24" s="41" t="s">
        <v>51</v>
      </c>
      <c r="D24" s="42" t="s">
        <v>59</v>
      </c>
      <c r="E24" s="41" t="s">
        <v>51</v>
      </c>
      <c r="F24" s="42" t="s">
        <v>59</v>
      </c>
      <c r="G24" s="41" t="s">
        <v>51</v>
      </c>
      <c r="H24" s="42" t="s">
        <v>59</v>
      </c>
      <c r="I24" s="41" t="s">
        <v>51</v>
      </c>
      <c r="J24" s="42" t="s">
        <v>59</v>
      </c>
      <c r="K24" s="41" t="s">
        <v>58</v>
      </c>
      <c r="L24" s="42" t="s">
        <v>65</v>
      </c>
      <c r="M24" s="41" t="s">
        <v>58</v>
      </c>
      <c r="N24" s="42" t="s">
        <v>59</v>
      </c>
      <c r="O24" s="41" t="s">
        <v>58</v>
      </c>
      <c r="P24" s="42" t="s">
        <v>65</v>
      </c>
      <c r="Q24" s="41" t="s">
        <v>58</v>
      </c>
      <c r="R24" s="42" t="s">
        <v>65</v>
      </c>
      <c r="S24" s="73"/>
      <c r="T24" s="74"/>
      <c r="U24" s="73"/>
      <c r="V24" s="74"/>
      <c r="W24" s="73"/>
      <c r="X24" s="74"/>
      <c r="Y24" s="73"/>
      <c r="Z24" s="74"/>
    </row>
    <row r="25" spans="1:26" ht="12" customHeight="1" x14ac:dyDescent="0.25">
      <c r="A25" s="58"/>
      <c r="B25" s="60"/>
      <c r="C25" s="43" t="s">
        <v>52</v>
      </c>
      <c r="D25" s="44">
        <v>14</v>
      </c>
      <c r="E25" s="43" t="s">
        <v>52</v>
      </c>
      <c r="F25" s="44">
        <v>14</v>
      </c>
      <c r="G25" s="43" t="s">
        <v>52</v>
      </c>
      <c r="H25" s="44">
        <v>14</v>
      </c>
      <c r="I25" s="43" t="s">
        <v>52</v>
      </c>
      <c r="J25" s="44">
        <v>14</v>
      </c>
      <c r="K25" s="43" t="s">
        <v>60</v>
      </c>
      <c r="L25" s="45">
        <v>90</v>
      </c>
      <c r="M25" s="43" t="s">
        <v>60</v>
      </c>
      <c r="N25" s="45">
        <v>75</v>
      </c>
      <c r="O25" s="43" t="s">
        <v>60</v>
      </c>
      <c r="P25" s="45">
        <v>90</v>
      </c>
      <c r="Q25" s="43" t="s">
        <v>60</v>
      </c>
      <c r="R25" s="45">
        <v>320</v>
      </c>
      <c r="S25" s="73"/>
      <c r="T25" s="74"/>
      <c r="U25" s="73"/>
      <c r="V25" s="74"/>
      <c r="W25" s="73"/>
      <c r="X25" s="74"/>
      <c r="Y25" s="73"/>
      <c r="Z25" s="74"/>
    </row>
    <row r="26" spans="1:26" ht="12" customHeight="1" x14ac:dyDescent="0.25">
      <c r="A26" s="58"/>
      <c r="B26" s="60"/>
      <c r="C26" s="43" t="s">
        <v>53</v>
      </c>
      <c r="D26" s="46">
        <f>+D25+0.4</f>
        <v>14.4</v>
      </c>
      <c r="E26" s="43" t="s">
        <v>53</v>
      </c>
      <c r="F26" s="46">
        <f t="shared" ref="F26" si="16">+F25+0.4</f>
        <v>14.4</v>
      </c>
      <c r="G26" s="43" t="s">
        <v>53</v>
      </c>
      <c r="H26" s="46">
        <f t="shared" ref="H26" si="17">+H25+0.4</f>
        <v>14.4</v>
      </c>
      <c r="I26" s="43" t="s">
        <v>53</v>
      </c>
      <c r="J26" s="46">
        <f t="shared" ref="J26" si="18">+J25+0.4</f>
        <v>14.4</v>
      </c>
      <c r="K26" s="43" t="s">
        <v>61</v>
      </c>
      <c r="L26" s="46">
        <f>+L25+0.24</f>
        <v>90.24</v>
      </c>
      <c r="M26" s="43" t="s">
        <v>61</v>
      </c>
      <c r="N26" s="46">
        <f>+N25+0.5</f>
        <v>75.5</v>
      </c>
      <c r="O26" s="43" t="s">
        <v>61</v>
      </c>
      <c r="P26" s="46">
        <f t="shared" ref="P26" si="19">+P25+0.24</f>
        <v>90.24</v>
      </c>
      <c r="Q26" s="43" t="s">
        <v>61</v>
      </c>
      <c r="R26" s="46">
        <f>+R25+5</f>
        <v>325</v>
      </c>
      <c r="S26" s="73"/>
      <c r="T26" s="74"/>
      <c r="U26" s="73"/>
      <c r="V26" s="74"/>
      <c r="W26" s="73"/>
      <c r="X26" s="74"/>
      <c r="Y26" s="73"/>
      <c r="Z26" s="74"/>
    </row>
    <row r="27" spans="1:26" ht="12" customHeight="1" x14ac:dyDescent="0.25">
      <c r="A27" s="58"/>
      <c r="B27" s="60"/>
      <c r="C27" s="43" t="s">
        <v>49</v>
      </c>
      <c r="D27" s="46">
        <f>+D25-0.4</f>
        <v>13.6</v>
      </c>
      <c r="E27" s="43" t="s">
        <v>49</v>
      </c>
      <c r="F27" s="46">
        <f t="shared" ref="F27" si="20">+F25-0.4</f>
        <v>13.6</v>
      </c>
      <c r="G27" s="43" t="s">
        <v>49</v>
      </c>
      <c r="H27" s="46">
        <f t="shared" ref="H27" si="21">+H25-0.4</f>
        <v>13.6</v>
      </c>
      <c r="I27" s="43" t="s">
        <v>49</v>
      </c>
      <c r="J27" s="46">
        <f t="shared" ref="J27" si="22">+J25-0.4</f>
        <v>13.6</v>
      </c>
      <c r="K27" s="43" t="s">
        <v>62</v>
      </c>
      <c r="L27" s="46">
        <f>+L25-0.24</f>
        <v>89.76</v>
      </c>
      <c r="M27" s="43" t="s">
        <v>62</v>
      </c>
      <c r="N27" s="46">
        <f>+N25-0.2</f>
        <v>74.8</v>
      </c>
      <c r="O27" s="43" t="s">
        <v>62</v>
      </c>
      <c r="P27" s="46">
        <f t="shared" ref="P27" si="23">+P25-0.24</f>
        <v>89.76</v>
      </c>
      <c r="Q27" s="43" t="s">
        <v>62</v>
      </c>
      <c r="R27" s="46">
        <f>+R25-5</f>
        <v>315</v>
      </c>
      <c r="S27" s="73"/>
      <c r="T27" s="74"/>
      <c r="U27" s="73"/>
      <c r="V27" s="74"/>
      <c r="W27" s="73"/>
      <c r="X27" s="74"/>
      <c r="Y27" s="73"/>
      <c r="Z27" s="74"/>
    </row>
    <row r="28" spans="1:26" ht="12" customHeight="1" x14ac:dyDescent="0.25">
      <c r="A28" s="58"/>
      <c r="B28" s="61"/>
      <c r="C28" s="43" t="s">
        <v>54</v>
      </c>
      <c r="D28" s="47" t="s">
        <v>63</v>
      </c>
      <c r="E28" s="43" t="s">
        <v>54</v>
      </c>
      <c r="F28" s="47" t="s">
        <v>63</v>
      </c>
      <c r="G28" s="43" t="s">
        <v>54</v>
      </c>
      <c r="H28" s="47" t="s">
        <v>63</v>
      </c>
      <c r="I28" s="43" t="s">
        <v>54</v>
      </c>
      <c r="J28" s="47" t="s">
        <v>63</v>
      </c>
      <c r="K28" s="43" t="s">
        <v>54</v>
      </c>
      <c r="L28" s="47" t="s">
        <v>15</v>
      </c>
      <c r="M28" s="43" t="s">
        <v>54</v>
      </c>
      <c r="N28" s="47" t="s">
        <v>15</v>
      </c>
      <c r="O28" s="43" t="s">
        <v>54</v>
      </c>
      <c r="P28" s="47" t="s">
        <v>15</v>
      </c>
      <c r="Q28" s="43" t="s">
        <v>79</v>
      </c>
      <c r="R28" s="47" t="s">
        <v>66</v>
      </c>
      <c r="S28" s="73"/>
      <c r="T28" s="74"/>
      <c r="U28" s="73"/>
      <c r="V28" s="74"/>
      <c r="W28" s="73"/>
      <c r="X28" s="74"/>
      <c r="Y28" s="73"/>
      <c r="Z28" s="74"/>
    </row>
    <row r="29" spans="1:26" ht="12" customHeight="1" x14ac:dyDescent="0.25">
      <c r="A29" s="25">
        <f>+A11</f>
        <v>1</v>
      </c>
      <c r="B29" s="25" t="s">
        <v>67</v>
      </c>
      <c r="C29" s="64">
        <v>14.23</v>
      </c>
      <c r="D29" s="64"/>
      <c r="E29" s="64">
        <v>14.51</v>
      </c>
      <c r="F29" s="64"/>
      <c r="G29" s="62">
        <v>13.9</v>
      </c>
      <c r="H29" s="63"/>
      <c r="I29" s="62">
        <v>13.89</v>
      </c>
      <c r="J29" s="63"/>
      <c r="K29" s="62">
        <v>90.04</v>
      </c>
      <c r="L29" s="63"/>
      <c r="M29" s="62">
        <v>75.41</v>
      </c>
      <c r="N29" s="63"/>
      <c r="O29" s="62">
        <v>89.82</v>
      </c>
      <c r="P29" s="63"/>
      <c r="Q29" s="62">
        <v>323.42</v>
      </c>
      <c r="R29" s="63"/>
      <c r="S29" s="62"/>
      <c r="T29" s="63"/>
      <c r="U29" s="62"/>
      <c r="V29" s="63"/>
      <c r="W29" s="62"/>
      <c r="X29" s="63"/>
      <c r="Y29" s="62"/>
      <c r="Z29" s="63"/>
    </row>
    <row r="30" spans="1:26" ht="12" customHeight="1" x14ac:dyDescent="0.25">
      <c r="A30" s="25">
        <f>+A12</f>
        <v>2</v>
      </c>
      <c r="B30" s="25" t="s">
        <v>67</v>
      </c>
      <c r="C30" s="64">
        <v>14.28</v>
      </c>
      <c r="D30" s="64"/>
      <c r="E30" s="64">
        <v>14.52</v>
      </c>
      <c r="F30" s="64"/>
      <c r="G30" s="62">
        <v>13.89</v>
      </c>
      <c r="H30" s="63"/>
      <c r="I30" s="62">
        <v>13.82</v>
      </c>
      <c r="J30" s="63"/>
      <c r="K30" s="62">
        <v>90.09</v>
      </c>
      <c r="L30" s="63"/>
      <c r="M30" s="62">
        <v>75.42</v>
      </c>
      <c r="N30" s="63"/>
      <c r="O30" s="62">
        <v>89.76</v>
      </c>
      <c r="P30" s="63"/>
      <c r="Q30" s="62">
        <v>322.05</v>
      </c>
      <c r="R30" s="63"/>
      <c r="S30" s="62"/>
      <c r="T30" s="63"/>
      <c r="U30" s="62"/>
      <c r="V30" s="63"/>
      <c r="W30" s="62"/>
      <c r="X30" s="63"/>
      <c r="Y30" s="62"/>
      <c r="Z30" s="63"/>
    </row>
    <row r="31" spans="1:26" ht="12" customHeight="1" x14ac:dyDescent="0.25">
      <c r="A31" s="25">
        <f>+A13</f>
        <v>3</v>
      </c>
      <c r="B31" s="25" t="s">
        <v>67</v>
      </c>
      <c r="C31" s="64">
        <v>14.32</v>
      </c>
      <c r="D31" s="64"/>
      <c r="E31" s="64">
        <v>14.54</v>
      </c>
      <c r="F31" s="64"/>
      <c r="G31" s="62">
        <v>13.89</v>
      </c>
      <c r="H31" s="63"/>
      <c r="I31" s="62">
        <v>13.76</v>
      </c>
      <c r="J31" s="63"/>
      <c r="K31" s="62">
        <v>89.95</v>
      </c>
      <c r="L31" s="63"/>
      <c r="M31" s="62">
        <v>75.41</v>
      </c>
      <c r="N31" s="63"/>
      <c r="O31" s="62">
        <v>89.85</v>
      </c>
      <c r="P31" s="63"/>
      <c r="Q31" s="62">
        <v>322.49</v>
      </c>
      <c r="R31" s="63"/>
      <c r="S31" s="62"/>
      <c r="T31" s="63"/>
      <c r="U31" s="62"/>
      <c r="V31" s="63"/>
      <c r="W31" s="62"/>
      <c r="X31" s="63"/>
      <c r="Y31" s="62"/>
      <c r="Z31" s="63"/>
    </row>
    <row r="32" spans="1:26" ht="12" customHeight="1" x14ac:dyDescent="0.25">
      <c r="A32" s="25">
        <f>+A14</f>
        <v>4</v>
      </c>
      <c r="B32" s="25" t="s">
        <v>67</v>
      </c>
      <c r="C32" s="64">
        <v>14.35</v>
      </c>
      <c r="D32" s="64"/>
      <c r="E32" s="64">
        <v>14.52</v>
      </c>
      <c r="F32" s="64"/>
      <c r="G32" s="62">
        <v>13.96</v>
      </c>
      <c r="H32" s="63"/>
      <c r="I32" s="62">
        <v>13.83</v>
      </c>
      <c r="J32" s="63"/>
      <c r="K32" s="62">
        <v>90.11</v>
      </c>
      <c r="L32" s="63"/>
      <c r="M32" s="62">
        <v>75.34</v>
      </c>
      <c r="N32" s="63"/>
      <c r="O32" s="62">
        <v>89.58</v>
      </c>
      <c r="P32" s="63"/>
      <c r="Q32" s="62">
        <v>323.16000000000003</v>
      </c>
      <c r="R32" s="63"/>
      <c r="S32" s="62"/>
      <c r="T32" s="63"/>
      <c r="U32" s="62"/>
      <c r="V32" s="63"/>
      <c r="W32" s="62"/>
      <c r="X32" s="63"/>
      <c r="Y32" s="62"/>
      <c r="Z32" s="63"/>
    </row>
    <row r="33" spans="1:26" ht="12" customHeight="1" x14ac:dyDescent="0.25">
      <c r="A33" s="25"/>
      <c r="B33" s="25"/>
      <c r="C33" s="64"/>
      <c r="D33" s="64"/>
      <c r="E33" s="64"/>
      <c r="F33" s="64"/>
      <c r="G33" s="62"/>
      <c r="H33" s="63"/>
      <c r="I33" s="62"/>
      <c r="J33" s="63"/>
      <c r="K33" s="62"/>
      <c r="L33" s="63"/>
      <c r="M33" s="62"/>
      <c r="N33" s="63"/>
      <c r="O33" s="62"/>
      <c r="P33" s="63"/>
      <c r="Q33" s="62"/>
      <c r="R33" s="63"/>
      <c r="S33" s="62"/>
      <c r="T33" s="63"/>
      <c r="U33" s="62"/>
      <c r="V33" s="63"/>
      <c r="W33" s="62"/>
      <c r="X33" s="63"/>
      <c r="Y33" s="62"/>
      <c r="Z33" s="63"/>
    </row>
    <row r="34" spans="1:26" ht="12" customHeight="1" x14ac:dyDescent="0.25">
      <c r="A34" s="25"/>
      <c r="B34" s="25"/>
      <c r="C34" s="64"/>
      <c r="D34" s="64"/>
      <c r="E34" s="64"/>
      <c r="F34" s="64"/>
      <c r="G34" s="62"/>
      <c r="H34" s="63"/>
      <c r="I34" s="62"/>
      <c r="J34" s="63"/>
      <c r="K34" s="62"/>
      <c r="L34" s="63"/>
      <c r="M34" s="62"/>
      <c r="N34" s="63"/>
      <c r="O34" s="62"/>
      <c r="P34" s="63"/>
      <c r="Q34" s="62"/>
      <c r="R34" s="63"/>
      <c r="S34" s="62"/>
      <c r="T34" s="63"/>
      <c r="U34" s="62"/>
      <c r="V34" s="63"/>
      <c r="W34" s="62"/>
      <c r="X34" s="63"/>
      <c r="Y34" s="62"/>
      <c r="Z34" s="63"/>
    </row>
    <row r="35" spans="1:26" ht="12" customHeight="1" x14ac:dyDescent="0.25">
      <c r="A35" s="25"/>
      <c r="B35" s="25"/>
      <c r="C35" s="64"/>
      <c r="D35" s="64"/>
      <c r="E35" s="64"/>
      <c r="F35" s="64"/>
      <c r="G35" s="62"/>
      <c r="H35" s="63"/>
      <c r="I35" s="62"/>
      <c r="J35" s="63"/>
      <c r="K35" s="62"/>
      <c r="L35" s="63"/>
      <c r="M35" s="62"/>
      <c r="N35" s="63"/>
      <c r="O35" s="62"/>
      <c r="P35" s="63"/>
      <c r="Q35" s="62"/>
      <c r="R35" s="63"/>
      <c r="S35" s="62"/>
      <c r="T35" s="63"/>
      <c r="U35" s="62"/>
      <c r="V35" s="63"/>
      <c r="W35" s="62"/>
      <c r="X35" s="63"/>
      <c r="Y35" s="62"/>
      <c r="Z35" s="63"/>
    </row>
    <row r="36" spans="1:26" ht="12" customHeight="1" x14ac:dyDescent="0.25">
      <c r="A36" s="25"/>
      <c r="B36" s="25"/>
      <c r="C36" s="64"/>
      <c r="D36" s="64"/>
      <c r="E36" s="64"/>
      <c r="F36" s="64"/>
      <c r="G36" s="62"/>
      <c r="H36" s="63"/>
      <c r="I36" s="62"/>
      <c r="J36" s="63"/>
      <c r="K36" s="62"/>
      <c r="L36" s="63"/>
      <c r="M36" s="62"/>
      <c r="N36" s="63"/>
      <c r="O36" s="62"/>
      <c r="P36" s="63"/>
      <c r="Q36" s="62"/>
      <c r="R36" s="63"/>
      <c r="S36" s="62"/>
      <c r="T36" s="63"/>
      <c r="U36" s="62"/>
      <c r="V36" s="63"/>
      <c r="W36" s="62"/>
      <c r="X36" s="63"/>
      <c r="Y36" s="62"/>
      <c r="Z36" s="63"/>
    </row>
    <row r="37" spans="1:26" ht="12" customHeight="1" x14ac:dyDescent="0.25">
      <c r="A37" s="25"/>
      <c r="B37" s="25"/>
      <c r="C37" s="64"/>
      <c r="D37" s="64"/>
      <c r="E37" s="64"/>
      <c r="F37" s="64"/>
      <c r="G37" s="62"/>
      <c r="H37" s="63"/>
      <c r="I37" s="62"/>
      <c r="J37" s="63"/>
      <c r="K37" s="62"/>
      <c r="L37" s="63"/>
      <c r="M37" s="62"/>
      <c r="N37" s="63"/>
      <c r="O37" s="62"/>
      <c r="P37" s="63"/>
      <c r="Q37" s="62"/>
      <c r="R37" s="63"/>
      <c r="S37" s="62"/>
      <c r="T37" s="63"/>
      <c r="U37" s="62"/>
      <c r="V37" s="63"/>
      <c r="W37" s="62"/>
      <c r="X37" s="63"/>
      <c r="Y37" s="62"/>
      <c r="Z37" s="63"/>
    </row>
    <row r="38" spans="1:26" ht="12" customHeight="1" x14ac:dyDescent="0.25">
      <c r="A38" s="25"/>
      <c r="B38" s="25"/>
      <c r="C38" s="64"/>
      <c r="D38" s="64"/>
      <c r="E38" s="64"/>
      <c r="F38" s="64"/>
      <c r="G38" s="62"/>
      <c r="H38" s="63"/>
      <c r="I38" s="62"/>
      <c r="J38" s="63"/>
      <c r="K38" s="62"/>
      <c r="L38" s="63"/>
      <c r="M38" s="62"/>
      <c r="N38" s="63"/>
      <c r="O38" s="62"/>
      <c r="P38" s="63"/>
      <c r="Q38" s="62"/>
      <c r="R38" s="63"/>
      <c r="S38" s="62"/>
      <c r="T38" s="63"/>
      <c r="U38" s="62"/>
      <c r="V38" s="63"/>
      <c r="W38" s="62"/>
      <c r="X38" s="63"/>
      <c r="Y38" s="62"/>
      <c r="Z38" s="63"/>
    </row>
    <row r="39" spans="1:26" ht="12" customHeight="1" x14ac:dyDescent="0.25">
      <c r="A39" s="25"/>
      <c r="B39" s="25"/>
      <c r="C39" s="64"/>
      <c r="D39" s="64"/>
      <c r="E39" s="64"/>
      <c r="F39" s="64"/>
      <c r="G39" s="62"/>
      <c r="H39" s="63"/>
      <c r="I39" s="62"/>
      <c r="J39" s="63"/>
      <c r="K39" s="62"/>
      <c r="L39" s="63"/>
      <c r="M39" s="62"/>
      <c r="N39" s="63"/>
      <c r="O39" s="62"/>
      <c r="P39" s="63"/>
      <c r="Q39" s="62"/>
      <c r="R39" s="63"/>
      <c r="S39" s="62"/>
      <c r="T39" s="63"/>
      <c r="U39" s="62"/>
      <c r="V39" s="63"/>
      <c r="W39" s="62"/>
      <c r="X39" s="63"/>
      <c r="Y39" s="62"/>
      <c r="Z39" s="63"/>
    </row>
    <row r="40" spans="1:26" ht="12" customHeight="1" x14ac:dyDescent="0.25">
      <c r="A40" s="25"/>
      <c r="B40" s="25"/>
      <c r="C40" s="64"/>
      <c r="D40" s="64"/>
      <c r="E40" s="64"/>
      <c r="F40" s="64"/>
      <c r="G40" s="62"/>
      <c r="H40" s="63"/>
      <c r="I40" s="62"/>
      <c r="J40" s="63"/>
      <c r="K40" s="62"/>
      <c r="L40" s="63"/>
      <c r="M40" s="62"/>
      <c r="N40" s="63"/>
      <c r="O40" s="62"/>
      <c r="P40" s="63"/>
      <c r="Q40" s="62"/>
      <c r="R40" s="63"/>
      <c r="S40" s="62"/>
      <c r="T40" s="63"/>
      <c r="U40" s="62"/>
      <c r="V40" s="63"/>
      <c r="W40" s="62"/>
      <c r="X40" s="63"/>
      <c r="Y40" s="62"/>
      <c r="Z40" s="63"/>
    </row>
    <row r="41" spans="1:26" ht="16.5" customHeight="1" x14ac:dyDescent="0.25">
      <c r="A41" s="14"/>
      <c r="B41" s="14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2.75" customHeight="1" x14ac:dyDescent="0.25">
      <c r="A42" s="65" t="s">
        <v>20</v>
      </c>
      <c r="B42" s="66"/>
      <c r="C42" s="66"/>
      <c r="D42" s="66"/>
      <c r="E42" s="66"/>
      <c r="F42" s="66"/>
      <c r="G42" s="66"/>
      <c r="H42" s="66"/>
      <c r="I42" s="66"/>
      <c r="J42" s="20"/>
      <c r="K42" s="67" t="s">
        <v>42</v>
      </c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9"/>
    </row>
    <row r="43" spans="1:26" ht="12.75" customHeight="1" x14ac:dyDescent="0.25">
      <c r="A43" s="17" t="s">
        <v>10</v>
      </c>
      <c r="B43" s="10"/>
      <c r="C43" s="10"/>
      <c r="D43" s="10"/>
      <c r="E43" s="10" t="s">
        <v>14</v>
      </c>
      <c r="F43" s="10"/>
      <c r="G43" s="10"/>
      <c r="H43" s="10" t="s">
        <v>18</v>
      </c>
      <c r="I43" s="10"/>
      <c r="J43" s="16"/>
      <c r="K43" s="15" t="s">
        <v>21</v>
      </c>
      <c r="L43" s="10"/>
      <c r="M43" s="10"/>
      <c r="N43" s="10" t="s">
        <v>25</v>
      </c>
      <c r="O43" s="10"/>
      <c r="P43" s="10" t="s">
        <v>26</v>
      </c>
      <c r="Q43" s="10"/>
      <c r="S43" s="10" t="s">
        <v>33</v>
      </c>
      <c r="T43" s="10"/>
      <c r="U43" s="10"/>
      <c r="V43" s="10"/>
      <c r="W43" s="10" t="s">
        <v>37</v>
      </c>
      <c r="X43" s="10"/>
      <c r="Y43" s="10"/>
      <c r="Z43" s="16"/>
    </row>
    <row r="44" spans="1:26" ht="12.75" customHeight="1" x14ac:dyDescent="0.25">
      <c r="A44" s="17" t="s">
        <v>11</v>
      </c>
      <c r="B44" s="10"/>
      <c r="C44" s="10"/>
      <c r="D44" s="10"/>
      <c r="E44" s="10" t="s">
        <v>15</v>
      </c>
      <c r="F44" s="10"/>
      <c r="G44" s="10"/>
      <c r="H44" s="10" t="s">
        <v>19</v>
      </c>
      <c r="I44" s="10"/>
      <c r="J44" s="16"/>
      <c r="K44" s="17" t="s">
        <v>22</v>
      </c>
      <c r="L44" s="10"/>
      <c r="M44" s="10"/>
      <c r="N44" s="10" t="s">
        <v>27</v>
      </c>
      <c r="O44" s="10"/>
      <c r="P44" s="10" t="s">
        <v>28</v>
      </c>
      <c r="Q44" s="10"/>
      <c r="S44" s="10" t="s">
        <v>34</v>
      </c>
      <c r="T44" s="10"/>
      <c r="U44" s="10"/>
      <c r="V44" s="10"/>
      <c r="W44" s="10"/>
      <c r="X44" s="10"/>
      <c r="Y44" s="10"/>
      <c r="Z44" s="16"/>
    </row>
    <row r="45" spans="1:26" ht="12.75" customHeight="1" x14ac:dyDescent="0.25">
      <c r="A45" s="17" t="s">
        <v>12</v>
      </c>
      <c r="B45" s="10"/>
      <c r="C45" s="10"/>
      <c r="D45" s="10"/>
      <c r="E45" s="10" t="s">
        <v>16</v>
      </c>
      <c r="F45" s="10"/>
      <c r="G45" s="10"/>
      <c r="H45" s="10" t="s">
        <v>47</v>
      </c>
      <c r="I45" s="10"/>
      <c r="J45" s="16"/>
      <c r="K45" s="17" t="s">
        <v>23</v>
      </c>
      <c r="L45" s="10"/>
      <c r="M45" s="10"/>
      <c r="N45" s="10" t="s">
        <v>29</v>
      </c>
      <c r="O45" s="10"/>
      <c r="P45" s="10" t="s">
        <v>30</v>
      </c>
      <c r="Q45" s="10"/>
      <c r="S45" s="10" t="s">
        <v>35</v>
      </c>
      <c r="T45" s="10"/>
      <c r="U45" s="10"/>
      <c r="V45" s="10"/>
      <c r="W45" s="10"/>
      <c r="X45" s="10"/>
      <c r="Y45" s="10"/>
      <c r="Z45" s="16"/>
    </row>
    <row r="46" spans="1:26" ht="12.75" customHeight="1" x14ac:dyDescent="0.25">
      <c r="A46" s="18" t="s">
        <v>13</v>
      </c>
      <c r="B46" s="9"/>
      <c r="C46" s="9"/>
      <c r="D46" s="9"/>
      <c r="E46" s="9" t="s">
        <v>17</v>
      </c>
      <c r="F46" s="9"/>
      <c r="G46" s="9"/>
      <c r="H46" s="9" t="s">
        <v>48</v>
      </c>
      <c r="I46" s="9"/>
      <c r="J46" s="21"/>
      <c r="K46" s="18" t="s">
        <v>24</v>
      </c>
      <c r="L46" s="7"/>
      <c r="M46" s="7"/>
      <c r="N46" s="9" t="s">
        <v>31</v>
      </c>
      <c r="O46" s="9"/>
      <c r="P46" s="9" t="s">
        <v>32</v>
      </c>
      <c r="Q46" s="7"/>
      <c r="R46" s="7"/>
      <c r="S46" s="9" t="s">
        <v>36</v>
      </c>
      <c r="T46" s="7"/>
      <c r="U46" s="7"/>
      <c r="V46" s="7"/>
      <c r="W46" s="7"/>
      <c r="X46" s="7"/>
      <c r="Y46" s="7"/>
      <c r="Z46" s="19"/>
    </row>
    <row r="47" spans="1:26" ht="12" customHeight="1" x14ac:dyDescent="0.25">
      <c r="A47" s="12" t="s">
        <v>38</v>
      </c>
      <c r="B47" s="8"/>
      <c r="C47" s="5"/>
      <c r="D47" s="29"/>
      <c r="E47" s="9"/>
      <c r="F47" s="26"/>
      <c r="G47" s="26"/>
      <c r="H47" s="26"/>
      <c r="I47" s="26"/>
      <c r="J47" s="26"/>
      <c r="K47" s="26"/>
      <c r="L47" s="27"/>
      <c r="M47" s="27"/>
      <c r="N47" s="26"/>
      <c r="O47" s="9"/>
      <c r="P47" s="9"/>
      <c r="Q47" s="28"/>
      <c r="R47" s="9"/>
      <c r="S47" s="28"/>
      <c r="T47" s="28"/>
      <c r="U47" s="28"/>
      <c r="V47" s="28"/>
      <c r="W47" s="28"/>
      <c r="X47" s="28"/>
      <c r="Y47" s="28"/>
      <c r="Z47" s="28"/>
    </row>
    <row r="48" spans="1:26" ht="12" customHeight="1" x14ac:dyDescent="0.25">
      <c r="A48" s="9"/>
      <c r="B48" s="9"/>
      <c r="C48" s="5"/>
      <c r="D48" s="9"/>
      <c r="E48" s="9"/>
      <c r="F48" s="9"/>
      <c r="G48" s="9"/>
      <c r="H48" s="9"/>
      <c r="I48" s="9"/>
      <c r="J48" s="9"/>
      <c r="K48" s="9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3" ht="15" customHeight="1" x14ac:dyDescent="0.25">
      <c r="A49" s="12" t="s">
        <v>7</v>
      </c>
      <c r="B49" s="30"/>
      <c r="C49" s="70" t="s">
        <v>39</v>
      </c>
      <c r="D49" s="70"/>
      <c r="E49" s="71" t="s">
        <v>80</v>
      </c>
      <c r="F49" s="71"/>
      <c r="G49" s="8"/>
      <c r="H49" s="10" t="s">
        <v>40</v>
      </c>
      <c r="I49" s="8"/>
      <c r="J49" s="8"/>
      <c r="K49" s="8"/>
      <c r="L49" s="72" t="s">
        <v>41</v>
      </c>
      <c r="M49" s="72"/>
      <c r="P49" s="4" t="s">
        <v>56</v>
      </c>
      <c r="Q49" s="4"/>
      <c r="R49" s="4"/>
      <c r="W49" s="12" t="s">
        <v>43</v>
      </c>
    </row>
    <row r="50" spans="1:23" ht="11.25" customHeight="1" x14ac:dyDescent="0.25">
      <c r="C50" s="8"/>
      <c r="D50" s="8"/>
      <c r="E50" s="8"/>
      <c r="F50" s="8"/>
      <c r="G50" s="8"/>
      <c r="H50" s="8"/>
      <c r="I50" s="8"/>
      <c r="J50" s="8"/>
      <c r="K50" s="8"/>
    </row>
    <row r="51" spans="1:23" ht="11.25" customHeight="1" x14ac:dyDescent="0.25">
      <c r="C51" s="8"/>
      <c r="D51" s="8"/>
      <c r="E51" s="8"/>
      <c r="F51" s="8"/>
      <c r="G51" s="8"/>
      <c r="H51" s="8"/>
      <c r="I51" s="8"/>
      <c r="J51" s="8"/>
      <c r="K51" s="8"/>
    </row>
    <row r="52" spans="1:23" ht="11.25" customHeight="1" x14ac:dyDescent="0.25">
      <c r="C52" s="8"/>
      <c r="D52" s="10"/>
      <c r="E52" s="8"/>
      <c r="F52" s="10"/>
      <c r="G52" s="8"/>
      <c r="H52" s="8"/>
      <c r="I52" s="8"/>
      <c r="J52" s="8"/>
      <c r="K52" s="8"/>
    </row>
    <row r="53" spans="1:23" ht="11.25" customHeight="1" x14ac:dyDescent="0.25">
      <c r="C53" s="12"/>
      <c r="D53" s="2"/>
      <c r="E53" s="12"/>
      <c r="F53" s="10"/>
      <c r="G53" s="8"/>
      <c r="H53" s="8"/>
      <c r="I53" s="8"/>
      <c r="J53" s="8"/>
      <c r="K53" s="8"/>
    </row>
    <row r="54" spans="1:23" ht="11.25" customHeight="1" x14ac:dyDescent="0.25"/>
    <row r="55" spans="1:23" ht="11.25" customHeight="1" x14ac:dyDescent="0.25"/>
  </sheetData>
  <mergeCells count="339">
    <mergeCell ref="S26:T26"/>
    <mergeCell ref="U26:V26"/>
    <mergeCell ref="W26:X26"/>
    <mergeCell ref="Y26:Z26"/>
    <mergeCell ref="S27:T27"/>
    <mergeCell ref="U27:V27"/>
    <mergeCell ref="W27:X27"/>
    <mergeCell ref="Y27:Z27"/>
    <mergeCell ref="S28:T28"/>
    <mergeCell ref="U28:V28"/>
    <mergeCell ref="W28:X28"/>
    <mergeCell ref="Y28:Z28"/>
    <mergeCell ref="S23:T23"/>
    <mergeCell ref="U23:V23"/>
    <mergeCell ref="W23:X23"/>
    <mergeCell ref="Y23:Z23"/>
    <mergeCell ref="S24:T24"/>
    <mergeCell ref="U24:V24"/>
    <mergeCell ref="W24:X24"/>
    <mergeCell ref="Y24:Z24"/>
    <mergeCell ref="S25:T25"/>
    <mergeCell ref="U25:V25"/>
    <mergeCell ref="W25:X25"/>
    <mergeCell ref="Y25:Z25"/>
    <mergeCell ref="A23:A28"/>
    <mergeCell ref="B23:B28"/>
    <mergeCell ref="A42:I42"/>
    <mergeCell ref="K42:Z42"/>
    <mergeCell ref="C49:D49"/>
    <mergeCell ref="E49:F49"/>
    <mergeCell ref="L49:M49"/>
    <mergeCell ref="O40:P40"/>
    <mergeCell ref="Q40:R40"/>
    <mergeCell ref="S40:T40"/>
    <mergeCell ref="U40:V40"/>
    <mergeCell ref="W40:X40"/>
    <mergeCell ref="Y40:Z40"/>
    <mergeCell ref="C40:D40"/>
    <mergeCell ref="E40:F40"/>
    <mergeCell ref="G40:H40"/>
    <mergeCell ref="I40:J40"/>
    <mergeCell ref="K40:L40"/>
    <mergeCell ref="M40:N40"/>
    <mergeCell ref="O39:P39"/>
    <mergeCell ref="Q39:R39"/>
    <mergeCell ref="S39:T39"/>
    <mergeCell ref="U39:V39"/>
    <mergeCell ref="W39:X39"/>
    <mergeCell ref="Y39:Z39"/>
    <mergeCell ref="C39:D39"/>
    <mergeCell ref="E39:F39"/>
    <mergeCell ref="G39:H39"/>
    <mergeCell ref="I39:J39"/>
    <mergeCell ref="K39:L39"/>
    <mergeCell ref="M39:N39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I38:J38"/>
    <mergeCell ref="K38:L38"/>
    <mergeCell ref="M38:N38"/>
    <mergeCell ref="O37:P37"/>
    <mergeCell ref="Q37:R37"/>
    <mergeCell ref="S37:T37"/>
    <mergeCell ref="U37:V37"/>
    <mergeCell ref="W37:X37"/>
    <mergeCell ref="Y37:Z37"/>
    <mergeCell ref="C37:D37"/>
    <mergeCell ref="E37:F37"/>
    <mergeCell ref="G37:H37"/>
    <mergeCell ref="I37:J37"/>
    <mergeCell ref="K37:L37"/>
    <mergeCell ref="M37:N37"/>
    <mergeCell ref="O36:P36"/>
    <mergeCell ref="Q36:R36"/>
    <mergeCell ref="S36:T36"/>
    <mergeCell ref="U36:V36"/>
    <mergeCell ref="W36:X36"/>
    <mergeCell ref="Y36:Z36"/>
    <mergeCell ref="C36:D36"/>
    <mergeCell ref="E36:F36"/>
    <mergeCell ref="G36:H36"/>
    <mergeCell ref="I36:J36"/>
    <mergeCell ref="K36:L36"/>
    <mergeCell ref="M36:N36"/>
    <mergeCell ref="O35:P35"/>
    <mergeCell ref="Q35:R35"/>
    <mergeCell ref="S35:T35"/>
    <mergeCell ref="U35:V35"/>
    <mergeCell ref="W35:X35"/>
    <mergeCell ref="Y35:Z35"/>
    <mergeCell ref="C35:D35"/>
    <mergeCell ref="E35:F35"/>
    <mergeCell ref="G35:H35"/>
    <mergeCell ref="I35:J35"/>
    <mergeCell ref="K35:L35"/>
    <mergeCell ref="M35:N35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O33:P33"/>
    <mergeCell ref="Q33:R33"/>
    <mergeCell ref="S33:T33"/>
    <mergeCell ref="U33:V33"/>
    <mergeCell ref="W33:X33"/>
    <mergeCell ref="Y33:Z33"/>
    <mergeCell ref="C33:D33"/>
    <mergeCell ref="E33:F33"/>
    <mergeCell ref="G33:H33"/>
    <mergeCell ref="I33:J33"/>
    <mergeCell ref="K33:L33"/>
    <mergeCell ref="M33:N33"/>
    <mergeCell ref="O32:P32"/>
    <mergeCell ref="Q32:R32"/>
    <mergeCell ref="S32:T32"/>
    <mergeCell ref="U32:V32"/>
    <mergeCell ref="W32:X32"/>
    <mergeCell ref="Y32:Z32"/>
    <mergeCell ref="C32:D32"/>
    <mergeCell ref="E32:F32"/>
    <mergeCell ref="G32:H32"/>
    <mergeCell ref="I32:J32"/>
    <mergeCell ref="K32:L32"/>
    <mergeCell ref="M32:N32"/>
    <mergeCell ref="O31:P31"/>
    <mergeCell ref="Q31:R31"/>
    <mergeCell ref="S31:T31"/>
    <mergeCell ref="U31:V31"/>
    <mergeCell ref="W31:X31"/>
    <mergeCell ref="Y31:Z31"/>
    <mergeCell ref="C31:D31"/>
    <mergeCell ref="E31:F31"/>
    <mergeCell ref="G31:H31"/>
    <mergeCell ref="I31:J31"/>
    <mergeCell ref="K31:L31"/>
    <mergeCell ref="M31:N31"/>
    <mergeCell ref="O30:P30"/>
    <mergeCell ref="Q30:R30"/>
    <mergeCell ref="S30:T30"/>
    <mergeCell ref="U30:V30"/>
    <mergeCell ref="W30:X30"/>
    <mergeCell ref="Y30:Z30"/>
    <mergeCell ref="C30:D30"/>
    <mergeCell ref="E30:F30"/>
    <mergeCell ref="G30:H30"/>
    <mergeCell ref="I30:J30"/>
    <mergeCell ref="K30:L30"/>
    <mergeCell ref="M30:N30"/>
    <mergeCell ref="O29:P29"/>
    <mergeCell ref="Q29:R29"/>
    <mergeCell ref="S29:T29"/>
    <mergeCell ref="U29:V29"/>
    <mergeCell ref="W29:X29"/>
    <mergeCell ref="Y29:Z29"/>
    <mergeCell ref="C29:D29"/>
    <mergeCell ref="E29:F29"/>
    <mergeCell ref="G29:H29"/>
    <mergeCell ref="I29:J29"/>
    <mergeCell ref="K29:L29"/>
    <mergeCell ref="M29:N29"/>
    <mergeCell ref="O22:P22"/>
    <mergeCell ref="Q22:R22"/>
    <mergeCell ref="S22:T22"/>
    <mergeCell ref="U22:V22"/>
    <mergeCell ref="W22:X22"/>
    <mergeCell ref="Y22:Z22"/>
    <mergeCell ref="C22:D22"/>
    <mergeCell ref="E22:F22"/>
    <mergeCell ref="G22:H22"/>
    <mergeCell ref="I22:J22"/>
    <mergeCell ref="K22:L22"/>
    <mergeCell ref="M22:N22"/>
    <mergeCell ref="O21:P21"/>
    <mergeCell ref="Q21:R21"/>
    <mergeCell ref="S21:T21"/>
    <mergeCell ref="U21:V21"/>
    <mergeCell ref="W21:X21"/>
    <mergeCell ref="Y21:Z21"/>
    <mergeCell ref="C21:D21"/>
    <mergeCell ref="E21:F21"/>
    <mergeCell ref="G21:H21"/>
    <mergeCell ref="I21:J21"/>
    <mergeCell ref="K21:L21"/>
    <mergeCell ref="M21:N21"/>
    <mergeCell ref="O20:P20"/>
    <mergeCell ref="Q20:R20"/>
    <mergeCell ref="S20:T20"/>
    <mergeCell ref="U20:V20"/>
    <mergeCell ref="W20:X20"/>
    <mergeCell ref="Y20:Z20"/>
    <mergeCell ref="C20:D20"/>
    <mergeCell ref="E20:F20"/>
    <mergeCell ref="G20:H20"/>
    <mergeCell ref="I20:J20"/>
    <mergeCell ref="K20:L20"/>
    <mergeCell ref="M20:N20"/>
    <mergeCell ref="O19:P19"/>
    <mergeCell ref="Q19:R19"/>
    <mergeCell ref="S19:T19"/>
    <mergeCell ref="U19:V19"/>
    <mergeCell ref="W19:X19"/>
    <mergeCell ref="Y19:Z19"/>
    <mergeCell ref="C19:D19"/>
    <mergeCell ref="E19:F19"/>
    <mergeCell ref="G19:H19"/>
    <mergeCell ref="I19:J19"/>
    <mergeCell ref="K19:L19"/>
    <mergeCell ref="M19:N19"/>
    <mergeCell ref="O18:P18"/>
    <mergeCell ref="Q18:R18"/>
    <mergeCell ref="S18:T18"/>
    <mergeCell ref="U18:V18"/>
    <mergeCell ref="W18:X18"/>
    <mergeCell ref="Y18:Z18"/>
    <mergeCell ref="C18:D18"/>
    <mergeCell ref="E18:F18"/>
    <mergeCell ref="G18:H18"/>
    <mergeCell ref="I18:J18"/>
    <mergeCell ref="K18:L18"/>
    <mergeCell ref="M18:N18"/>
    <mergeCell ref="O17:P17"/>
    <mergeCell ref="Q17:R17"/>
    <mergeCell ref="S17:T17"/>
    <mergeCell ref="U17:V17"/>
    <mergeCell ref="W17:X17"/>
    <mergeCell ref="Y17:Z17"/>
    <mergeCell ref="C17:D17"/>
    <mergeCell ref="E17:F17"/>
    <mergeCell ref="G17:H17"/>
    <mergeCell ref="I17:J17"/>
    <mergeCell ref="K17:L17"/>
    <mergeCell ref="M17:N17"/>
    <mergeCell ref="O16:P16"/>
    <mergeCell ref="Q16:R16"/>
    <mergeCell ref="S16:T16"/>
    <mergeCell ref="U16:V16"/>
    <mergeCell ref="W16:X16"/>
    <mergeCell ref="Y16:Z16"/>
    <mergeCell ref="C16:D16"/>
    <mergeCell ref="E16:F16"/>
    <mergeCell ref="G16:H16"/>
    <mergeCell ref="I16:J16"/>
    <mergeCell ref="K16:L16"/>
    <mergeCell ref="M16:N16"/>
    <mergeCell ref="O15:P15"/>
    <mergeCell ref="Q15:R15"/>
    <mergeCell ref="S15:T15"/>
    <mergeCell ref="U15:V15"/>
    <mergeCell ref="W15:X15"/>
    <mergeCell ref="Y15:Z15"/>
    <mergeCell ref="C15:D15"/>
    <mergeCell ref="E15:F15"/>
    <mergeCell ref="G15:H15"/>
    <mergeCell ref="I15:J15"/>
    <mergeCell ref="K15:L15"/>
    <mergeCell ref="M15:N15"/>
    <mergeCell ref="O14:P14"/>
    <mergeCell ref="Q14:R14"/>
    <mergeCell ref="S14:T14"/>
    <mergeCell ref="U14:V14"/>
    <mergeCell ref="W14:X14"/>
    <mergeCell ref="Y14:Z14"/>
    <mergeCell ref="C14:D14"/>
    <mergeCell ref="E14:F14"/>
    <mergeCell ref="G14:H14"/>
    <mergeCell ref="I14:J14"/>
    <mergeCell ref="K14:L14"/>
    <mergeCell ref="M14:N14"/>
    <mergeCell ref="O13:P13"/>
    <mergeCell ref="Q13:R13"/>
    <mergeCell ref="S13:T13"/>
    <mergeCell ref="U13:V13"/>
    <mergeCell ref="W13:X13"/>
    <mergeCell ref="Y13:Z13"/>
    <mergeCell ref="C13:D13"/>
    <mergeCell ref="E13:F13"/>
    <mergeCell ref="G13:H13"/>
    <mergeCell ref="I13:J13"/>
    <mergeCell ref="K13:L13"/>
    <mergeCell ref="M13:N13"/>
    <mergeCell ref="O12:P12"/>
    <mergeCell ref="Q12:R12"/>
    <mergeCell ref="S12:T12"/>
    <mergeCell ref="U12:V12"/>
    <mergeCell ref="W12:X12"/>
    <mergeCell ref="Y12:Z12"/>
    <mergeCell ref="C12:D12"/>
    <mergeCell ref="E12:F12"/>
    <mergeCell ref="G12:H12"/>
    <mergeCell ref="I12:J12"/>
    <mergeCell ref="K12:L12"/>
    <mergeCell ref="M12:N12"/>
    <mergeCell ref="A5:A10"/>
    <mergeCell ref="B5:B10"/>
    <mergeCell ref="O11:P11"/>
    <mergeCell ref="Q11:R11"/>
    <mergeCell ref="S11:T11"/>
    <mergeCell ref="U11:V11"/>
    <mergeCell ref="W11:X11"/>
    <mergeCell ref="Y11:Z11"/>
    <mergeCell ref="C11:D11"/>
    <mergeCell ref="E11:F11"/>
    <mergeCell ref="G11:H11"/>
    <mergeCell ref="I11:J11"/>
    <mergeCell ref="K11:L11"/>
    <mergeCell ref="M11:N11"/>
    <mergeCell ref="V2:V3"/>
    <mergeCell ref="O4:P4"/>
    <mergeCell ref="Q4:R4"/>
    <mergeCell ref="C4:D4"/>
    <mergeCell ref="E4:F4"/>
    <mergeCell ref="G4:H4"/>
    <mergeCell ref="I4:J4"/>
    <mergeCell ref="K4:L4"/>
    <mergeCell ref="M4:N4"/>
    <mergeCell ref="A1:R1"/>
    <mergeCell ref="C2:E2"/>
    <mergeCell ref="G2:H2"/>
    <mergeCell ref="K2:L2"/>
    <mergeCell ref="N2:P2"/>
    <mergeCell ref="C3:E3"/>
    <mergeCell ref="G3:H3"/>
    <mergeCell ref="K3:L3"/>
    <mergeCell ref="N3:P3"/>
  </mergeCells>
  <conditionalFormatting sqref="C11:Z22">
    <cfRule type="cellIs" dxfId="30" priority="19" operator="equal">
      <formula>""</formula>
    </cfRule>
  </conditionalFormatting>
  <conditionalFormatting sqref="E11:F22">
    <cfRule type="cellIs" dxfId="29" priority="31" operator="between">
      <formula>$F$8</formula>
      <formula>$F$9</formula>
    </cfRule>
  </conditionalFormatting>
  <conditionalFormatting sqref="G11:H22">
    <cfRule type="cellIs" dxfId="28" priority="30" operator="between">
      <formula>$H$8</formula>
      <formula>$H$9</formula>
    </cfRule>
  </conditionalFormatting>
  <conditionalFormatting sqref="I11:J22">
    <cfRule type="cellIs" dxfId="27" priority="29" operator="between">
      <formula>$J$8</formula>
      <formula>$J$9</formula>
    </cfRule>
  </conditionalFormatting>
  <conditionalFormatting sqref="K11:L22">
    <cfRule type="cellIs" dxfId="26" priority="28" operator="between">
      <formula>$L$8</formula>
      <formula>$L$9</formula>
    </cfRule>
  </conditionalFormatting>
  <conditionalFormatting sqref="M11:N22">
    <cfRule type="cellIs" dxfId="25" priority="26" operator="between">
      <formula>$N$8</formula>
      <formula>$N$9</formula>
    </cfRule>
  </conditionalFormatting>
  <conditionalFormatting sqref="O11:P22">
    <cfRule type="cellIs" dxfId="24" priority="25" operator="between">
      <formula>$P$8</formula>
      <formula>$P$9</formula>
    </cfRule>
  </conditionalFormatting>
  <conditionalFormatting sqref="Q11:R22">
    <cfRule type="cellIs" dxfId="23" priority="24" operator="between">
      <formula>$R$8</formula>
      <formula>$R$9</formula>
    </cfRule>
  </conditionalFormatting>
  <conditionalFormatting sqref="S11:T22">
    <cfRule type="cellIs" dxfId="22" priority="23" operator="between">
      <formula>$T$8</formula>
      <formula>$T$9</formula>
    </cfRule>
  </conditionalFormatting>
  <conditionalFormatting sqref="U11:V22">
    <cfRule type="cellIs" dxfId="21" priority="22" operator="between">
      <formula>$V$8</formula>
      <formula>$V$9</formula>
    </cfRule>
  </conditionalFormatting>
  <conditionalFormatting sqref="W11:X22">
    <cfRule type="cellIs" dxfId="20" priority="21" operator="between">
      <formula>$X$8</formula>
      <formula>$X$9</formula>
    </cfRule>
  </conditionalFormatting>
  <conditionalFormatting sqref="Y11:Z22">
    <cfRule type="cellIs" dxfId="19" priority="20" operator="between">
      <formula>$Z$8</formula>
      <formula>$Z$9</formula>
    </cfRule>
  </conditionalFormatting>
  <conditionalFormatting sqref="C11:D22">
    <cfRule type="cellIs" dxfId="18" priority="32" operator="between">
      <formula>$D$9</formula>
      <formula>$D$8</formula>
    </cfRule>
  </conditionalFormatting>
  <conditionalFormatting sqref="C29:Z40">
    <cfRule type="cellIs" dxfId="17" priority="6" operator="equal">
      <formula>""</formula>
    </cfRule>
  </conditionalFormatting>
  <conditionalFormatting sqref="E29:F40">
    <cfRule type="cellIs" dxfId="16" priority="17" operator="between">
      <formula>$F$26</formula>
      <formula>$F$27</formula>
    </cfRule>
  </conditionalFormatting>
  <conditionalFormatting sqref="G29:H40">
    <cfRule type="cellIs" dxfId="15" priority="16" operator="between">
      <formula>$H$26</formula>
      <formula>$H$27</formula>
    </cfRule>
  </conditionalFormatting>
  <conditionalFormatting sqref="I29:J40">
    <cfRule type="cellIs" dxfId="14" priority="15" operator="between">
      <formula>$J$26</formula>
      <formula>$J$27</formula>
    </cfRule>
  </conditionalFormatting>
  <conditionalFormatting sqref="K29:L40">
    <cfRule type="cellIs" dxfId="13" priority="14" operator="between">
      <formula>$L$26</formula>
      <formula>$L$27</formula>
    </cfRule>
  </conditionalFormatting>
  <conditionalFormatting sqref="M29:N40">
    <cfRule type="cellIs" dxfId="12" priority="13" operator="between">
      <formula>$N$26</formula>
      <formula>$N$27</formula>
    </cfRule>
  </conditionalFormatting>
  <conditionalFormatting sqref="O29:P40">
    <cfRule type="cellIs" dxfId="11" priority="12" operator="between">
      <formula>$P$26</formula>
      <formula>$P$27</formula>
    </cfRule>
  </conditionalFormatting>
  <conditionalFormatting sqref="Q29:R40">
    <cfRule type="cellIs" dxfId="10" priority="11" operator="between">
      <formula>$R$26</formula>
      <formula>$R$27</formula>
    </cfRule>
  </conditionalFormatting>
  <conditionalFormatting sqref="S29:T40">
    <cfRule type="cellIs" dxfId="9" priority="10" operator="between">
      <formula>$T$26</formula>
      <formula>$T$27</formula>
    </cfRule>
  </conditionalFormatting>
  <conditionalFormatting sqref="U29:V40">
    <cfRule type="cellIs" dxfId="8" priority="9" operator="between">
      <formula>$V$26</formula>
      <formula>$V$27</formula>
    </cfRule>
  </conditionalFormatting>
  <conditionalFormatting sqref="W29:X40">
    <cfRule type="cellIs" dxfId="7" priority="8" operator="between">
      <formula>$X$26</formula>
      <formula>$X$27</formula>
    </cfRule>
  </conditionalFormatting>
  <conditionalFormatting sqref="Y29:Z40">
    <cfRule type="cellIs" dxfId="6" priority="7" operator="between">
      <formula>$Z$26</formula>
      <formula>$Z$27</formula>
    </cfRule>
  </conditionalFormatting>
  <conditionalFormatting sqref="C29:D40">
    <cfRule type="cellIs" dxfId="5" priority="18" operator="between">
      <formula>$D$27</formula>
      <formula>$D$26</formula>
    </cfRule>
  </conditionalFormatting>
  <conditionalFormatting sqref="S23:Z28">
    <cfRule type="containsErrors" dxfId="4" priority="5">
      <formula>ISERROR(S23)</formula>
    </cfRule>
  </conditionalFormatting>
  <conditionalFormatting sqref="S23:T28">
    <cfRule type="cellIs" dxfId="3" priority="4" operator="notBetween">
      <formula>$T$8</formula>
      <formula>$T$9</formula>
    </cfRule>
  </conditionalFormatting>
  <conditionalFormatting sqref="U23:V28">
    <cfRule type="cellIs" dxfId="2" priority="3" operator="notBetween">
      <formula>$V$8</formula>
      <formula>$V$9</formula>
    </cfRule>
  </conditionalFormatting>
  <conditionalFormatting sqref="W23:X28">
    <cfRule type="cellIs" dxfId="1" priority="2" operator="notBetween">
      <formula>$X$8</formula>
      <formula>$X$9</formula>
    </cfRule>
  </conditionalFormatting>
  <conditionalFormatting sqref="Y23:Z28">
    <cfRule type="cellIs" dxfId="0" priority="1" operator="notBetween">
      <formula>$Z$8</formula>
      <formula>$Z$9</formula>
    </cfRule>
  </conditionalFormatting>
  <dataValidations count="2">
    <dataValidation type="list" allowBlank="1" showInputMessage="1" showErrorMessage="1" sqref="J10 R10 L10 V10 N10 X10 P10 D10 F10 Z10 H10 T10 L28 R28 H28 J28 D28 F28 N28 P28" xr:uid="{00000000-0002-0000-0000-000000000000}">
      <formula1>EQUIPO</formula1>
    </dataValidation>
    <dataValidation type="list" errorStyle="warning" allowBlank="1" showInputMessage="1" showErrorMessage="1" sqref="X6 P6 R6 D6 F6 Z6 H6 T6 V6 J6 L6 N6 L24 H24 J24 R24 D24 F24 N24 P24" xr:uid="{58D979F2-68C0-4D40-91F0-47F824D68CCD}">
      <formula1>CARACTERISTICAS</formula1>
    </dataValidation>
  </dataValidations>
  <pageMargins left="0.41" right="0.16" top="0.2" bottom="0" header="0.3" footer="0.3"/>
  <pageSetup scale="93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TRW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nmendoz</dc:creator>
  <cp:lastModifiedBy>Esther Ruiz N. Ruiz</cp:lastModifiedBy>
  <cp:lastPrinted>2023-02-01T17:49:54Z</cp:lastPrinted>
  <dcterms:created xsi:type="dcterms:W3CDTF">2012-01-02T19:57:42Z</dcterms:created>
  <dcterms:modified xsi:type="dcterms:W3CDTF">2023-02-01T17:49:56Z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294a1c8-9899-41e7-8f6e-8b1b3c79592a_Enabled">
    <vt:lpwstr>true</vt:lpwstr>
  </property>
  <property fmtid="{D5CDD505-2E9C-101B-9397-08002B2CF9AE}" pid="3" name="MSIP_Label_7294a1c8-9899-41e7-8f6e-8b1b3c79592a_SetDate">
    <vt:lpwstr>2021-07-08T13:57:26Z</vt:lpwstr>
  </property>
  <property fmtid="{D5CDD505-2E9C-101B-9397-08002B2CF9AE}" pid="4" name="MSIP_Label_7294a1c8-9899-41e7-8f6e-8b1b3c79592a_Method">
    <vt:lpwstr>Privileged</vt:lpwstr>
  </property>
  <property fmtid="{D5CDD505-2E9C-101B-9397-08002B2CF9AE}" pid="5" name="MSIP_Label_7294a1c8-9899-41e7-8f6e-8b1b3c79592a_Name">
    <vt:lpwstr>Internal sub2 (no marking)</vt:lpwstr>
  </property>
  <property fmtid="{D5CDD505-2E9C-101B-9397-08002B2CF9AE}" pid="6" name="MSIP_Label_7294a1c8-9899-41e7-8f6e-8b1b3c79592a_SiteId">
    <vt:lpwstr>eb70b763-b6d7-4486-8555-8831709a784e</vt:lpwstr>
  </property>
  <property fmtid="{D5CDD505-2E9C-101B-9397-08002B2CF9AE}" pid="7" name="MSIP_Label_7294a1c8-9899-41e7-8f6e-8b1b3c79592a_ActionId">
    <vt:lpwstr>6ea64718-1a13-4456-b8b3-6015d183fbed</vt:lpwstr>
  </property>
  <property fmtid="{D5CDD505-2E9C-101B-9397-08002B2CF9AE}" pid="8" name="MSIP_Label_7294a1c8-9899-41e7-8f6e-8b1b3c79592a_ContentBits">
    <vt:lpwstr>0</vt:lpwstr>
  </property>
</Properties>
</file>